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ocuments/Cursos 2025/BELATRIX-EXCEL/curso/sesion08/"/>
    </mc:Choice>
  </mc:AlternateContent>
  <xr:revisionPtr revIDLastSave="0" documentId="13_ncr:1_{AD1B3E61-D744-D540-A447-BE43F260FD61}" xr6:coauthVersionLast="47" xr6:coauthVersionMax="47" xr10:uidLastSave="{00000000-0000-0000-0000-000000000000}"/>
  <bookViews>
    <workbookView xWindow="-38320" yWindow="-3100" windowWidth="24340" windowHeight="19540" activeTab="3" xr2:uid="{CDD4D2F2-2784-4B45-839C-69AF4B429247}"/>
  </bookViews>
  <sheets>
    <sheet name="Hoja1" sheetId="1" r:id="rId1"/>
    <sheet name="Orders" sheetId="2" r:id="rId2"/>
    <sheet name="OrderDetails" sheetId="6" r:id="rId3"/>
    <sheet name="AnalisMacro1" sheetId="5" r:id="rId4"/>
    <sheet name="Hoja4" sheetId="4" r:id="rId5"/>
    <sheet name="Reporte1" sheetId="3" r:id="rId6"/>
  </sheets>
  <definedNames>
    <definedName name="_xleta.VLOOKUP" hidden="1" xlm="1">#NAME?</definedName>
    <definedName name="NativeTimeline_orderDate">#N/A</definedName>
  </definedNames>
  <calcPr calcId="191029"/>
  <pivotCaches>
    <pivotCache cacheId="7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5" l="1" a="1"/>
  <c r="E6" i="5" s="1"/>
  <c r="E3" i="5" a="1"/>
  <c r="E3" i="5" s="1"/>
  <c r="E4" i="5" a="1"/>
  <c r="E4" i="5"/>
  <c r="E5" i="5" a="1"/>
  <c r="E5" i="5" s="1"/>
  <c r="E7" i="5" a="1"/>
  <c r="E7" i="5" s="1"/>
  <c r="E8" i="5" a="1"/>
  <c r="E8" i="5" s="1"/>
  <c r="E9" i="5" a="1"/>
  <c r="E9" i="5" s="1"/>
  <c r="E10" i="5" a="1"/>
  <c r="E10" i="5"/>
  <c r="E11" i="5" a="1"/>
  <c r="E11" i="5" s="1"/>
  <c r="E12" i="5" a="1"/>
  <c r="E12" i="5" s="1"/>
  <c r="E13" i="5" a="1"/>
  <c r="E13" i="5" s="1"/>
  <c r="E14" i="5" a="1"/>
  <c r="E14" i="5"/>
  <c r="E15" i="5" a="1"/>
  <c r="E15" i="5" s="1"/>
  <c r="E16" i="5" a="1"/>
  <c r="E16" i="5" s="1"/>
  <c r="E17" i="5" a="1"/>
  <c r="E17" i="5" s="1"/>
  <c r="E18" i="5" a="1"/>
  <c r="E18" i="5" s="1"/>
  <c r="E19" i="5" a="1"/>
  <c r="E19" i="5" s="1"/>
  <c r="E20" i="5" a="1"/>
  <c r="E20" i="5"/>
  <c r="E21" i="5" a="1"/>
  <c r="E21" i="5" s="1"/>
  <c r="E22" i="5" a="1"/>
  <c r="E22" i="5" s="1"/>
  <c r="E23" i="5" a="1"/>
  <c r="E23" i="5" s="1"/>
  <c r="E24" i="5" a="1"/>
  <c r="E24" i="5" s="1"/>
  <c r="E25" i="5" a="1"/>
  <c r="E25" i="5" s="1"/>
  <c r="E26" i="5" a="1"/>
  <c r="E26" i="5" s="1"/>
  <c r="E27" i="5" a="1"/>
  <c r="E27" i="5" s="1"/>
  <c r="E28" i="5" a="1"/>
  <c r="E28" i="5"/>
  <c r="E29" i="5" a="1"/>
  <c r="E29" i="5"/>
  <c r="E30" i="5" a="1"/>
  <c r="E30" i="5" s="1"/>
  <c r="E31" i="5" a="1"/>
  <c r="E31" i="5" s="1"/>
  <c r="E32" i="5" a="1"/>
  <c r="E32" i="5" s="1"/>
  <c r="E33" i="5" a="1"/>
  <c r="E33" i="5" s="1"/>
  <c r="E34" i="5" a="1"/>
  <c r="E34" i="5" s="1"/>
  <c r="E35" i="5" a="1"/>
  <c r="E35" i="5" s="1"/>
  <c r="E36" i="5" a="1"/>
  <c r="E36" i="5" s="1"/>
  <c r="E37" i="5" a="1"/>
  <c r="E37" i="5"/>
  <c r="E38" i="5" a="1"/>
  <c r="E38" i="5"/>
  <c r="E39" i="5" a="1"/>
  <c r="E39" i="5" s="1"/>
  <c r="E40" i="5" a="1"/>
  <c r="E40" i="5" s="1"/>
  <c r="E41" i="5" a="1"/>
  <c r="E41" i="5" s="1"/>
  <c r="E42" i="5" a="1"/>
  <c r="E42" i="5" s="1"/>
  <c r="E43" i="5" a="1"/>
  <c r="E43" i="5" s="1"/>
  <c r="E44" i="5" a="1"/>
  <c r="E44" i="5"/>
  <c r="E45" i="5" a="1"/>
  <c r="E45" i="5" s="1"/>
  <c r="E46" i="5" a="1"/>
  <c r="E46" i="5"/>
  <c r="E47" i="5" a="1"/>
  <c r="E47" i="5" s="1"/>
  <c r="E48" i="5" a="1"/>
  <c r="E48" i="5" s="1"/>
  <c r="E49" i="5" a="1"/>
  <c r="E49" i="5" s="1"/>
  <c r="E50" i="5" a="1"/>
  <c r="E50" i="5" s="1"/>
  <c r="E51" i="5" a="1"/>
  <c r="E51" i="5" s="1"/>
  <c r="E52" i="5" a="1"/>
  <c r="E52" i="5"/>
  <c r="E53" i="5" a="1"/>
  <c r="E53" i="5"/>
  <c r="E54" i="5" a="1"/>
  <c r="E54" i="5" s="1"/>
  <c r="E55" i="5" a="1"/>
  <c r="E55" i="5" s="1"/>
  <c r="E56" i="5" a="1"/>
  <c r="E56" i="5" s="1"/>
  <c r="E57" i="5" a="1"/>
  <c r="E57" i="5" s="1"/>
  <c r="E58" i="5" a="1"/>
  <c r="E58" i="5" s="1"/>
  <c r="E59" i="5" a="1"/>
  <c r="E59" i="5" s="1"/>
  <c r="E60" i="5" a="1"/>
  <c r="E60" i="5"/>
  <c r="E61" i="5" a="1"/>
  <c r="E61" i="5"/>
  <c r="E62" i="5" a="1"/>
  <c r="E62" i="5"/>
  <c r="E63" i="5" a="1"/>
  <c r="E63" i="5" s="1"/>
  <c r="E64" i="5" a="1"/>
  <c r="E64" i="5" s="1"/>
  <c r="E65" i="5" a="1"/>
  <c r="E65" i="5" s="1"/>
  <c r="E66" i="5" a="1"/>
  <c r="E66" i="5" s="1"/>
  <c r="E67" i="5" a="1"/>
  <c r="E67" i="5" s="1"/>
  <c r="E68" i="5" a="1"/>
  <c r="E68" i="5" s="1"/>
  <c r="E69" i="5" a="1"/>
  <c r="E69" i="5"/>
  <c r="E70" i="5" a="1"/>
  <c r="E70" i="5"/>
  <c r="E71" i="5" a="1"/>
  <c r="E71" i="5" s="1"/>
  <c r="E72" i="5" a="1"/>
  <c r="E72" i="5" s="1"/>
  <c r="E73" i="5" a="1"/>
  <c r="E73" i="5" s="1"/>
  <c r="E74" i="5" a="1"/>
  <c r="E74" i="5" s="1"/>
  <c r="E75" i="5" a="1"/>
  <c r="E75" i="5" s="1"/>
  <c r="E76" i="5" a="1"/>
  <c r="E76" i="5"/>
  <c r="E77" i="5" a="1"/>
  <c r="E77" i="5" s="1"/>
  <c r="E78" i="5" a="1"/>
  <c r="E78" i="5"/>
  <c r="E79" i="5" a="1"/>
  <c r="E79" i="5" s="1"/>
  <c r="E80" i="5" a="1"/>
  <c r="E80" i="5" s="1"/>
  <c r="E81" i="5" a="1"/>
  <c r="E81" i="5" s="1"/>
  <c r="E82" i="5" a="1"/>
  <c r="E82" i="5" s="1"/>
  <c r="E83" i="5" a="1"/>
  <c r="E83" i="5" s="1"/>
  <c r="E84" i="5" a="1"/>
  <c r="E84" i="5"/>
  <c r="E85" i="5" a="1"/>
  <c r="E85" i="5"/>
  <c r="E86" i="5" a="1"/>
  <c r="E86" i="5" s="1"/>
  <c r="E87" i="5" a="1"/>
  <c r="E87" i="5" s="1"/>
  <c r="E88" i="5" a="1"/>
  <c r="E88" i="5" s="1"/>
  <c r="E89" i="5" a="1"/>
  <c r="E89" i="5" s="1"/>
  <c r="E90" i="5" a="1"/>
  <c r="E90" i="5" s="1"/>
  <c r="E91" i="5" a="1"/>
  <c r="E91" i="5" s="1"/>
  <c r="E92" i="5" a="1"/>
  <c r="E92" i="5"/>
  <c r="E93" i="5" a="1"/>
  <c r="E93" i="5"/>
  <c r="E94" i="5" a="1"/>
  <c r="E94" i="5"/>
  <c r="E95" i="5" a="1"/>
  <c r="E95" i="5" s="1"/>
  <c r="E96" i="5" a="1"/>
  <c r="E96" i="5" s="1"/>
  <c r="E97" i="5" a="1"/>
  <c r="E97" i="5" s="1"/>
  <c r="E98" i="5" a="1"/>
  <c r="E98" i="5" s="1"/>
  <c r="E99" i="5" a="1"/>
  <c r="E99" i="5" s="1"/>
  <c r="E100" i="5" a="1"/>
  <c r="E100" i="5"/>
  <c r="E101" i="5" a="1"/>
  <c r="E101" i="5"/>
  <c r="E102" i="5" a="1"/>
  <c r="E102" i="5"/>
  <c r="E103" i="5" a="1"/>
  <c r="E103" i="5" s="1"/>
  <c r="E104" i="5" a="1"/>
  <c r="E104" i="5" s="1"/>
  <c r="E105" i="5" a="1"/>
  <c r="E105" i="5" s="1"/>
  <c r="E106" i="5" a="1"/>
  <c r="E106" i="5" s="1"/>
  <c r="E107" i="5" a="1"/>
  <c r="E107" i="5" s="1"/>
  <c r="E108" i="5" a="1"/>
  <c r="E108" i="5"/>
  <c r="E109" i="5" a="1"/>
  <c r="E109" i="5"/>
  <c r="E110" i="5" a="1"/>
  <c r="E110" i="5"/>
  <c r="E111" i="5" a="1"/>
  <c r="E111" i="5" s="1"/>
  <c r="E112" i="5" a="1"/>
  <c r="E112" i="5" s="1"/>
  <c r="E113" i="5" a="1"/>
  <c r="E113" i="5" s="1"/>
  <c r="E114" i="5" a="1"/>
  <c r="E114" i="5" s="1"/>
  <c r="E115" i="5" a="1"/>
  <c r="E115" i="5" s="1"/>
  <c r="E116" i="5" a="1"/>
  <c r="E116" i="5"/>
  <c r="E117" i="5" a="1"/>
  <c r="E117" i="5"/>
  <c r="E118" i="5" a="1"/>
  <c r="E118" i="5"/>
  <c r="E119" i="5" a="1"/>
  <c r="E119" i="5" s="1"/>
  <c r="E120" i="5" a="1"/>
  <c r="E120" i="5" s="1"/>
  <c r="E121" i="5" a="1"/>
  <c r="E121" i="5" s="1"/>
  <c r="E122" i="5" a="1"/>
  <c r="E122" i="5" s="1"/>
  <c r="E123" i="5" a="1"/>
  <c r="E123" i="5" s="1"/>
  <c r="E124" i="5" a="1"/>
  <c r="E124" i="5"/>
  <c r="E125" i="5" a="1"/>
  <c r="E125" i="5"/>
  <c r="E126" i="5" a="1"/>
  <c r="E126" i="5"/>
  <c r="E127" i="5" a="1"/>
  <c r="E127" i="5" s="1"/>
  <c r="E128" i="5" a="1"/>
  <c r="E128" i="5" s="1"/>
  <c r="E129" i="5" a="1"/>
  <c r="E129" i="5" s="1"/>
  <c r="E130" i="5" a="1"/>
  <c r="E130" i="5" s="1"/>
  <c r="E131" i="5" a="1"/>
  <c r="E131" i="5" s="1"/>
  <c r="E132" i="5" a="1"/>
  <c r="E132" i="5"/>
  <c r="E133" i="5" a="1"/>
  <c r="E133" i="5"/>
  <c r="E134" i="5" a="1"/>
  <c r="E134" i="5"/>
  <c r="E135" i="5" a="1"/>
  <c r="E135" i="5" s="1"/>
  <c r="E136" i="5" a="1"/>
  <c r="E136" i="5" s="1"/>
  <c r="E137" i="5" a="1"/>
  <c r="E137" i="5" s="1"/>
  <c r="E138" i="5" a="1"/>
  <c r="E138" i="5" s="1"/>
  <c r="E139" i="5" a="1"/>
  <c r="E139" i="5" s="1"/>
  <c r="E140" i="5" a="1"/>
  <c r="E140" i="5"/>
  <c r="E141" i="5" a="1"/>
  <c r="E141" i="5"/>
  <c r="E142" i="5" a="1"/>
  <c r="E142" i="5"/>
  <c r="E143" i="5" a="1"/>
  <c r="E143" i="5" s="1"/>
  <c r="E144" i="5" a="1"/>
  <c r="E144" i="5" s="1"/>
  <c r="E145" i="5" a="1"/>
  <c r="E145" i="5" s="1"/>
  <c r="E146" i="5" a="1"/>
  <c r="E146" i="5" s="1"/>
  <c r="E147" i="5" a="1"/>
  <c r="E147" i="5" s="1"/>
  <c r="E148" i="5" a="1"/>
  <c r="E148" i="5"/>
  <c r="E149" i="5" a="1"/>
  <c r="E149" i="5"/>
  <c r="E150" i="5" a="1"/>
  <c r="E150" i="5"/>
  <c r="E151" i="5" a="1"/>
  <c r="E151" i="5" s="1"/>
  <c r="E152" i="5" a="1"/>
  <c r="E152" i="5" s="1"/>
  <c r="E153" i="5" a="1"/>
  <c r="E153" i="5" s="1"/>
  <c r="E154" i="5" a="1"/>
  <c r="E154" i="5" s="1"/>
  <c r="E155" i="5" a="1"/>
  <c r="E155" i="5" s="1"/>
  <c r="E156" i="5" a="1"/>
  <c r="E156" i="5"/>
  <c r="E157" i="5" a="1"/>
  <c r="E157" i="5"/>
  <c r="E158" i="5" a="1"/>
  <c r="E158" i="5"/>
  <c r="E159" i="5" a="1"/>
  <c r="E159" i="5" s="1"/>
  <c r="E160" i="5" a="1"/>
  <c r="E160" i="5" s="1"/>
  <c r="E161" i="5" a="1"/>
  <c r="E161" i="5" s="1"/>
  <c r="E162" i="5" a="1"/>
  <c r="E162" i="5" s="1"/>
  <c r="E163" i="5" a="1"/>
  <c r="E163" i="5" s="1"/>
  <c r="E164" i="5" a="1"/>
  <c r="E164" i="5"/>
  <c r="E165" i="5" a="1"/>
  <c r="E165" i="5"/>
  <c r="E166" i="5" a="1"/>
  <c r="E166" i="5"/>
  <c r="E167" i="5" a="1"/>
  <c r="E167" i="5" s="1"/>
  <c r="E168" i="5" a="1"/>
  <c r="E168" i="5" s="1"/>
  <c r="E169" i="5" a="1"/>
  <c r="E169" i="5"/>
  <c r="E170" i="5" a="1"/>
  <c r="E170" i="5" s="1"/>
  <c r="E171" i="5" a="1"/>
  <c r="E171" i="5" s="1"/>
  <c r="E172" i="5" a="1"/>
  <c r="E172" i="5"/>
  <c r="E173" i="5" a="1"/>
  <c r="E173" i="5"/>
  <c r="E174" i="5" a="1"/>
  <c r="E174" i="5"/>
  <c r="E175" i="5" a="1"/>
  <c r="E175" i="5" s="1"/>
  <c r="E176" i="5" a="1"/>
  <c r="E176" i="5" s="1"/>
  <c r="E177" i="5" a="1"/>
  <c r="E177" i="5" s="1"/>
  <c r="E178" i="5" a="1"/>
  <c r="E178" i="5"/>
  <c r="E179" i="5" a="1"/>
  <c r="E179" i="5" s="1"/>
  <c r="E180" i="5" a="1"/>
  <c r="E180" i="5"/>
  <c r="E181" i="5" a="1"/>
  <c r="E181" i="5"/>
  <c r="E182" i="5" a="1"/>
  <c r="E182" i="5"/>
  <c r="E183" i="5" a="1"/>
  <c r="E183" i="5" s="1"/>
  <c r="E184" i="5" a="1"/>
  <c r="E184" i="5" s="1"/>
  <c r="E185" i="5" a="1"/>
  <c r="E185" i="5" s="1"/>
  <c r="E186" i="5" a="1"/>
  <c r="E186" i="5" s="1"/>
  <c r="E187" i="5" a="1"/>
  <c r="E187" i="5" s="1"/>
  <c r="E188" i="5" a="1"/>
  <c r="E188" i="5"/>
  <c r="E189" i="5" a="1"/>
  <c r="E189" i="5"/>
  <c r="E190" i="5" a="1"/>
  <c r="E190" i="5"/>
  <c r="E191" i="5" a="1"/>
  <c r="E191" i="5" s="1"/>
  <c r="E192" i="5" a="1"/>
  <c r="E192" i="5"/>
  <c r="E193" i="5" a="1"/>
  <c r="E193" i="5" s="1"/>
  <c r="E194" i="5" a="1"/>
  <c r="E194" i="5" s="1"/>
  <c r="E195" i="5" a="1"/>
  <c r="E195" i="5" s="1"/>
  <c r="E196" i="5" a="1"/>
  <c r="E196" i="5"/>
  <c r="E197" i="5" a="1"/>
  <c r="E197" i="5"/>
  <c r="E198" i="5" a="1"/>
  <c r="E198" i="5"/>
  <c r="E199" i="5" a="1"/>
  <c r="E199" i="5" s="1"/>
  <c r="E200" i="5" a="1"/>
  <c r="E200" i="5" s="1"/>
  <c r="E201" i="5" a="1"/>
  <c r="E201" i="5" s="1"/>
  <c r="E202" i="5" a="1"/>
  <c r="E202" i="5" s="1"/>
  <c r="E203" i="5" a="1"/>
  <c r="E203" i="5" s="1"/>
  <c r="E204" i="5" a="1"/>
  <c r="E204" i="5"/>
  <c r="E205" i="5" a="1"/>
  <c r="E205" i="5"/>
  <c r="E206" i="5" a="1"/>
  <c r="E206" i="5"/>
  <c r="E207" i="5" a="1"/>
  <c r="E207" i="5" s="1"/>
  <c r="E208" i="5" a="1"/>
  <c r="E208" i="5" s="1"/>
  <c r="E209" i="5" a="1"/>
  <c r="E209" i="5" s="1"/>
  <c r="E210" i="5" a="1"/>
  <c r="E210" i="5" s="1"/>
  <c r="E211" i="5" a="1"/>
  <c r="E211" i="5" s="1"/>
  <c r="E212" i="5" a="1"/>
  <c r="E212" i="5"/>
  <c r="E213" i="5" a="1"/>
  <c r="E213" i="5"/>
  <c r="E214" i="5" a="1"/>
  <c r="E214" i="5"/>
  <c r="E215" i="5" a="1"/>
  <c r="E215" i="5" s="1"/>
  <c r="E216" i="5" a="1"/>
  <c r="E216" i="5" s="1"/>
  <c r="E217" i="5" a="1"/>
  <c r="E217" i="5" s="1"/>
  <c r="E218" i="5" a="1"/>
  <c r="E218" i="5" s="1"/>
  <c r="E219" i="5" a="1"/>
  <c r="E219" i="5" s="1"/>
  <c r="E220" i="5" a="1"/>
  <c r="E220" i="5"/>
  <c r="E221" i="5" a="1"/>
  <c r="E221" i="5"/>
  <c r="E222" i="5" a="1"/>
  <c r="E222" i="5"/>
  <c r="E223" i="5" a="1"/>
  <c r="E223" i="5" s="1"/>
  <c r="E224" i="5" a="1"/>
  <c r="E224" i="5" s="1"/>
  <c r="E225" i="5" a="1"/>
  <c r="E225" i="5" s="1"/>
  <c r="E226" i="5" a="1"/>
  <c r="E226" i="5" s="1"/>
  <c r="E227" i="5" a="1"/>
  <c r="E227" i="5" s="1"/>
  <c r="E228" i="5" a="1"/>
  <c r="E228" i="5"/>
  <c r="E229" i="5" a="1"/>
  <c r="E229" i="5"/>
  <c r="E230" i="5" a="1"/>
  <c r="E230" i="5"/>
  <c r="E231" i="5" a="1"/>
  <c r="E231" i="5" s="1"/>
  <c r="E232" i="5" a="1"/>
  <c r="E232" i="5" s="1"/>
  <c r="E233" i="5" a="1"/>
  <c r="E233" i="5" s="1"/>
  <c r="E234" i="5" a="1"/>
  <c r="E234" i="5" s="1"/>
  <c r="E235" i="5" a="1"/>
  <c r="E235" i="5" s="1"/>
  <c r="E236" i="5" a="1"/>
  <c r="E236" i="5"/>
  <c r="E237" i="5" a="1"/>
  <c r="E237" i="5"/>
  <c r="E238" i="5" a="1"/>
  <c r="E238" i="5"/>
  <c r="E239" i="5" a="1"/>
  <c r="E239" i="5" s="1"/>
  <c r="E240" i="5" a="1"/>
  <c r="E240" i="5" s="1"/>
  <c r="E241" i="5" a="1"/>
  <c r="E241" i="5" s="1"/>
  <c r="E242" i="5" a="1"/>
  <c r="E242" i="5" s="1"/>
  <c r="E243" i="5" a="1"/>
  <c r="E243" i="5" s="1"/>
  <c r="E244" i="5" a="1"/>
  <c r="E244" i="5"/>
  <c r="E245" i="5" a="1"/>
  <c r="E245" i="5"/>
  <c r="E246" i="5" a="1"/>
  <c r="E246" i="5"/>
  <c r="E247" i="5" a="1"/>
  <c r="E247" i="5" s="1"/>
  <c r="E248" i="5" a="1"/>
  <c r="E248" i="5" s="1"/>
  <c r="E249" i="5" a="1"/>
  <c r="E249" i="5" s="1"/>
  <c r="E250" i="5" a="1"/>
  <c r="E250" i="5" s="1"/>
  <c r="E251" i="5" a="1"/>
  <c r="E251" i="5" s="1"/>
  <c r="E252" i="5" a="1"/>
  <c r="E252" i="5"/>
  <c r="E253" i="5" a="1"/>
  <c r="E253" i="5"/>
  <c r="E254" i="5" a="1"/>
  <c r="E254" i="5"/>
  <c r="E255" i="5" a="1"/>
  <c r="E255" i="5" s="1"/>
  <c r="E256" i="5" a="1"/>
  <c r="E256" i="5" s="1"/>
  <c r="E257" i="5" a="1"/>
  <c r="E257" i="5" s="1"/>
  <c r="E258" i="5" a="1"/>
  <c r="E258" i="5" s="1"/>
  <c r="E259" i="5" a="1"/>
  <c r="E259" i="5" s="1"/>
  <c r="E260" i="5" a="1"/>
  <c r="E260" i="5"/>
  <c r="E261" i="5" a="1"/>
  <c r="E261" i="5"/>
  <c r="E262" i="5" a="1"/>
  <c r="E262" i="5"/>
  <c r="E263" i="5" a="1"/>
  <c r="E263" i="5" s="1"/>
  <c r="E264" i="5" a="1"/>
  <c r="E264" i="5" s="1"/>
  <c r="E265" i="5" a="1"/>
  <c r="E265" i="5" s="1"/>
  <c r="E266" i="5" a="1"/>
  <c r="E266" i="5" s="1"/>
  <c r="E267" i="5" a="1"/>
  <c r="E267" i="5" s="1"/>
  <c r="E268" i="5" a="1"/>
  <c r="E268" i="5"/>
  <c r="E269" i="5" a="1"/>
  <c r="E269" i="5"/>
  <c r="E270" i="5" a="1"/>
  <c r="E270" i="5"/>
  <c r="E271" i="5" a="1"/>
  <c r="E271" i="5" s="1"/>
  <c r="E272" i="5" a="1"/>
  <c r="E272" i="5" s="1"/>
  <c r="E273" i="5" a="1"/>
  <c r="E273" i="5" s="1"/>
  <c r="E274" i="5" a="1"/>
  <c r="E274" i="5" s="1"/>
  <c r="E275" i="5" a="1"/>
  <c r="E275" i="5" s="1"/>
  <c r="E276" i="5" a="1"/>
  <c r="E276" i="5"/>
  <c r="E277" i="5" a="1"/>
  <c r="E277" i="5"/>
  <c r="E278" i="5" a="1"/>
  <c r="E278" i="5"/>
  <c r="E279" i="5" a="1"/>
  <c r="E279" i="5" s="1"/>
  <c r="E280" i="5" a="1"/>
  <c r="E280" i="5" s="1"/>
  <c r="E281" i="5" a="1"/>
  <c r="E281" i="5" s="1"/>
  <c r="E282" i="5" a="1"/>
  <c r="E282" i="5" s="1"/>
  <c r="E283" i="5" a="1"/>
  <c r="E283" i="5" s="1"/>
  <c r="E284" i="5" a="1"/>
  <c r="E284" i="5"/>
  <c r="E285" i="5" a="1"/>
  <c r="E285" i="5"/>
  <c r="E286" i="5" a="1"/>
  <c r="E286" i="5"/>
  <c r="E287" i="5" a="1"/>
  <c r="E287" i="5" s="1"/>
  <c r="E288" i="5" a="1"/>
  <c r="E288" i="5" s="1"/>
  <c r="E289" i="5" a="1"/>
  <c r="E289" i="5" s="1"/>
  <c r="E290" i="5" a="1"/>
  <c r="E290" i="5" s="1"/>
  <c r="E291" i="5" a="1"/>
  <c r="E291" i="5" s="1"/>
  <c r="E292" i="5" a="1"/>
  <c r="E292" i="5"/>
  <c r="E293" i="5" a="1"/>
  <c r="E293" i="5"/>
  <c r="E294" i="5" a="1"/>
  <c r="E294" i="5"/>
  <c r="E295" i="5" a="1"/>
  <c r="E295" i="5" s="1"/>
  <c r="E296" i="5" a="1"/>
  <c r="E296" i="5" s="1"/>
  <c r="E297" i="5" a="1"/>
  <c r="E297" i="5"/>
  <c r="E298" i="5" a="1"/>
  <c r="E298" i="5" s="1"/>
  <c r="E299" i="5" a="1"/>
  <c r="E299" i="5" s="1"/>
  <c r="E300" i="5" a="1"/>
  <c r="E300" i="5"/>
  <c r="E301" i="5" a="1"/>
  <c r="E301" i="5"/>
  <c r="E302" i="5" a="1"/>
  <c r="E302" i="5"/>
  <c r="E303" i="5" a="1"/>
  <c r="E303" i="5" s="1"/>
  <c r="E304" i="5" a="1"/>
  <c r="E304" i="5" s="1"/>
  <c r="E305" i="5" a="1"/>
  <c r="E305" i="5" s="1"/>
  <c r="E306" i="5" a="1"/>
  <c r="E306" i="5"/>
  <c r="E307" i="5" a="1"/>
  <c r="E307" i="5" s="1"/>
  <c r="E308" i="5" a="1"/>
  <c r="E308" i="5"/>
  <c r="E309" i="5" a="1"/>
  <c r="E309" i="5"/>
  <c r="E310" i="5" a="1"/>
  <c r="E310" i="5"/>
  <c r="E311" i="5" a="1"/>
  <c r="E311" i="5" s="1"/>
  <c r="E312" i="5" a="1"/>
  <c r="E312" i="5" s="1"/>
  <c r="E313" i="5" a="1"/>
  <c r="E313" i="5" s="1"/>
  <c r="E314" i="5" a="1"/>
  <c r="E314" i="5" s="1"/>
  <c r="E315" i="5" a="1"/>
  <c r="E315" i="5" s="1"/>
  <c r="E316" i="5" a="1"/>
  <c r="E316" i="5" s="1"/>
  <c r="E317" i="5" a="1"/>
  <c r="E317" i="5"/>
  <c r="E318" i="5" a="1"/>
  <c r="E318" i="5"/>
  <c r="E319" i="5" a="1"/>
  <c r="E319" i="5" s="1"/>
  <c r="E320" i="5" a="1"/>
  <c r="E320" i="5" s="1"/>
  <c r="E321" i="5" a="1"/>
  <c r="E321" i="5" s="1"/>
  <c r="E322" i="5" a="1"/>
  <c r="E322" i="5" s="1"/>
  <c r="E323" i="5" a="1"/>
  <c r="E323" i="5" s="1"/>
  <c r="E324" i="5" a="1"/>
  <c r="E324" i="5"/>
  <c r="E325" i="5" a="1"/>
  <c r="E325" i="5"/>
  <c r="E326" i="5" a="1"/>
  <c r="E326" i="5"/>
  <c r="E327" i="5" a="1"/>
  <c r="E327" i="5" s="1"/>
  <c r="E328" i="5" a="1"/>
  <c r="E328" i="5" s="1"/>
  <c r="E329" i="5" a="1"/>
  <c r="E329" i="5" s="1"/>
  <c r="E330" i="5" a="1"/>
  <c r="E330" i="5" s="1"/>
  <c r="E331" i="5" a="1"/>
  <c r="E331" i="5" s="1"/>
  <c r="E332" i="5" a="1"/>
  <c r="E332" i="5"/>
  <c r="E333" i="5" a="1"/>
  <c r="E333" i="5"/>
  <c r="E334" i="5" a="1"/>
  <c r="E334" i="5" s="1"/>
  <c r="E335" i="5" a="1"/>
  <c r="E335" i="5" s="1"/>
  <c r="E336" i="5" a="1"/>
  <c r="E336" i="5" s="1"/>
  <c r="E337" i="5" a="1"/>
  <c r="E337" i="5" s="1"/>
  <c r="E338" i="5" a="1"/>
  <c r="E338" i="5"/>
  <c r="E339" i="5" a="1"/>
  <c r="E339" i="5" s="1"/>
  <c r="E340" i="5" a="1"/>
  <c r="E340" i="5"/>
  <c r="E341" i="5" a="1"/>
  <c r="E341" i="5"/>
  <c r="E342" i="5" a="1"/>
  <c r="E342" i="5"/>
  <c r="E343" i="5" a="1"/>
  <c r="E343" i="5" s="1"/>
  <c r="E344" i="5" a="1"/>
  <c r="E344" i="5"/>
  <c r="E345" i="5" a="1"/>
  <c r="E345" i="5"/>
  <c r="E346" i="5" a="1"/>
  <c r="E346" i="5"/>
  <c r="E347" i="5" a="1"/>
  <c r="E347" i="5" s="1"/>
  <c r="E348" i="5" a="1"/>
  <c r="E348" i="5"/>
  <c r="E349" i="5" a="1"/>
  <c r="E349" i="5"/>
  <c r="E350" i="5" a="1"/>
  <c r="E350" i="5"/>
  <c r="E351" i="5" a="1"/>
  <c r="E351" i="5" s="1"/>
  <c r="E352" i="5" a="1"/>
  <c r="E352" i="5"/>
  <c r="E353" i="5" a="1"/>
  <c r="E353" i="5"/>
  <c r="E354" i="5" a="1"/>
  <c r="E354" i="5"/>
  <c r="E355" i="5" a="1"/>
  <c r="E355" i="5" s="1"/>
  <c r="E356" i="5" a="1"/>
  <c r="E356" i="5"/>
  <c r="E357" i="5" a="1"/>
  <c r="E357" i="5"/>
  <c r="E358" i="5" a="1"/>
  <c r="E358" i="5"/>
  <c r="E359" i="5" a="1"/>
  <c r="E359" i="5" s="1"/>
  <c r="E360" i="5" a="1"/>
  <c r="E360" i="5" s="1"/>
  <c r="E361" i="5" a="1"/>
  <c r="E361" i="5"/>
  <c r="E362" i="5" a="1"/>
  <c r="E362" i="5"/>
  <c r="E363" i="5" a="1"/>
  <c r="E363" i="5" s="1"/>
  <c r="E364" i="5" a="1"/>
  <c r="E364" i="5" s="1"/>
  <c r="E365" i="5" a="1"/>
  <c r="E365" i="5"/>
  <c r="E366" i="5" a="1"/>
  <c r="E366" i="5"/>
  <c r="E367" i="5" a="1"/>
  <c r="E367" i="5" s="1"/>
  <c r="E368" i="5" a="1"/>
  <c r="E368" i="5" s="1"/>
  <c r="E369" i="5" a="1"/>
  <c r="E369" i="5"/>
  <c r="E370" i="5" a="1"/>
  <c r="E370" i="5" s="1"/>
  <c r="E371" i="5" a="1"/>
  <c r="E371" i="5" s="1"/>
  <c r="E372" i="5" a="1"/>
  <c r="E372" i="5" s="1"/>
  <c r="E373" i="5" a="1"/>
  <c r="E373" i="5"/>
  <c r="E374" i="5" a="1"/>
  <c r="E374" i="5" s="1"/>
  <c r="E375" i="5" a="1"/>
  <c r="E375" i="5" s="1"/>
  <c r="E376" i="5" a="1"/>
  <c r="E376" i="5" s="1"/>
  <c r="E377" i="5" a="1"/>
  <c r="E377" i="5"/>
  <c r="E378" i="5" a="1"/>
  <c r="E378" i="5" s="1"/>
  <c r="E379" i="5" a="1"/>
  <c r="E379" i="5" s="1"/>
  <c r="E380" i="5" a="1"/>
  <c r="E380" i="5" s="1"/>
  <c r="E381" i="5" a="1"/>
  <c r="E381" i="5" s="1"/>
  <c r="E382" i="5" a="1"/>
  <c r="E382" i="5" s="1"/>
  <c r="E383" i="5" a="1"/>
  <c r="E383" i="5"/>
  <c r="E384" i="5" a="1"/>
  <c r="E384" i="5"/>
  <c r="E385" i="5" a="1"/>
  <c r="E385" i="5" s="1"/>
  <c r="E386" i="5" a="1"/>
  <c r="E386" i="5"/>
  <c r="E387" i="5" a="1"/>
  <c r="E387" i="5" s="1"/>
  <c r="E388" i="5" a="1"/>
  <c r="E388" i="5" s="1"/>
  <c r="E389" i="5" a="1"/>
  <c r="E389" i="5" s="1"/>
  <c r="E390" i="5" a="1"/>
  <c r="E390" i="5" s="1"/>
  <c r="E391" i="5" a="1"/>
  <c r="E391" i="5" s="1"/>
  <c r="E392" i="5" a="1"/>
  <c r="E392" i="5"/>
  <c r="E393" i="5" a="1"/>
  <c r="E393" i="5" s="1"/>
  <c r="E394" i="5" a="1"/>
  <c r="E394" i="5" s="1"/>
  <c r="E395" i="5" a="1"/>
  <c r="E395" i="5"/>
  <c r="E396" i="5" a="1"/>
  <c r="E396" i="5" s="1"/>
  <c r="E397" i="5" a="1"/>
  <c r="E397" i="5" s="1"/>
  <c r="E398" i="5" a="1"/>
  <c r="E398" i="5"/>
  <c r="E399" i="5" a="1"/>
  <c r="E399" i="5" s="1"/>
  <c r="E400" i="5" a="1"/>
  <c r="E400" i="5" s="1"/>
  <c r="E401" i="5" a="1"/>
  <c r="E401" i="5" s="1"/>
  <c r="E402" i="5" a="1"/>
  <c r="E402" i="5" s="1"/>
  <c r="E403" i="5" a="1"/>
  <c r="E403" i="5" s="1"/>
  <c r="E404" i="5" a="1"/>
  <c r="E404" i="5"/>
  <c r="E405" i="5" a="1"/>
  <c r="E405" i="5" s="1"/>
  <c r="E406" i="5" a="1"/>
  <c r="E406" i="5"/>
  <c r="E407" i="5" a="1"/>
  <c r="E407" i="5"/>
  <c r="E408" i="5" a="1"/>
  <c r="E408" i="5" s="1"/>
  <c r="E409" i="5" a="1"/>
  <c r="E409" i="5" s="1"/>
  <c r="E410" i="5" a="1"/>
  <c r="E410" i="5" s="1"/>
  <c r="E411" i="5" a="1"/>
  <c r="E411" i="5" s="1"/>
  <c r="E412" i="5" a="1"/>
  <c r="E412" i="5" s="1"/>
  <c r="E413" i="5" a="1"/>
  <c r="E413" i="5" s="1"/>
  <c r="E414" i="5" a="1"/>
  <c r="E414" i="5" s="1"/>
  <c r="E415" i="5" a="1"/>
  <c r="E415" i="5"/>
  <c r="E416" i="5" a="1"/>
  <c r="E416" i="5"/>
  <c r="E417" i="5" a="1"/>
  <c r="E417" i="5" s="1"/>
  <c r="E418" i="5" a="1"/>
  <c r="E418" i="5"/>
  <c r="E419" i="5" a="1"/>
  <c r="E419" i="5" s="1"/>
  <c r="E420" i="5" a="1"/>
  <c r="E420" i="5" s="1"/>
  <c r="E421" i="5" a="1"/>
  <c r="E421" i="5" s="1"/>
  <c r="E422" i="5" a="1"/>
  <c r="E422" i="5" s="1"/>
  <c r="E423" i="5" a="1"/>
  <c r="E423" i="5" s="1"/>
  <c r="E424" i="5" a="1"/>
  <c r="E424" i="5"/>
  <c r="E425" i="5" a="1"/>
  <c r="E425" i="5" s="1"/>
  <c r="E426" i="5" a="1"/>
  <c r="E426" i="5" s="1"/>
  <c r="E427" i="5" a="1"/>
  <c r="E427" i="5"/>
  <c r="E428" i="5" a="1"/>
  <c r="E428" i="5" s="1"/>
  <c r="E429" i="5" a="1"/>
  <c r="E429" i="5" s="1"/>
  <c r="E430" i="5" a="1"/>
  <c r="E430" i="5"/>
  <c r="E431" i="5" a="1"/>
  <c r="E431" i="5" s="1"/>
  <c r="E432" i="5" a="1"/>
  <c r="E432" i="5" s="1"/>
  <c r="E433" i="5" a="1"/>
  <c r="E433" i="5" s="1"/>
  <c r="E434" i="5" a="1"/>
  <c r="E434" i="5" s="1"/>
  <c r="E435" i="5" a="1"/>
  <c r="E435" i="5" s="1"/>
  <c r="E436" i="5" a="1"/>
  <c r="E436" i="5"/>
  <c r="E437" i="5" a="1"/>
  <c r="E437" i="5" s="1"/>
  <c r="E438" i="5" a="1"/>
  <c r="E438" i="5"/>
  <c r="E439" i="5" a="1"/>
  <c r="E439" i="5"/>
  <c r="E440" i="5" a="1"/>
  <c r="E440" i="5" s="1"/>
  <c r="E441" i="5" a="1"/>
  <c r="E441" i="5" s="1"/>
  <c r="E442" i="5" a="1"/>
  <c r="E442" i="5" s="1"/>
  <c r="E443" i="5" a="1"/>
  <c r="E443" i="5" s="1"/>
  <c r="E444" i="5" a="1"/>
  <c r="E444" i="5" s="1"/>
  <c r="E445" i="5" a="1"/>
  <c r="E445" i="5" s="1"/>
  <c r="E446" i="5" a="1"/>
  <c r="E446" i="5" s="1"/>
  <c r="E447" i="5" a="1"/>
  <c r="E447" i="5"/>
  <c r="E448" i="5" a="1"/>
  <c r="E448" i="5"/>
  <c r="E449" i="5" a="1"/>
  <c r="E449" i="5" s="1"/>
  <c r="E450" i="5" a="1"/>
  <c r="E450" i="5"/>
  <c r="E451" i="5" a="1"/>
  <c r="E451" i="5" s="1"/>
  <c r="E452" i="5" a="1"/>
  <c r="E452" i="5" s="1"/>
  <c r="E453" i="5" a="1"/>
  <c r="E453" i="5" s="1"/>
  <c r="E454" i="5" a="1"/>
  <c r="E454" i="5" s="1"/>
  <c r="E455" i="5" a="1"/>
  <c r="E455" i="5" s="1"/>
  <c r="E456" i="5" a="1"/>
  <c r="E456" i="5"/>
  <c r="E457" i="5" a="1"/>
  <c r="E457" i="5" s="1"/>
  <c r="E458" i="5" a="1"/>
  <c r="E458" i="5" s="1"/>
  <c r="E459" i="5" a="1"/>
  <c r="E459" i="5"/>
  <c r="E460" i="5" a="1"/>
  <c r="E460" i="5" s="1"/>
  <c r="E461" i="5" a="1"/>
  <c r="E461" i="5" s="1"/>
  <c r="E462" i="5" a="1"/>
  <c r="E462" i="5"/>
  <c r="E463" i="5" a="1"/>
  <c r="E463" i="5" s="1"/>
  <c r="E464" i="5" a="1"/>
  <c r="E464" i="5" s="1"/>
  <c r="E465" i="5" a="1"/>
  <c r="E465" i="5" s="1"/>
  <c r="E466" i="5" a="1"/>
  <c r="E466" i="5" s="1"/>
  <c r="E467" i="5" a="1"/>
  <c r="E467" i="5" s="1"/>
  <c r="E468" i="5" a="1"/>
  <c r="E468" i="5"/>
  <c r="E469" i="5" a="1"/>
  <c r="E469" i="5" s="1"/>
  <c r="E470" i="5" a="1"/>
  <c r="E470" i="5"/>
  <c r="E471" i="5" a="1"/>
  <c r="E471" i="5"/>
  <c r="E472" i="5" a="1"/>
  <c r="E472" i="5" s="1"/>
  <c r="E473" i="5" a="1"/>
  <c r="E473" i="5" s="1"/>
  <c r="E474" i="5" a="1"/>
  <c r="E474" i="5" s="1"/>
  <c r="E475" i="5" a="1"/>
  <c r="E475" i="5" s="1"/>
  <c r="E476" i="5" a="1"/>
  <c r="E476" i="5" s="1"/>
  <c r="E477" i="5" a="1"/>
  <c r="E477" i="5" s="1"/>
  <c r="E478" i="5" a="1"/>
  <c r="E478" i="5" s="1"/>
  <c r="E479" i="5" a="1"/>
  <c r="E479" i="5"/>
  <c r="E480" i="5" a="1"/>
  <c r="E480" i="5"/>
  <c r="E481" i="5" a="1"/>
  <c r="E481" i="5" s="1"/>
  <c r="E482" i="5" a="1"/>
  <c r="E482" i="5"/>
  <c r="E483" i="5" a="1"/>
  <c r="E483" i="5" s="1"/>
  <c r="E484" i="5" a="1"/>
  <c r="E484" i="5" s="1"/>
  <c r="E485" i="5" a="1"/>
  <c r="E485" i="5" s="1"/>
  <c r="E486" i="5" a="1"/>
  <c r="E486" i="5" s="1"/>
  <c r="E487" i="5" a="1"/>
  <c r="E487" i="5"/>
  <c r="E488" i="5" a="1"/>
  <c r="E488" i="5"/>
  <c r="E489" i="5" a="1"/>
  <c r="E489" i="5" s="1"/>
  <c r="E490" i="5" a="1"/>
  <c r="E490" i="5" s="1"/>
  <c r="E491" i="5" a="1"/>
  <c r="E491" i="5"/>
  <c r="E492" i="5" a="1"/>
  <c r="E492" i="5" s="1"/>
  <c r="E493" i="5" a="1"/>
  <c r="E493" i="5" s="1"/>
  <c r="E494" i="5" a="1"/>
  <c r="E494" i="5"/>
  <c r="E495" i="5" a="1"/>
  <c r="E495" i="5" s="1"/>
  <c r="E496" i="5" a="1"/>
  <c r="E496" i="5"/>
  <c r="E497" i="5" a="1"/>
  <c r="E497" i="5" s="1"/>
  <c r="E498" i="5" a="1"/>
  <c r="E498" i="5" s="1"/>
  <c r="E499" i="5" a="1"/>
  <c r="E499" i="5" s="1"/>
  <c r="E500" i="5" a="1"/>
  <c r="E500" i="5"/>
  <c r="E501" i="5" a="1"/>
  <c r="E501" i="5" s="1"/>
  <c r="E502" i="5" a="1"/>
  <c r="E502" i="5"/>
  <c r="E503" i="5" a="1"/>
  <c r="E503" i="5"/>
  <c r="E504" i="5" a="1"/>
  <c r="E504" i="5" s="1"/>
  <c r="E505" i="5" a="1"/>
  <c r="E505" i="5" s="1"/>
  <c r="E506" i="5" a="1"/>
  <c r="E506" i="5" s="1"/>
  <c r="E507" i="5" a="1"/>
  <c r="E507" i="5" s="1"/>
  <c r="E508" i="5" a="1"/>
  <c r="E508" i="5" s="1"/>
  <c r="E509" i="5" a="1"/>
  <c r="E509" i="5" s="1"/>
  <c r="E510" i="5" a="1"/>
  <c r="E510" i="5"/>
  <c r="E511" i="5" a="1"/>
  <c r="E511" i="5"/>
  <c r="E512" i="5" a="1"/>
  <c r="E512" i="5"/>
  <c r="E513" i="5" a="1"/>
  <c r="E513" i="5" s="1"/>
  <c r="E514" i="5" a="1"/>
  <c r="E514" i="5"/>
  <c r="E515" i="5" a="1"/>
  <c r="E515" i="5" s="1"/>
  <c r="E516" i="5" a="1"/>
  <c r="E516" i="5" s="1"/>
  <c r="E517" i="5" a="1"/>
  <c r="E517" i="5" s="1"/>
  <c r="E518" i="5" a="1"/>
  <c r="E518" i="5" s="1"/>
  <c r="E519" i="5" a="1"/>
  <c r="E519" i="5"/>
  <c r="E520" i="5" a="1"/>
  <c r="E520" i="5"/>
  <c r="E521" i="5" a="1"/>
  <c r="E521" i="5" s="1"/>
  <c r="E522" i="5" a="1"/>
  <c r="E522" i="5" s="1"/>
  <c r="E523" i="5" a="1"/>
  <c r="E523" i="5"/>
  <c r="E524" i="5" a="1"/>
  <c r="E524" i="5" s="1"/>
  <c r="E525" i="5" a="1"/>
  <c r="E525" i="5" s="1"/>
  <c r="E526" i="5" a="1"/>
  <c r="E526" i="5"/>
  <c r="E527" i="5" a="1"/>
  <c r="E527" i="5" s="1"/>
  <c r="E528" i="5" a="1"/>
  <c r="E528" i="5"/>
  <c r="E529" i="5" a="1"/>
  <c r="E529" i="5" s="1"/>
  <c r="E530" i="5" a="1"/>
  <c r="E530" i="5" s="1"/>
  <c r="E531" i="5" a="1"/>
  <c r="E531" i="5" s="1"/>
  <c r="E532" i="5" a="1"/>
  <c r="E532" i="5"/>
  <c r="E533" i="5" a="1"/>
  <c r="E533" i="5" s="1"/>
  <c r="E534" i="5" a="1"/>
  <c r="E534" i="5"/>
  <c r="E535" i="5" a="1"/>
  <c r="E535" i="5"/>
  <c r="E536" i="5" a="1"/>
  <c r="E536" i="5" s="1"/>
  <c r="E537" i="5" a="1"/>
  <c r="E537" i="5" s="1"/>
  <c r="E538" i="5" a="1"/>
  <c r="E538" i="5" s="1"/>
  <c r="E539" i="5" a="1"/>
  <c r="E539" i="5" s="1"/>
  <c r="E540" i="5" a="1"/>
  <c r="E540" i="5" s="1"/>
  <c r="E541" i="5" a="1"/>
  <c r="E541" i="5" s="1"/>
  <c r="E542" i="5" a="1"/>
  <c r="E542" i="5"/>
  <c r="E543" i="5" a="1"/>
  <c r="E543" i="5"/>
  <c r="E544" i="5" a="1"/>
  <c r="E544" i="5"/>
  <c r="E545" i="5" a="1"/>
  <c r="E545" i="5" s="1"/>
  <c r="E546" i="5" a="1"/>
  <c r="E546" i="5"/>
  <c r="E547" i="5" a="1"/>
  <c r="E547" i="5" s="1"/>
  <c r="E548" i="5" a="1"/>
  <c r="E548" i="5" s="1"/>
  <c r="E549" i="5" a="1"/>
  <c r="E549" i="5" s="1"/>
  <c r="E550" i="5" a="1"/>
  <c r="E550" i="5"/>
  <c r="E551" i="5" a="1"/>
  <c r="E551" i="5"/>
  <c r="E552" i="5" a="1"/>
  <c r="E552" i="5"/>
  <c r="E553" i="5" a="1"/>
  <c r="E553" i="5" s="1"/>
  <c r="E554" i="5" a="1"/>
  <c r="E554" i="5" s="1"/>
  <c r="E555" i="5" a="1"/>
  <c r="E555" i="5"/>
  <c r="E556" i="5" a="1"/>
  <c r="E556" i="5" s="1"/>
  <c r="E557" i="5" a="1"/>
  <c r="E557" i="5" s="1"/>
  <c r="E558" i="5" a="1"/>
  <c r="E558" i="5"/>
  <c r="E559" i="5" a="1"/>
  <c r="E559" i="5"/>
  <c r="E560" i="5" a="1"/>
  <c r="E560" i="5"/>
  <c r="E561" i="5" a="1"/>
  <c r="E561" i="5" s="1"/>
  <c r="E562" i="5" a="1"/>
  <c r="E562" i="5" s="1"/>
  <c r="E563" i="5" a="1"/>
  <c r="E563" i="5" s="1"/>
  <c r="E564" i="5" a="1"/>
  <c r="E564" i="5"/>
  <c r="E565" i="5" a="1"/>
  <c r="E565" i="5" s="1"/>
  <c r="E566" i="5" a="1"/>
  <c r="E566" i="5"/>
  <c r="E567" i="5" a="1"/>
  <c r="E567" i="5"/>
  <c r="E568" i="5" a="1"/>
  <c r="E568" i="5" s="1"/>
  <c r="E569" i="5" a="1"/>
  <c r="E569" i="5" s="1"/>
  <c r="E570" i="5" a="1"/>
  <c r="E570" i="5" s="1"/>
  <c r="E571" i="5" a="1"/>
  <c r="E571" i="5" s="1"/>
  <c r="E572" i="5" a="1"/>
  <c r="E572" i="5" s="1"/>
  <c r="E573" i="5" a="1"/>
  <c r="E573" i="5" s="1"/>
  <c r="E574" i="5" a="1"/>
  <c r="E574" i="5"/>
  <c r="E575" i="5" a="1"/>
  <c r="E575" i="5"/>
  <c r="E576" i="5" a="1"/>
  <c r="E576" i="5"/>
  <c r="E577" i="5" a="1"/>
  <c r="E577" i="5" s="1"/>
  <c r="E578" i="5" a="1"/>
  <c r="E578" i="5"/>
  <c r="E579" i="5" a="1"/>
  <c r="E579" i="5" s="1"/>
  <c r="E580" i="5" a="1"/>
  <c r="E580" i="5" s="1"/>
  <c r="E581" i="5" a="1"/>
  <c r="E581" i="5" s="1"/>
  <c r="E582" i="5" a="1"/>
  <c r="E582" i="5" s="1"/>
  <c r="E583" i="5" a="1"/>
  <c r="E583" i="5"/>
  <c r="E584" i="5" a="1"/>
  <c r="E584" i="5"/>
  <c r="E585" i="5" a="1"/>
  <c r="E585" i="5" s="1"/>
  <c r="E586" i="5" a="1"/>
  <c r="E586" i="5" s="1"/>
  <c r="E587" i="5" a="1"/>
  <c r="E587" i="5"/>
  <c r="E588" i="5" a="1"/>
  <c r="E588" i="5" s="1"/>
  <c r="E589" i="5" a="1"/>
  <c r="E589" i="5" s="1"/>
  <c r="E590" i="5" a="1"/>
  <c r="E590" i="5"/>
  <c r="E591" i="5" a="1"/>
  <c r="E591" i="5" s="1"/>
  <c r="E592" i="5" a="1"/>
  <c r="E592" i="5"/>
  <c r="E593" i="5" a="1"/>
  <c r="E593" i="5" s="1"/>
  <c r="E594" i="5" a="1"/>
  <c r="E594" i="5" s="1"/>
  <c r="E595" i="5" a="1"/>
  <c r="E595" i="5" s="1"/>
  <c r="E596" i="5" a="1"/>
  <c r="E596" i="5"/>
  <c r="E597" i="5" a="1"/>
  <c r="E597" i="5" s="1"/>
  <c r="E598" i="5" a="1"/>
  <c r="E598" i="5"/>
  <c r="E599" i="5" a="1"/>
  <c r="E599" i="5"/>
  <c r="E600" i="5" a="1"/>
  <c r="E600" i="5" s="1"/>
  <c r="E601" i="5" a="1"/>
  <c r="E601" i="5" s="1"/>
  <c r="E602" i="5" a="1"/>
  <c r="E602" i="5" s="1"/>
  <c r="E603" i="5" a="1"/>
  <c r="E603" i="5" s="1"/>
  <c r="E604" i="5" a="1"/>
  <c r="E604" i="5" s="1"/>
  <c r="E605" i="5" a="1"/>
  <c r="E605" i="5" s="1"/>
  <c r="E606" i="5" a="1"/>
  <c r="E606" i="5"/>
  <c r="E607" i="5" a="1"/>
  <c r="E607" i="5"/>
  <c r="E608" i="5" a="1"/>
  <c r="E608" i="5"/>
  <c r="E609" i="5" a="1"/>
  <c r="E609" i="5" s="1"/>
  <c r="E610" i="5" a="1"/>
  <c r="E610" i="5"/>
  <c r="E611" i="5" a="1"/>
  <c r="E611" i="5" s="1"/>
  <c r="E612" i="5" a="1"/>
  <c r="E612" i="5" s="1"/>
  <c r="E613" i="5" a="1"/>
  <c r="E613" i="5" s="1"/>
  <c r="E614" i="5" a="1"/>
  <c r="E614" i="5" s="1"/>
  <c r="E615" i="5" a="1"/>
  <c r="E615" i="5"/>
  <c r="E616" i="5" a="1"/>
  <c r="E616" i="5"/>
  <c r="E617" i="5" a="1"/>
  <c r="E617" i="5" s="1"/>
  <c r="E618" i="5" a="1"/>
  <c r="E618" i="5" s="1"/>
  <c r="E619" i="5" a="1"/>
  <c r="E619" i="5"/>
  <c r="E620" i="5" a="1"/>
  <c r="E620" i="5" s="1"/>
  <c r="E621" i="5" a="1"/>
  <c r="E621" i="5" s="1"/>
  <c r="E622" i="5" a="1"/>
  <c r="E622" i="5"/>
  <c r="E623" i="5" a="1"/>
  <c r="E623" i="5" s="1"/>
  <c r="E624" i="5" a="1"/>
  <c r="E624" i="5"/>
  <c r="E625" i="5" a="1"/>
  <c r="E625" i="5" s="1"/>
  <c r="E626" i="5" a="1"/>
  <c r="E626" i="5" s="1"/>
  <c r="E627" i="5" a="1"/>
  <c r="E627" i="5" s="1"/>
  <c r="E628" i="5" a="1"/>
  <c r="E628" i="5"/>
  <c r="E629" i="5" a="1"/>
  <c r="E629" i="5" s="1"/>
  <c r="E630" i="5" a="1"/>
  <c r="E630" i="5"/>
  <c r="E631" i="5" a="1"/>
  <c r="E631" i="5"/>
  <c r="E632" i="5" a="1"/>
  <c r="E632" i="5" s="1"/>
  <c r="E633" i="5" a="1"/>
  <c r="E633" i="5" s="1"/>
  <c r="E634" i="5" a="1"/>
  <c r="E634" i="5" s="1"/>
  <c r="E635" i="5" a="1"/>
  <c r="E635" i="5" s="1"/>
  <c r="E636" i="5" a="1"/>
  <c r="E636" i="5" s="1"/>
  <c r="E637" i="5" a="1"/>
  <c r="E637" i="5" s="1"/>
  <c r="E638" i="5" a="1"/>
  <c r="E638" i="5"/>
  <c r="E639" i="5" a="1"/>
  <c r="E639" i="5"/>
  <c r="E640" i="5" a="1"/>
  <c r="E640" i="5"/>
  <c r="E641" i="5" a="1"/>
  <c r="E641" i="5" s="1"/>
  <c r="E642" i="5" a="1"/>
  <c r="E642" i="5"/>
  <c r="E643" i="5" a="1"/>
  <c r="E643" i="5" s="1"/>
  <c r="E644" i="5" a="1"/>
  <c r="E644" i="5" s="1"/>
  <c r="E645" i="5" a="1"/>
  <c r="E645" i="5" s="1"/>
  <c r="E646" i="5" a="1"/>
  <c r="E646" i="5" s="1"/>
  <c r="E647" i="5" a="1"/>
  <c r="E647" i="5"/>
  <c r="E648" i="5" a="1"/>
  <c r="E648" i="5"/>
  <c r="E649" i="5" a="1"/>
  <c r="E649" i="5" s="1"/>
  <c r="E650" i="5" a="1"/>
  <c r="E650" i="5" s="1"/>
  <c r="E651" i="5" a="1"/>
  <c r="E651" i="5"/>
  <c r="E652" i="5" a="1"/>
  <c r="E652" i="5" s="1"/>
  <c r="E653" i="5" a="1"/>
  <c r="E653" i="5" s="1"/>
  <c r="E654" i="5" a="1"/>
  <c r="E654" i="5"/>
  <c r="E655" i="5" a="1"/>
  <c r="E655" i="5" s="1"/>
  <c r="E656" i="5" a="1"/>
  <c r="E656" i="5"/>
  <c r="E657" i="5" a="1"/>
  <c r="E657" i="5" s="1"/>
  <c r="E658" i="5" a="1"/>
  <c r="E658" i="5" s="1"/>
  <c r="E659" i="5" a="1"/>
  <c r="E659" i="5" s="1"/>
  <c r="E660" i="5" a="1"/>
  <c r="E660" i="5"/>
  <c r="E661" i="5" a="1"/>
  <c r="E661" i="5" s="1"/>
  <c r="E662" i="5" a="1"/>
  <c r="E662" i="5"/>
  <c r="E663" i="5" a="1"/>
  <c r="E663" i="5"/>
  <c r="E664" i="5" a="1"/>
  <c r="E664" i="5" s="1"/>
  <c r="E665" i="5" a="1"/>
  <c r="E665" i="5" s="1"/>
  <c r="E666" i="5" a="1"/>
  <c r="E666" i="5" s="1"/>
  <c r="E667" i="5" a="1"/>
  <c r="E667" i="5" s="1"/>
  <c r="E668" i="5" a="1"/>
  <c r="E668" i="5" s="1"/>
  <c r="E669" i="5" a="1"/>
  <c r="E669" i="5" s="1"/>
  <c r="E670" i="5" a="1"/>
  <c r="E670" i="5"/>
  <c r="E671" i="5" a="1"/>
  <c r="E671" i="5"/>
  <c r="E672" i="5" a="1"/>
  <c r="E672" i="5"/>
  <c r="E673" i="5" a="1"/>
  <c r="E673" i="5" s="1"/>
  <c r="E674" i="5" a="1"/>
  <c r="E674" i="5"/>
  <c r="E675" i="5" a="1"/>
  <c r="E675" i="5" s="1"/>
  <c r="E676" i="5" a="1"/>
  <c r="E676" i="5" s="1"/>
  <c r="E677" i="5" a="1"/>
  <c r="E677" i="5" s="1"/>
  <c r="E678" i="5" a="1"/>
  <c r="E678" i="5" s="1"/>
  <c r="E679" i="5" a="1"/>
  <c r="E679" i="5"/>
  <c r="E680" i="5" a="1"/>
  <c r="E680" i="5"/>
  <c r="E681" i="5" a="1"/>
  <c r="E681" i="5" s="1"/>
  <c r="E682" i="5" a="1"/>
  <c r="E682" i="5" s="1"/>
  <c r="E683" i="5" a="1"/>
  <c r="E683" i="5"/>
  <c r="E684" i="5" a="1"/>
  <c r="E684" i="5" s="1"/>
  <c r="E685" i="5" a="1"/>
  <c r="E685" i="5" s="1"/>
  <c r="E686" i="5" a="1"/>
  <c r="E686" i="5"/>
  <c r="E687" i="5" a="1"/>
  <c r="E687" i="5" s="1"/>
  <c r="E688" i="5" a="1"/>
  <c r="E688" i="5"/>
  <c r="E689" i="5" a="1"/>
  <c r="E689" i="5" s="1"/>
  <c r="E690" i="5" a="1"/>
  <c r="E690" i="5" s="1"/>
  <c r="E691" i="5" a="1"/>
  <c r="E691" i="5" s="1"/>
  <c r="E692" i="5" a="1"/>
  <c r="E692" i="5"/>
  <c r="E693" i="5" a="1"/>
  <c r="E693" i="5" s="1"/>
  <c r="E694" i="5" a="1"/>
  <c r="E694" i="5"/>
  <c r="E695" i="5" a="1"/>
  <c r="E695" i="5"/>
  <c r="E696" i="5" a="1"/>
  <c r="E696" i="5" s="1"/>
  <c r="E697" i="5" a="1"/>
  <c r="E697" i="5" s="1"/>
  <c r="E698" i="5" a="1"/>
  <c r="E698" i="5" s="1"/>
  <c r="E699" i="5" a="1"/>
  <c r="E699" i="5" s="1"/>
  <c r="E700" i="5" a="1"/>
  <c r="E700" i="5" s="1"/>
  <c r="E701" i="5" a="1"/>
  <c r="E701" i="5" s="1"/>
  <c r="E702" i="5" a="1"/>
  <c r="E702" i="5" s="1"/>
  <c r="E703" i="5" a="1"/>
  <c r="E703" i="5"/>
  <c r="E704" i="5" a="1"/>
  <c r="E704" i="5"/>
  <c r="E705" i="5" a="1"/>
  <c r="E705" i="5" s="1"/>
  <c r="E706" i="5" a="1"/>
  <c r="E706" i="5"/>
  <c r="E707" i="5" a="1"/>
  <c r="E707" i="5" s="1"/>
  <c r="E708" i="5" a="1"/>
  <c r="E708" i="5" s="1"/>
  <c r="E709" i="5" a="1"/>
  <c r="E709" i="5" s="1"/>
  <c r="E710" i="5" a="1"/>
  <c r="E710" i="5"/>
  <c r="E711" i="5" a="1"/>
  <c r="E711" i="5" s="1"/>
  <c r="E712" i="5" a="1"/>
  <c r="E712" i="5" s="1"/>
  <c r="E713" i="5" a="1"/>
  <c r="E713" i="5" s="1"/>
  <c r="E714" i="5" a="1"/>
  <c r="E714" i="5"/>
  <c r="E715" i="5" a="1"/>
  <c r="E715" i="5" s="1"/>
  <c r="E716" i="5" a="1"/>
  <c r="E716" i="5" s="1"/>
  <c r="E717" i="5" a="1"/>
  <c r="E717" i="5" s="1"/>
  <c r="E718" i="5" a="1"/>
  <c r="E718" i="5"/>
  <c r="E719" i="5" a="1"/>
  <c r="E719" i="5" s="1"/>
  <c r="E720" i="5" a="1"/>
  <c r="E720" i="5" s="1"/>
  <c r="E721" i="5" a="1"/>
  <c r="E721" i="5" s="1"/>
  <c r="E722" i="5" a="1"/>
  <c r="E722" i="5"/>
  <c r="E723" i="5" a="1"/>
  <c r="E723" i="5" s="1"/>
  <c r="E724" i="5" a="1"/>
  <c r="E724" i="5" s="1"/>
  <c r="E725" i="5" a="1"/>
  <c r="E725" i="5" s="1"/>
  <c r="E726" i="5" a="1"/>
  <c r="E726" i="5"/>
  <c r="E727" i="5" a="1"/>
  <c r="E727" i="5" s="1"/>
  <c r="E728" i="5" a="1"/>
  <c r="E728" i="5" s="1"/>
  <c r="E729" i="5" a="1"/>
  <c r="E729" i="5" s="1"/>
  <c r="E730" i="5" a="1"/>
  <c r="E730" i="5"/>
  <c r="E731" i="5" a="1"/>
  <c r="E731" i="5" s="1"/>
  <c r="E732" i="5" a="1"/>
  <c r="E732" i="5" s="1"/>
  <c r="E733" i="5" a="1"/>
  <c r="E733" i="5" s="1"/>
  <c r="E734" i="5" a="1"/>
  <c r="E734" i="5"/>
  <c r="E735" i="5" a="1"/>
  <c r="E735" i="5" s="1"/>
  <c r="E736" i="5" a="1"/>
  <c r="E736" i="5" s="1"/>
  <c r="E737" i="5" a="1"/>
  <c r="E737" i="5" s="1"/>
  <c r="E738" i="5" a="1"/>
  <c r="E738" i="5"/>
  <c r="E739" i="5" a="1"/>
  <c r="E739" i="5" s="1"/>
  <c r="E740" i="5" a="1"/>
  <c r="E740" i="5" s="1"/>
  <c r="E741" i="5" a="1"/>
  <c r="E741" i="5" s="1"/>
  <c r="E742" i="5" a="1"/>
  <c r="E742" i="5"/>
  <c r="E743" i="5" a="1"/>
  <c r="E743" i="5" s="1"/>
  <c r="E744" i="5" a="1"/>
  <c r="E744" i="5" s="1"/>
  <c r="E745" i="5" a="1"/>
  <c r="E745" i="5" s="1"/>
  <c r="E746" i="5" a="1"/>
  <c r="E746" i="5"/>
  <c r="E747" i="5" a="1"/>
  <c r="E747" i="5" s="1"/>
  <c r="E748" i="5" a="1"/>
  <c r="E748" i="5" s="1"/>
  <c r="E749" i="5" a="1"/>
  <c r="E749" i="5" s="1"/>
  <c r="E750" i="5" a="1"/>
  <c r="E750" i="5"/>
  <c r="E751" i="5" a="1"/>
  <c r="E751" i="5" s="1"/>
  <c r="E752" i="5" a="1"/>
  <c r="E752" i="5" s="1"/>
  <c r="E753" i="5" a="1"/>
  <c r="E753" i="5" s="1"/>
  <c r="E754" i="5" a="1"/>
  <c r="E754" i="5"/>
  <c r="E755" i="5" a="1"/>
  <c r="E755" i="5" s="1"/>
  <c r="E756" i="5" a="1"/>
  <c r="E756" i="5" s="1"/>
  <c r="E757" i="5" a="1"/>
  <c r="E757" i="5" s="1"/>
  <c r="E758" i="5" a="1"/>
  <c r="E758" i="5"/>
  <c r="E759" i="5" a="1"/>
  <c r="E759" i="5" s="1"/>
  <c r="E760" i="5" a="1"/>
  <c r="E760" i="5" s="1"/>
  <c r="E761" i="5" a="1"/>
  <c r="E761" i="5" s="1"/>
  <c r="E762" i="5" a="1"/>
  <c r="E762" i="5"/>
  <c r="E763" i="5" a="1"/>
  <c r="E763" i="5" s="1"/>
  <c r="E764" i="5" a="1"/>
  <c r="E764" i="5" s="1"/>
  <c r="E765" i="5" a="1"/>
  <c r="E765" i="5" s="1"/>
  <c r="E766" i="5" a="1"/>
  <c r="E766" i="5"/>
  <c r="E767" i="5" a="1"/>
  <c r="E767" i="5" s="1"/>
  <c r="E768" i="5" a="1"/>
  <c r="E768" i="5" s="1"/>
  <c r="E769" i="5" a="1"/>
  <c r="E769" i="5" s="1"/>
  <c r="E770" i="5" a="1"/>
  <c r="E770" i="5"/>
  <c r="E771" i="5" a="1"/>
  <c r="E771" i="5" s="1"/>
  <c r="E772" i="5" a="1"/>
  <c r="E772" i="5" s="1"/>
  <c r="E773" i="5" a="1"/>
  <c r="E773" i="5" s="1"/>
  <c r="E774" i="5" a="1"/>
  <c r="E774" i="5"/>
  <c r="E775" i="5" a="1"/>
  <c r="E775" i="5" s="1"/>
  <c r="E776" i="5" a="1"/>
  <c r="E776" i="5" s="1"/>
  <c r="E777" i="5" a="1"/>
  <c r="E777" i="5" s="1"/>
  <c r="E778" i="5" a="1"/>
  <c r="E778" i="5"/>
  <c r="E779" i="5" a="1"/>
  <c r="E779" i="5" s="1"/>
  <c r="E780" i="5" a="1"/>
  <c r="E780" i="5" s="1"/>
  <c r="E781" i="5" a="1"/>
  <c r="E781" i="5" s="1"/>
  <c r="E782" i="5" a="1"/>
  <c r="E782" i="5"/>
  <c r="E783" i="5" a="1"/>
  <c r="E783" i="5" s="1"/>
  <c r="E784" i="5" a="1"/>
  <c r="E784" i="5" s="1"/>
  <c r="E785" i="5" a="1"/>
  <c r="E785" i="5" s="1"/>
  <c r="E786" i="5" a="1"/>
  <c r="E786" i="5"/>
  <c r="E787" i="5" a="1"/>
  <c r="E787" i="5" s="1"/>
  <c r="E788" i="5" a="1"/>
  <c r="E788" i="5" s="1"/>
  <c r="E789" i="5" a="1"/>
  <c r="E789" i="5" s="1"/>
  <c r="E790" i="5" a="1"/>
  <c r="E790" i="5"/>
  <c r="E791" i="5" a="1"/>
  <c r="E791" i="5" s="1"/>
  <c r="E792" i="5" a="1"/>
  <c r="E792" i="5" s="1"/>
  <c r="E793" i="5" a="1"/>
  <c r="E793" i="5" s="1"/>
  <c r="E794" i="5" a="1"/>
  <c r="E794" i="5"/>
  <c r="E795" i="5" a="1"/>
  <c r="E795" i="5" s="1"/>
  <c r="E796" i="5" a="1"/>
  <c r="E796" i="5" s="1"/>
  <c r="E797" i="5" a="1"/>
  <c r="E797" i="5" s="1"/>
  <c r="E798" i="5" a="1"/>
  <c r="E798" i="5"/>
  <c r="E799" i="5" a="1"/>
  <c r="E799" i="5" s="1"/>
  <c r="E800" i="5" a="1"/>
  <c r="E800" i="5" s="1"/>
  <c r="E801" i="5" a="1"/>
  <c r="E801" i="5" s="1"/>
  <c r="E802" i="5" a="1"/>
  <c r="E802" i="5"/>
  <c r="E803" i="5" a="1"/>
  <c r="E803" i="5" s="1"/>
  <c r="E804" i="5" a="1"/>
  <c r="E804" i="5" s="1"/>
  <c r="E805" i="5" a="1"/>
  <c r="E805" i="5" s="1"/>
  <c r="E806" i="5" a="1"/>
  <c r="E806" i="5"/>
  <c r="E807" i="5" a="1"/>
  <c r="E807" i="5" s="1"/>
  <c r="E808" i="5" a="1"/>
  <c r="E808" i="5" s="1"/>
  <c r="E809" i="5" a="1"/>
  <c r="E809" i="5" s="1"/>
  <c r="E810" i="5" a="1"/>
  <c r="E810" i="5"/>
  <c r="E811" i="5" a="1"/>
  <c r="E811" i="5" s="1"/>
  <c r="E812" i="5" a="1"/>
  <c r="E812" i="5" s="1"/>
  <c r="E813" i="5" a="1"/>
  <c r="E813" i="5" s="1"/>
  <c r="E814" i="5" a="1"/>
  <c r="E814" i="5"/>
  <c r="E815" i="5" a="1"/>
  <c r="E815" i="5" s="1"/>
  <c r="E816" i="5" a="1"/>
  <c r="E816" i="5" s="1"/>
  <c r="E817" i="5" a="1"/>
  <c r="E817" i="5" s="1"/>
  <c r="E818" i="5" a="1"/>
  <c r="E818" i="5"/>
  <c r="E819" i="5" a="1"/>
  <c r="E819" i="5" s="1"/>
  <c r="E820" i="5" a="1"/>
  <c r="E820" i="5" s="1"/>
  <c r="E821" i="5" a="1"/>
  <c r="E821" i="5" s="1"/>
  <c r="E822" i="5" a="1"/>
  <c r="E822" i="5" s="1"/>
  <c r="E823" i="5" a="1"/>
  <c r="E823" i="5" s="1"/>
  <c r="E824" i="5" a="1"/>
  <c r="E824" i="5" s="1"/>
  <c r="E825" i="5" a="1"/>
  <c r="E825" i="5" s="1"/>
  <c r="E826" i="5" a="1"/>
  <c r="E826" i="5" s="1"/>
  <c r="E827" i="5" a="1"/>
  <c r="E827" i="5" s="1"/>
  <c r="E828" i="5" a="1"/>
  <c r="E828" i="5" s="1"/>
  <c r="E829" i="5" a="1"/>
  <c r="E829" i="5" s="1"/>
  <c r="E830" i="5" a="1"/>
  <c r="E830" i="5" s="1"/>
  <c r="E831" i="5" a="1"/>
  <c r="E831" i="5" s="1"/>
  <c r="E2" i="5" a="1"/>
  <c r="E2" i="5" s="1"/>
  <c r="D2" i="5" a="1"/>
  <c r="D2" i="5" s="1"/>
  <c r="C2" i="5" a="1"/>
  <c r="C2" i="5" s="1"/>
  <c r="B2" i="5" a="1"/>
  <c r="B2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<sst xmlns="http://schemas.openxmlformats.org/spreadsheetml/2006/main" count="8712" uniqueCount="431">
  <si>
    <t>orderID</t>
  </si>
  <si>
    <t>customerID</t>
  </si>
  <si>
    <t>employeeID</t>
  </si>
  <si>
    <t>orderDate</t>
  </si>
  <si>
    <t>requiredDate</t>
  </si>
  <si>
    <t>shippedDate</t>
  </si>
  <si>
    <t>shipVia</t>
  </si>
  <si>
    <t>freight</t>
  </si>
  <si>
    <t>shipName</t>
  </si>
  <si>
    <t>shipAddress</t>
  </si>
  <si>
    <t>shipCity</t>
  </si>
  <si>
    <t>shipRegion</t>
  </si>
  <si>
    <t>shipPostalCode</t>
  </si>
  <si>
    <t>shipCountry</t>
  </si>
  <si>
    <t>VINET</t>
  </si>
  <si>
    <t>Vins et alcools Chevalier</t>
  </si>
  <si>
    <t>59 rue de l'Abbaye</t>
  </si>
  <si>
    <t>Reims</t>
  </si>
  <si>
    <t>NULL</t>
  </si>
  <si>
    <t>France</t>
  </si>
  <si>
    <t>TOMSP</t>
  </si>
  <si>
    <t>Toms Spezialit√§ten</t>
  </si>
  <si>
    <t>Luisenstr. 48</t>
  </si>
  <si>
    <t>M√ºnster</t>
  </si>
  <si>
    <t>Germany</t>
  </si>
  <si>
    <t>HANAR</t>
  </si>
  <si>
    <t>Hanari Carnes</t>
  </si>
  <si>
    <t>Rua do Pa√ßo</t>
  </si>
  <si>
    <t>Rio de Janeiro</t>
  </si>
  <si>
    <t>RJ</t>
  </si>
  <si>
    <t>05454-876</t>
  </si>
  <si>
    <t>Brazil</t>
  </si>
  <si>
    <t>VICTE</t>
  </si>
  <si>
    <t>Victuailles en stock</t>
  </si>
  <si>
    <t xml:space="preserve"> rue du Commerce</t>
  </si>
  <si>
    <t>Lyon</t>
  </si>
  <si>
    <t>SUPRD</t>
  </si>
  <si>
    <t>Supr√™mes d√©lices</t>
  </si>
  <si>
    <t>Boulevard Tirou</t>
  </si>
  <si>
    <t>Charleroi</t>
  </si>
  <si>
    <t>B-6000</t>
  </si>
  <si>
    <t>Belgium</t>
  </si>
  <si>
    <t>CHOPS</t>
  </si>
  <si>
    <t>Chop-suey Chinese</t>
  </si>
  <si>
    <t>Hauptstr. 31</t>
  </si>
  <si>
    <t>Bern</t>
  </si>
  <si>
    <t>Switzerland</t>
  </si>
  <si>
    <t>RICSU</t>
  </si>
  <si>
    <t>Richter Supermarkt</t>
  </si>
  <si>
    <t>Starenweg 5</t>
  </si>
  <si>
    <t>Gen√®ve</t>
  </si>
  <si>
    <t>WELLI</t>
  </si>
  <si>
    <t>Wellington Importadora</t>
  </si>
  <si>
    <t>Rua do Mercado</t>
  </si>
  <si>
    <t>Resende</t>
  </si>
  <si>
    <t>SP</t>
  </si>
  <si>
    <t>08737-363</t>
  </si>
  <si>
    <t>HILAA</t>
  </si>
  <si>
    <t>HILARION-Abastos</t>
  </si>
  <si>
    <t>Carrera 22 con Ave. Carlos Soublette #8-35</t>
  </si>
  <si>
    <t>San Crist√≥bal</t>
  </si>
  <si>
    <t>T√°chira</t>
  </si>
  <si>
    <t>Venezuela</t>
  </si>
  <si>
    <t>ERNSH</t>
  </si>
  <si>
    <t>Ernst Handel</t>
  </si>
  <si>
    <t>Kirchgasse 6</t>
  </si>
  <si>
    <t>Graz</t>
  </si>
  <si>
    <t>Austria</t>
  </si>
  <si>
    <t>CENTC</t>
  </si>
  <si>
    <t>Centro comercial Moctezuma</t>
  </si>
  <si>
    <t>Sierras de Granada 9993</t>
  </si>
  <si>
    <t>M√©xico D.F.</t>
  </si>
  <si>
    <t>05022</t>
  </si>
  <si>
    <t>Mexico</t>
  </si>
  <si>
    <t>OTTIK</t>
  </si>
  <si>
    <t>Ottilies K√§seladen</t>
  </si>
  <si>
    <t>Mehrheimerstr. 369</t>
  </si>
  <si>
    <t>K√∂ln</t>
  </si>
  <si>
    <t>QUEDE</t>
  </si>
  <si>
    <t>Que Del√≠cia</t>
  </si>
  <si>
    <t>Rua da Panificadora</t>
  </si>
  <si>
    <t>02389-673</t>
  </si>
  <si>
    <t>RATTC</t>
  </si>
  <si>
    <t>Rattlesnake Canyon Grocery</t>
  </si>
  <si>
    <t>2817 Milton Dr.</t>
  </si>
  <si>
    <t>Albuquerque</t>
  </si>
  <si>
    <t>NM</t>
  </si>
  <si>
    <t>USA</t>
  </si>
  <si>
    <t>FOLKO</t>
  </si>
  <si>
    <t>Folk och f√§ HB</t>
  </si>
  <si>
    <t>√Ökergatan 24</t>
  </si>
  <si>
    <t>Br√§cke</t>
  </si>
  <si>
    <t>S-844 67</t>
  </si>
  <si>
    <t>Sweden</t>
  </si>
  <si>
    <t>BLONP</t>
  </si>
  <si>
    <t>Blondel p√®re et fils</t>
  </si>
  <si>
    <t xml:space="preserve"> place Kl√©ber</t>
  </si>
  <si>
    <t>Strasbourg</t>
  </si>
  <si>
    <t>WARTH</t>
  </si>
  <si>
    <t>Wartian Herkku</t>
  </si>
  <si>
    <t>Torikatu 38</t>
  </si>
  <si>
    <t>Oulu</t>
  </si>
  <si>
    <t>Finland</t>
  </si>
  <si>
    <t>FRANK</t>
  </si>
  <si>
    <t>Frankenversand</t>
  </si>
  <si>
    <t>Berliner Platz 43</t>
  </si>
  <si>
    <t>M√ºnchen</t>
  </si>
  <si>
    <t>GROSR</t>
  </si>
  <si>
    <t>GROSELLA-Restaurante</t>
  </si>
  <si>
    <t>5¬™ Ave. Los Palos Grandes</t>
  </si>
  <si>
    <t>Caracas</t>
  </si>
  <si>
    <t>DF</t>
  </si>
  <si>
    <t>WHITC</t>
  </si>
  <si>
    <t>White Clover Markets</t>
  </si>
  <si>
    <t>1029 - 12th Ave. S.</t>
  </si>
  <si>
    <t>Seattle</t>
  </si>
  <si>
    <t>WA</t>
  </si>
  <si>
    <t>SPLIR</t>
  </si>
  <si>
    <t>Split Rail Beer &amp; Ale</t>
  </si>
  <si>
    <t>P.O. Box 555</t>
  </si>
  <si>
    <t>Lander</t>
  </si>
  <si>
    <t>WY</t>
  </si>
  <si>
    <t>QUICK</t>
  </si>
  <si>
    <t>QUICK-Stop</t>
  </si>
  <si>
    <t>Taucherstra√üe 10</t>
  </si>
  <si>
    <t>Cunewalde</t>
  </si>
  <si>
    <t>01307</t>
  </si>
  <si>
    <t>MAGAA</t>
  </si>
  <si>
    <t>Magazzini Alimentari Riuniti</t>
  </si>
  <si>
    <t>Via Ludovico il Moro 22</t>
  </si>
  <si>
    <t>Bergamo</t>
  </si>
  <si>
    <t>Italy</t>
  </si>
  <si>
    <t>TORTU</t>
  </si>
  <si>
    <t>Tortuga Restaurante</t>
  </si>
  <si>
    <t>Avda. Azteca 123</t>
  </si>
  <si>
    <t>05033</t>
  </si>
  <si>
    <t>MORGK</t>
  </si>
  <si>
    <t>Morgenstern Gesundkost</t>
  </si>
  <si>
    <t>Heerstr. 22</t>
  </si>
  <si>
    <t>Leipzig</t>
  </si>
  <si>
    <t>04179</t>
  </si>
  <si>
    <t>BERGS</t>
  </si>
  <si>
    <t>Berglunds snabbk√∂p</t>
  </si>
  <si>
    <t>Berguvsv√§gen  8</t>
  </si>
  <si>
    <t>Lule√•</t>
  </si>
  <si>
    <t>S-958 22</t>
  </si>
  <si>
    <t>LEHMS</t>
  </si>
  <si>
    <t>Lehmanns Marktstand</t>
  </si>
  <si>
    <t>Magazinweg 7</t>
  </si>
  <si>
    <t>Frankfurt a.M.</t>
  </si>
  <si>
    <t>ROMEY</t>
  </si>
  <si>
    <t>Romero y tomillo</t>
  </si>
  <si>
    <t>Gran V√≠a</t>
  </si>
  <si>
    <t>Madrid</t>
  </si>
  <si>
    <t>Spain</t>
  </si>
  <si>
    <t>LILAS</t>
  </si>
  <si>
    <t>LILA-Supermercado</t>
  </si>
  <si>
    <t>Carrera 52 con Ave. Bol√≠var #65-98 Llano Largo</t>
  </si>
  <si>
    <t>Barquisimeto</t>
  </si>
  <si>
    <t>Lara</t>
  </si>
  <si>
    <t>RICAR</t>
  </si>
  <si>
    <t>Ricardo Adocicados</t>
  </si>
  <si>
    <t>Av. Copacabana</t>
  </si>
  <si>
    <t>02389-890</t>
  </si>
  <si>
    <t>REGGC</t>
  </si>
  <si>
    <t>Reggiani Caseifici</t>
  </si>
  <si>
    <t>Strada Provinciale 124</t>
  </si>
  <si>
    <t>Reggio Emilia</t>
  </si>
  <si>
    <t>BSBEV</t>
  </si>
  <si>
    <t>B's Beverages</t>
  </si>
  <si>
    <t>Fauntleroy Circus</t>
  </si>
  <si>
    <t>London</t>
  </si>
  <si>
    <t>EC2 5NT</t>
  </si>
  <si>
    <t>UK</t>
  </si>
  <si>
    <t>COMMI</t>
  </si>
  <si>
    <t>Com√©rcio Mineiro</t>
  </si>
  <si>
    <t>Av. dos Lus√≠adas</t>
  </si>
  <si>
    <t>Sao Paulo</t>
  </si>
  <si>
    <t>05432-043</t>
  </si>
  <si>
    <t>TRADH</t>
  </si>
  <si>
    <t>Tradi√ßao Hipermercados</t>
  </si>
  <si>
    <t>Av. In√™s de Castro</t>
  </si>
  <si>
    <t>05634-030</t>
  </si>
  <si>
    <t>HUNGO</t>
  </si>
  <si>
    <t>Hungry Owl All-Night Grocers</t>
  </si>
  <si>
    <t>8 Johnstown Road</t>
  </si>
  <si>
    <t>Cork</t>
  </si>
  <si>
    <t>Co. Cork</t>
  </si>
  <si>
    <t>Ireland</t>
  </si>
  <si>
    <t>WANDK</t>
  </si>
  <si>
    <t>Die Wandernde Kuh</t>
  </si>
  <si>
    <t>Adenauerallee 900</t>
  </si>
  <si>
    <t>Stuttgart</t>
  </si>
  <si>
    <t>GODOS</t>
  </si>
  <si>
    <t>Godos Cocina T√≠pica</t>
  </si>
  <si>
    <t>C/ Romero</t>
  </si>
  <si>
    <t>Sevilla</t>
  </si>
  <si>
    <t>OLDWO</t>
  </si>
  <si>
    <t>Old World Delicatessen</t>
  </si>
  <si>
    <t>2743 Bering St.</t>
  </si>
  <si>
    <t>Anchorage</t>
  </si>
  <si>
    <t>AK</t>
  </si>
  <si>
    <t>LONEP</t>
  </si>
  <si>
    <t>Lonesome Pine Restaurant</t>
  </si>
  <si>
    <t>89 Chiaroscuro Rd.</t>
  </si>
  <si>
    <t>Portland</t>
  </si>
  <si>
    <t>OR</t>
  </si>
  <si>
    <t>ANATR</t>
  </si>
  <si>
    <t>Ana Trujillo Emparedados y helados</t>
  </si>
  <si>
    <t>Avda. de la Constituci√≥n 2222</t>
  </si>
  <si>
    <t>05021</t>
  </si>
  <si>
    <t>THEBI</t>
  </si>
  <si>
    <t>The Big Cheese</t>
  </si>
  <si>
    <t>89 Jefferson Way Suite 2</t>
  </si>
  <si>
    <t>DUMON</t>
  </si>
  <si>
    <t>Du monde entier</t>
  </si>
  <si>
    <t xml:space="preserve"> rue des Cinquante Otages</t>
  </si>
  <si>
    <t>Nantes</t>
  </si>
  <si>
    <t>ISLAT</t>
  </si>
  <si>
    <t>Island Trading</t>
  </si>
  <si>
    <t>Garden House Crowther Way</t>
  </si>
  <si>
    <t>Cowes</t>
  </si>
  <si>
    <t>Isle of Wight</t>
  </si>
  <si>
    <t>PO31 7PJ</t>
  </si>
  <si>
    <t>PERIC</t>
  </si>
  <si>
    <t>Pericles Comidas cl√°sicas</t>
  </si>
  <si>
    <t>Calle Dr. Jorge Cash 321</t>
  </si>
  <si>
    <t>KOENE</t>
  </si>
  <si>
    <t>K√∂niglich Essen</t>
  </si>
  <si>
    <t>Maubelstr. 90</t>
  </si>
  <si>
    <t>Brandenburg</t>
  </si>
  <si>
    <t>SAVEA</t>
  </si>
  <si>
    <t>Save-a-lot Markets</t>
  </si>
  <si>
    <t>187 Suffolk Ln.</t>
  </si>
  <si>
    <t>Boise</t>
  </si>
  <si>
    <t>ID</t>
  </si>
  <si>
    <t>BOLID</t>
  </si>
  <si>
    <t>B√≥lido Comidas preparadas</t>
  </si>
  <si>
    <t>C/ Araquil</t>
  </si>
  <si>
    <t>FURIB</t>
  </si>
  <si>
    <t>Furia Bacalhau e Frutos do Mar</t>
  </si>
  <si>
    <t>Jardim das rosas n. 32</t>
  </si>
  <si>
    <t>Lisboa</t>
  </si>
  <si>
    <t>Portugal</t>
  </si>
  <si>
    <t>BONAP</t>
  </si>
  <si>
    <t>Bon app'</t>
  </si>
  <si>
    <t xml:space="preserve"> rue des Bouchers</t>
  </si>
  <si>
    <t>Marseille</t>
  </si>
  <si>
    <t>MEREP</t>
  </si>
  <si>
    <t>M√®re Paillarde</t>
  </si>
  <si>
    <t>43 rue St. Laurent</t>
  </si>
  <si>
    <t>Montr√©al</t>
  </si>
  <si>
    <t>Qu√©bec</t>
  </si>
  <si>
    <t>H1J 1C3</t>
  </si>
  <si>
    <t>Canada</t>
  </si>
  <si>
    <t>PRINI</t>
  </si>
  <si>
    <t>Princesa Isabel Vinhos</t>
  </si>
  <si>
    <t>Estrada da sa√∫de n. 58</t>
  </si>
  <si>
    <t>SIMOB</t>
  </si>
  <si>
    <t>Simons bistro</t>
  </si>
  <si>
    <t>Vinb√¶ltet 34</t>
  </si>
  <si>
    <t>Kobenhavn</t>
  </si>
  <si>
    <t>Denmark</t>
  </si>
  <si>
    <t>FAMIA</t>
  </si>
  <si>
    <t>Familia Arquibaldo</t>
  </si>
  <si>
    <t>Rua Or√≥s</t>
  </si>
  <si>
    <t>05442-030</t>
  </si>
  <si>
    <t>LAMAI</t>
  </si>
  <si>
    <t>La maison d'Asie</t>
  </si>
  <si>
    <t>1 rue Alsace-Lorraine</t>
  </si>
  <si>
    <t>Toulouse</t>
  </si>
  <si>
    <t>PICCO</t>
  </si>
  <si>
    <t>Piccolo und mehr</t>
  </si>
  <si>
    <t>Geislweg 14</t>
  </si>
  <si>
    <t>Salzburg</t>
  </si>
  <si>
    <t>AROUT</t>
  </si>
  <si>
    <t>Around the Horn</t>
  </si>
  <si>
    <t>Brook Farm Stratford St. Mary</t>
  </si>
  <si>
    <t>Colchester</t>
  </si>
  <si>
    <t>Essex</t>
  </si>
  <si>
    <t>CO7 6JX</t>
  </si>
  <si>
    <t>SEVES</t>
  </si>
  <si>
    <t>Seven Seas Imports</t>
  </si>
  <si>
    <t>90 Wadhurst Rd.</t>
  </si>
  <si>
    <t>OX15 4NB</t>
  </si>
  <si>
    <t>DRACD</t>
  </si>
  <si>
    <t>Drachenblut Delikatessen</t>
  </si>
  <si>
    <t>Walserweg 21</t>
  </si>
  <si>
    <t>Aachen</t>
  </si>
  <si>
    <t>EASTC</t>
  </si>
  <si>
    <t>Eastern Connection</t>
  </si>
  <si>
    <t>35 King George</t>
  </si>
  <si>
    <t>WX3 6FW</t>
  </si>
  <si>
    <t>ANTON</t>
  </si>
  <si>
    <t>Antonio Moreno Taquer√≠a</t>
  </si>
  <si>
    <t>Mataderos  2312</t>
  </si>
  <si>
    <t>05023</t>
  </si>
  <si>
    <t>GALED</t>
  </si>
  <si>
    <t>Galer√≠a del gastron√≥mo</t>
  </si>
  <si>
    <t>Rambla de Catalu√±a</t>
  </si>
  <si>
    <t>Barcelona</t>
  </si>
  <si>
    <t>VAFFE</t>
  </si>
  <si>
    <t>Vaffeljernet</t>
  </si>
  <si>
    <t>Smagsloget 45</t>
  </si>
  <si>
    <t>√Örhus</t>
  </si>
  <si>
    <t>QUEEN</t>
  </si>
  <si>
    <t>Queen Cozinha</t>
  </si>
  <si>
    <t>Alameda dos Can√†rios</t>
  </si>
  <si>
    <t>05487-020</t>
  </si>
  <si>
    <t>WOLZA</t>
  </si>
  <si>
    <t>Wolski Zajazd</t>
  </si>
  <si>
    <t>ul. Filtrowa 68</t>
  </si>
  <si>
    <t>Warszawa</t>
  </si>
  <si>
    <t>01-012</t>
  </si>
  <si>
    <t>Poland</t>
  </si>
  <si>
    <t>HUNGC</t>
  </si>
  <si>
    <t>Hungry Coyote Import Store</t>
  </si>
  <si>
    <t>City Center Plaza 516 Main St.</t>
  </si>
  <si>
    <t>Elgin</t>
  </si>
  <si>
    <t>SANTG</t>
  </si>
  <si>
    <t>Sant√© Gourmet</t>
  </si>
  <si>
    <t>Erling Skakkes gate 78</t>
  </si>
  <si>
    <t>Stavern</t>
  </si>
  <si>
    <t>Norway</t>
  </si>
  <si>
    <t>BOTTM</t>
  </si>
  <si>
    <t>Bottom-Dollar Markets</t>
  </si>
  <si>
    <t>23 Tsawassen Blvd.</t>
  </si>
  <si>
    <t>Tsawassen</t>
  </si>
  <si>
    <t>BC</t>
  </si>
  <si>
    <t>T2F 8M4</t>
  </si>
  <si>
    <t>LINOD</t>
  </si>
  <si>
    <t>LINO-Delicateses</t>
  </si>
  <si>
    <t>Ave. 5 de Mayo Porlamar</t>
  </si>
  <si>
    <t>I. de Margarita</t>
  </si>
  <si>
    <t>Nueva Esparta</t>
  </si>
  <si>
    <t>FOLIG</t>
  </si>
  <si>
    <t>Folies gourmandes</t>
  </si>
  <si>
    <t xml:space="preserve"> chauss√©e de Tournai</t>
  </si>
  <si>
    <t>Lille</t>
  </si>
  <si>
    <t>OCEAN</t>
  </si>
  <si>
    <t>Oc√©ano Atl√°ntico Ltda.</t>
  </si>
  <si>
    <t>Ing. Gustavo Moncada 8585 Piso 20-A</t>
  </si>
  <si>
    <t>Buenos Aires</t>
  </si>
  <si>
    <t>Argentina</t>
  </si>
  <si>
    <t>FRANS</t>
  </si>
  <si>
    <t>Franchi S.p.A.</t>
  </si>
  <si>
    <t>Via Monte Bianco 34</t>
  </si>
  <si>
    <t>Torino</t>
  </si>
  <si>
    <t>GOURL</t>
  </si>
  <si>
    <t>Gourmet Lanchonetes</t>
  </si>
  <si>
    <t>Av. Brasil</t>
  </si>
  <si>
    <t>Campinas</t>
  </si>
  <si>
    <t>04876-786</t>
  </si>
  <si>
    <t>CONSH</t>
  </si>
  <si>
    <t>Consolidated Holdings</t>
  </si>
  <si>
    <t>Berkeley Gardens 12  Brewery</t>
  </si>
  <si>
    <t>WX1 6LT</t>
  </si>
  <si>
    <t>RANCH</t>
  </si>
  <si>
    <t>Rancho grande</t>
  </si>
  <si>
    <t>Av. del Libertador 900</t>
  </si>
  <si>
    <t>LAZYK</t>
  </si>
  <si>
    <t>Lazy K Kountry Store</t>
  </si>
  <si>
    <t>12 Orchestra Terrace</t>
  </si>
  <si>
    <t>Walla Walla</t>
  </si>
  <si>
    <t>LAUGB</t>
  </si>
  <si>
    <t>Laughing Bacchus Wine Cellars</t>
  </si>
  <si>
    <t>2319 Elm St.</t>
  </si>
  <si>
    <t>Vancouver</t>
  </si>
  <si>
    <t>V3F 2K1</t>
  </si>
  <si>
    <t>BLAUS</t>
  </si>
  <si>
    <t>Blauer See Delikatessen</t>
  </si>
  <si>
    <t>Forsterstr. 57</t>
  </si>
  <si>
    <t>Mannheim</t>
  </si>
  <si>
    <t>NORTS</t>
  </si>
  <si>
    <t>North/South</t>
  </si>
  <si>
    <t>South House 300 Queensbridge</t>
  </si>
  <si>
    <t>SW7 1RZ</t>
  </si>
  <si>
    <t>CACTU</t>
  </si>
  <si>
    <t>Cactus Comidas para llevar</t>
  </si>
  <si>
    <t>Cerrito 333</t>
  </si>
  <si>
    <t>GREAL</t>
  </si>
  <si>
    <t>Great Lakes Food Market</t>
  </si>
  <si>
    <t>2732 Baker Blvd.</t>
  </si>
  <si>
    <t>Eugene</t>
  </si>
  <si>
    <t>MAISD</t>
  </si>
  <si>
    <t>Maison Dewey</t>
  </si>
  <si>
    <t>Rue Joseph-Bens 532</t>
  </si>
  <si>
    <t>Bruxelles</t>
  </si>
  <si>
    <t>B-1180</t>
  </si>
  <si>
    <t>TRAIH</t>
  </si>
  <si>
    <t>Trail's Head Gourmet Provisioners</t>
  </si>
  <si>
    <t>722 DaVinci Blvd.</t>
  </si>
  <si>
    <t>Kirkland</t>
  </si>
  <si>
    <t>LETSS</t>
  </si>
  <si>
    <t>Let's Stop N Shop</t>
  </si>
  <si>
    <t>87 Polk St. Suite 5</t>
  </si>
  <si>
    <t>San Francisco</t>
  </si>
  <si>
    <t>CA</t>
  </si>
  <si>
    <t>WILMK</t>
  </si>
  <si>
    <t>Wilman Kala</t>
  </si>
  <si>
    <t>Keskuskatu 45</t>
  </si>
  <si>
    <t>Helsinki</t>
  </si>
  <si>
    <t>THECR</t>
  </si>
  <si>
    <t>The Cracker Box</t>
  </si>
  <si>
    <t>55 Grizzly Peak Rd.</t>
  </si>
  <si>
    <t>Butte</t>
  </si>
  <si>
    <t>MT</t>
  </si>
  <si>
    <t>ALFKI</t>
  </si>
  <si>
    <t>Alfreds Futterkiste</t>
  </si>
  <si>
    <t>Obere Str. 57</t>
  </si>
  <si>
    <t>Berlin</t>
  </si>
  <si>
    <t>FRANR</t>
  </si>
  <si>
    <t>France restauration</t>
  </si>
  <si>
    <t xml:space="preserve"> rue Royale</t>
  </si>
  <si>
    <t>Alfred's Futterkiste</t>
  </si>
  <si>
    <t>SPECD</t>
  </si>
  <si>
    <t>Sp√©cialit√©s du monde</t>
  </si>
  <si>
    <t xml:space="preserve"> rue Lauriston</t>
  </si>
  <si>
    <t>Paris</t>
  </si>
  <si>
    <t>LACOR</t>
  </si>
  <si>
    <t>La corne d'abondance</t>
  </si>
  <si>
    <t xml:space="preserve"> avenue de l'Europe</t>
  </si>
  <si>
    <t>Versailles</t>
  </si>
  <si>
    <t>Etiquetas de fila</t>
  </si>
  <si>
    <t>Total general</t>
  </si>
  <si>
    <t>Suma de employeeID</t>
  </si>
  <si>
    <t>Cuenta de orderID</t>
  </si>
  <si>
    <t>productID</t>
  </si>
  <si>
    <t>unitPrice</t>
  </si>
  <si>
    <t>quantity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</si>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</sst>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7" fontId="0" fillId="0" borderId="0" xfId="0" applyNumberFormat="1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3">
    <dxf>
      <numFmt numFmtId="19" formatCode="dd/mm/yy"/>
    </dxf>
    <dxf>
      <numFmt numFmtId="19" formatCode="dd/mm/yy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[s801.xlsm]Reporte1!TablaDinámica1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Reporte1!$B$1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Reporte1!$A$2:$A$11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Reporte1!$B$2:$B$11</c:f>
              <c:numCache>
                <c:formatCode>General</c:formatCode>
                <c:ptCount val="9"/>
                <c:pt idx="0">
                  <c:v>123</c:v>
                </c:pt>
                <c:pt idx="1">
                  <c:v>192</c:v>
                </c:pt>
                <c:pt idx="2">
                  <c:v>381</c:v>
                </c:pt>
                <c:pt idx="3">
                  <c:v>624</c:v>
                </c:pt>
                <c:pt idx="4">
                  <c:v>210</c:v>
                </c:pt>
                <c:pt idx="5">
                  <c:v>402</c:v>
                </c:pt>
                <c:pt idx="6">
                  <c:v>504</c:v>
                </c:pt>
                <c:pt idx="7">
                  <c:v>832</c:v>
                </c:pt>
                <c:pt idx="8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6-0644-B645-6E9CD75F7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5794288"/>
        <c:axId val="1131001280"/>
      </c:barChart>
      <c:catAx>
        <c:axId val="110579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001280"/>
        <c:crosses val="autoZero"/>
        <c:auto val="1"/>
        <c:lblAlgn val="ctr"/>
        <c:lblOffset val="100"/>
        <c:noMultiLvlLbl val="0"/>
      </c:catAx>
      <c:valAx>
        <c:axId val="113100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0579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[s801.xlsm]Reporte1!TablaDinámica2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Reporte1!$B$16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Reporte1!$A$17:$A$38</c:f>
              <c:strCache>
                <c:ptCount val="21"/>
                <c:pt idx="0">
                  <c:v>Argentina</c:v>
                </c:pt>
                <c:pt idx="1">
                  <c:v>Austria</c:v>
                </c:pt>
                <c:pt idx="2">
                  <c:v>Belgium</c:v>
                </c:pt>
                <c:pt idx="3">
                  <c:v>Brazil</c:v>
                </c:pt>
                <c:pt idx="4">
                  <c:v>Canada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Ireland</c:v>
                </c:pt>
                <c:pt idx="10">
                  <c:v>Italy</c:v>
                </c:pt>
                <c:pt idx="11">
                  <c:v>Mexico</c:v>
                </c:pt>
                <c:pt idx="12">
                  <c:v>Norway</c:v>
                </c:pt>
                <c:pt idx="13">
                  <c:v>Poland</c:v>
                </c:pt>
                <c:pt idx="14">
                  <c:v>Portugal</c:v>
                </c:pt>
                <c:pt idx="15">
                  <c:v>Spain</c:v>
                </c:pt>
                <c:pt idx="16">
                  <c:v>Sweden</c:v>
                </c:pt>
                <c:pt idx="17">
                  <c:v>Switzerland</c:v>
                </c:pt>
                <c:pt idx="18">
                  <c:v>UK</c:v>
                </c:pt>
                <c:pt idx="19">
                  <c:v>USA</c:v>
                </c:pt>
                <c:pt idx="20">
                  <c:v>Venezuela</c:v>
                </c:pt>
              </c:strCache>
            </c:strRef>
          </c:cat>
          <c:val>
            <c:numRef>
              <c:f>Reporte1!$B$17:$B$38</c:f>
              <c:numCache>
                <c:formatCode>General</c:formatCode>
                <c:ptCount val="21"/>
                <c:pt idx="0">
                  <c:v>6</c:v>
                </c:pt>
                <c:pt idx="1">
                  <c:v>29</c:v>
                </c:pt>
                <c:pt idx="2">
                  <c:v>9</c:v>
                </c:pt>
                <c:pt idx="3">
                  <c:v>55</c:v>
                </c:pt>
                <c:pt idx="4">
                  <c:v>21</c:v>
                </c:pt>
                <c:pt idx="5">
                  <c:v>14</c:v>
                </c:pt>
                <c:pt idx="6">
                  <c:v>17</c:v>
                </c:pt>
                <c:pt idx="7">
                  <c:v>54</c:v>
                </c:pt>
                <c:pt idx="8">
                  <c:v>88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3</c:v>
                </c:pt>
                <c:pt idx="13">
                  <c:v>3</c:v>
                </c:pt>
                <c:pt idx="14">
                  <c:v>11</c:v>
                </c:pt>
                <c:pt idx="15">
                  <c:v>11</c:v>
                </c:pt>
                <c:pt idx="16">
                  <c:v>23</c:v>
                </c:pt>
                <c:pt idx="17">
                  <c:v>11</c:v>
                </c:pt>
                <c:pt idx="18">
                  <c:v>40</c:v>
                </c:pt>
                <c:pt idx="19">
                  <c:v>83</c:v>
                </c:pt>
                <c:pt idx="2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0E-A543-B0F1-F70BDD0D1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7729200"/>
        <c:axId val="1137737824"/>
      </c:barChart>
      <c:catAx>
        <c:axId val="113772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7737824"/>
        <c:crosses val="autoZero"/>
        <c:auto val="1"/>
        <c:lblAlgn val="ctr"/>
        <c:lblOffset val="100"/>
        <c:noMultiLvlLbl val="0"/>
      </c:catAx>
      <c:valAx>
        <c:axId val="11377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772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429683</xdr:colOff>
      <xdr:row>0</xdr:row>
      <xdr:rowOff>124884</xdr:rowOff>
    </xdr:from>
    <xdr:to>
      <xdr:col>8</xdr:col>
      <xdr:colOff>44450</xdr:colOff>
      <xdr:row>14</xdr:row>
      <xdr:rowOff>23284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0848B4-5F2B-8D39-A54C-65CE3E8727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203200</xdr:colOff>
      <xdr:row>18</xdr:row>
      <xdr:rowOff>0</xdr:rowOff>
    </xdr:from>
    <xdr:to>
      <xdr:col>7</xdr:col>
      <xdr:colOff>224367</xdr:colOff>
      <xdr:row>24</xdr:row>
      <xdr:rowOff>101600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orderDate">
              <a:extLst>
                <a:ext uri="{FF2B5EF4-FFF2-40B4-BE49-F238E27FC236}">
                  <a16:creationId xmlns:a16="http://schemas.microsoft.com/office/drawing/2014/main" id="{869731E8-A890-2200-29DE-FA2F81B212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order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39067" y="3657600"/>
              <a:ext cx="3340100" cy="1320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2</xdr:col>
      <xdr:colOff>296333</xdr:colOff>
      <xdr:row>26</xdr:row>
      <xdr:rowOff>76200</xdr:rowOff>
    </xdr:from>
    <xdr:to>
      <xdr:col>7</xdr:col>
      <xdr:colOff>719666</xdr:colOff>
      <xdr:row>39</xdr:row>
      <xdr:rowOff>177800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295726D-97D2-4D47-0800-8FA5ABA90A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Badillo Salas" refreshedDate="45883.761556481484" createdVersion="8" refreshedVersion="8" minRefreshableVersion="3" recordCount="830" xr:uid="{C6FA1F1B-F67A-494F-A7B8-762E930EE004}">
  <cacheSource type="worksheet">
    <worksheetSource name="Orders"/>
  </cacheSource>
  <cacheFields count="9">
    <cacheField name="orderID" numFmtId="0">
      <sharedItems containsSemiMixedTypes="0" containsString="0" containsNumber="1" containsInteger="1" minValue="10248" maxValue="11077"/>
    </cacheField>
    <cacheField name="customerID" numFmtId="0">
      <sharedItems count="89">
        <s v="VINET"/>
        <s v="TOMSP"/>
        <s v="HANAR"/>
        <s v="VICTE"/>
        <s v="SUPRD"/>
        <s v="CHOPS"/>
        <s v="RICSU"/>
        <s v="WELLI"/>
        <s v="HILAA"/>
        <s v="ERNSH"/>
        <s v="CENTC"/>
        <s v="OTTIK"/>
        <s v="QUEDE"/>
        <s v="RATTC"/>
        <s v="FOLKO"/>
        <s v="BLONP"/>
        <s v="WARTH"/>
        <s v="FRANK"/>
        <s v="GROSR"/>
        <s v="WHITC"/>
        <s v="SPLIR"/>
        <s v="QUICK"/>
        <s v="MAGAA"/>
        <s v="TORTU"/>
        <s v="MORGK"/>
        <s v="BERGS"/>
        <s v="LEHMS"/>
        <s v="ROMEY"/>
        <s v="LILAS"/>
        <s v="RICAR"/>
        <s v="REGGC"/>
        <s v="BSBEV"/>
        <s v="COMMI"/>
        <s v="TRADH"/>
        <s v="HUNGO"/>
        <s v="WANDK"/>
        <s v="GODOS"/>
        <s v="OLDWO"/>
        <s v="LONEP"/>
        <s v="ANATR"/>
        <s v="THEBI"/>
        <s v="DUMON"/>
        <s v="ISLAT"/>
        <s v="PERIC"/>
        <s v="KOENE"/>
        <s v="SAVEA"/>
        <s v="BOLID"/>
        <s v="FURIB"/>
        <s v="BONAP"/>
        <s v="MEREP"/>
        <s v="PRINI"/>
        <s v="SIMOB"/>
        <s v="FAMIA"/>
        <s v="LAMAI"/>
        <s v="PICCO"/>
        <s v="AROUT"/>
        <s v="SEVES"/>
        <s v="DRACD"/>
        <s v="EASTC"/>
        <s v="ANTON"/>
        <s v="GALED"/>
        <s v="VAFFE"/>
        <s v="QUEEN"/>
        <s v="WOLZA"/>
        <s v="HUNGC"/>
        <s v="SANTG"/>
        <s v="BOTTM"/>
        <s v="LINOD"/>
        <s v="FOLIG"/>
        <s v="OCEAN"/>
        <s v="FRANS"/>
        <s v="GOURL"/>
        <s v="CONSH"/>
        <s v="RANCH"/>
        <s v="LAZYK"/>
        <s v="LAUGB"/>
        <s v="BLAUS"/>
        <s v="NORTS"/>
        <s v="CACTU"/>
        <s v="GREAL"/>
        <s v="MAISD"/>
        <s v="TRAIH"/>
        <s v="LETSS"/>
        <s v="WILMK"/>
        <s v="THECR"/>
        <s v="ALFKI"/>
        <s v="FRANR"/>
        <s v="SPECD"/>
        <s v="LACOR"/>
      </sharedItems>
    </cacheField>
    <cacheField name="employeeID" numFmtId="0">
      <sharedItems containsSemiMixedTypes="0" containsString="0" containsNumber="1" containsInteger="1" minValue="1" maxValue="9" count="9">
        <n v="5"/>
        <n v="6"/>
        <n v="4"/>
        <n v="3"/>
        <n v="9"/>
        <n v="1"/>
        <n v="8"/>
        <n v="2"/>
        <n v="7"/>
      </sharedItems>
    </cacheField>
    <cacheField name="orderDate" numFmtId="47">
      <sharedItems containsSemiMixedTypes="0" containsNonDate="0" containsDate="1" containsString="0" minDate="1996-07-04T00:00:00" maxDate="1998-05-07T00:00:00" count="480">
        <d v="1996-07-04T00:00:00"/>
        <d v="1996-07-05T00:00:00"/>
        <d v="1996-07-08T00:00:00"/>
        <d v="1996-07-09T00:00:00"/>
        <d v="1996-07-10T00:00:00"/>
        <d v="1996-07-11T00:00:00"/>
        <d v="1996-07-12T00:00:00"/>
        <d v="1996-07-15T00:00:00"/>
        <d v="1996-07-16T00:00:00"/>
        <d v="1996-07-17T00:00:00"/>
        <d v="1996-07-18T00:00:00"/>
        <d v="1996-07-19T00:00:00"/>
        <d v="1996-07-22T00:00:00"/>
        <d v="1996-07-23T00:00:00"/>
        <d v="1996-07-24T00:00:00"/>
        <d v="1996-07-25T00:00:00"/>
        <d v="1996-07-26T00:00:00"/>
        <d v="1996-07-29T00:00:00"/>
        <d v="1996-07-30T00:00:00"/>
        <d v="1996-07-31T00:00:00"/>
        <d v="1996-08-01T00:00:00"/>
        <d v="1996-08-02T00:00:00"/>
        <d v="1996-08-05T00:00:00"/>
        <d v="1996-08-06T00:00:00"/>
        <d v="1996-08-07T00:00:00"/>
        <d v="1996-08-08T00:00:00"/>
        <d v="1996-08-09T00:00:00"/>
        <d v="1996-08-12T00:00:00"/>
        <d v="1996-08-13T00:00:00"/>
        <d v="1996-08-14T00:00:00"/>
        <d v="1996-08-15T00:00:00"/>
        <d v="1996-08-16T00:00:00"/>
        <d v="1996-08-19T00:00:00"/>
        <d v="1996-08-20T00:00:00"/>
        <d v="1996-08-21T00:00:00"/>
        <d v="1996-08-22T00:00:00"/>
        <d v="1996-08-23T00:00:00"/>
        <d v="1996-08-26T00:00:00"/>
        <d v="1996-08-27T00:00:00"/>
        <d v="1996-08-28T00:00:00"/>
        <d v="1996-08-29T00:00:00"/>
        <d v="1996-08-30T00:00:00"/>
        <d v="1996-09-02T00:00:00"/>
        <d v="1996-09-03T00:00:00"/>
        <d v="1996-09-04T00:00:00"/>
        <d v="1996-09-05T00:00:00"/>
        <d v="1996-09-06T00:00:00"/>
        <d v="1996-09-09T00:00:00"/>
        <d v="1996-09-10T00:00:00"/>
        <d v="1996-09-11T00:00:00"/>
        <d v="1996-09-12T00:00:00"/>
        <d v="1996-09-13T00:00:00"/>
        <d v="1996-09-16T00:00:00"/>
        <d v="1996-09-17T00:00:00"/>
        <d v="1996-09-18T00:00:00"/>
        <d v="1996-09-19T00:00:00"/>
        <d v="1996-09-20T00:00:00"/>
        <d v="1996-09-23T00:00:00"/>
        <d v="1996-09-24T00:00:00"/>
        <d v="1996-09-25T00:00:00"/>
        <d v="1996-09-26T00:00:00"/>
        <d v="1996-09-27T00:00:00"/>
        <d v="1996-09-30T00:00:00"/>
        <d v="1996-10-01T00:00:00"/>
        <d v="1996-10-02T00:00:00"/>
        <d v="1996-10-03T00:00:00"/>
        <d v="1996-10-04T00:00:00"/>
        <d v="1996-10-07T00:00:00"/>
        <d v="1996-10-08T00:00:00"/>
        <d v="1996-10-09T00:00:00"/>
        <d v="1996-10-10T00:00:00"/>
        <d v="1996-10-11T00:00:00"/>
        <d v="1996-10-14T00:00:00"/>
        <d v="1996-10-15T00:00:00"/>
        <d v="1996-10-16T00:00:00"/>
        <d v="1996-10-17T00:00:00"/>
        <d v="1996-10-18T00:00:00"/>
        <d v="1996-10-21T00:00:00"/>
        <d v="1996-10-22T00:00:00"/>
        <d v="1996-10-23T00:00:00"/>
        <d v="1996-10-24T00:00:00"/>
        <d v="1996-10-25T00:00:00"/>
        <d v="1996-10-28T00:00:00"/>
        <d v="1996-10-29T00:00:00"/>
        <d v="1996-10-30T00:00:00"/>
        <d v="1996-10-31T00:00:00"/>
        <d v="1996-11-01T00:00:00"/>
        <d v="1996-11-04T00:00:00"/>
        <d v="1996-11-05T00:00:00"/>
        <d v="1996-11-06T00:00:00"/>
        <d v="1996-11-07T00:00:00"/>
        <d v="1996-11-08T00:00:00"/>
        <d v="1996-11-11T00:00:00"/>
        <d v="1996-11-12T00:00:00"/>
        <d v="1996-11-13T00:00:00"/>
        <d v="1996-11-14T00:00:00"/>
        <d v="1996-11-15T00:00:00"/>
        <d v="1996-11-18T00:00:00"/>
        <d v="1996-11-19T00:00:00"/>
        <d v="1996-11-20T00:00:00"/>
        <d v="1996-11-21T00:00:00"/>
        <d v="1996-11-22T00:00:00"/>
        <d v="1996-11-25T00:00:00"/>
        <d v="1996-11-26T00:00:00"/>
        <d v="1996-11-27T00:00:00"/>
        <d v="1996-11-28T00:00:00"/>
        <d v="1996-11-29T00:00:00"/>
        <d v="1996-12-02T00:00:00"/>
        <d v="1996-12-03T00:00:00"/>
        <d v="1996-12-04T00:00:00"/>
        <d v="1996-12-05T00:00:00"/>
        <d v="1996-12-06T00:00:00"/>
        <d v="1996-12-09T00:00:00"/>
        <d v="1996-12-10T00:00:00"/>
        <d v="1996-12-11T00:00:00"/>
        <d v="1996-12-12T00:00:00"/>
        <d v="1996-12-13T00:00:00"/>
        <d v="1996-12-16T00:00:00"/>
        <d v="1996-12-17T00:00:00"/>
        <d v="1996-12-18T00:00:00"/>
        <d v="1996-12-19T00:00:00"/>
        <d v="1996-12-20T00:00:00"/>
        <d v="1996-12-23T00:00:00"/>
        <d v="1996-12-24T00:00:00"/>
        <d v="1996-12-25T00:00:00"/>
        <d v="1996-12-26T00:00:00"/>
        <d v="1996-12-27T00:00:00"/>
        <d v="1996-12-30T00:00:00"/>
        <d v="1996-12-31T00:00:00"/>
        <d v="1997-01-01T00:00:00"/>
        <d v="1997-01-02T00:00:00"/>
        <d v="1997-01-03T00:00:00"/>
        <d v="1997-01-06T00:00:00"/>
        <d v="1997-01-07T00:00:00"/>
        <d v="1997-01-08T00:00:00"/>
        <d v="1997-01-09T00:00:00"/>
        <d v="1997-01-10T00:00:00"/>
        <d v="1997-01-13T00:00:00"/>
        <d v="1997-01-14T00:00:00"/>
        <d v="1997-01-15T00:00:00"/>
        <d v="1997-01-16T00:00:00"/>
        <d v="1997-01-17T00:00:00"/>
        <d v="1997-01-20T00:00:00"/>
        <d v="1997-01-21T00:00:00"/>
        <d v="1997-01-22T00:00:00"/>
        <d v="1997-01-23T00:00:00"/>
        <d v="1997-01-24T00:00:00"/>
        <d v="1997-01-27T00:00:00"/>
        <d v="1997-01-28T00:00:00"/>
        <d v="1997-01-29T00:00:00"/>
        <d v="1997-01-30T00:00:00"/>
        <d v="1997-01-31T00:00:00"/>
        <d v="1997-02-03T00:00:00"/>
        <d v="1997-02-04T00:00:00"/>
        <d v="1997-02-05T00:00:00"/>
        <d v="1997-02-06T00:00:00"/>
        <d v="1997-02-07T00:00:00"/>
        <d v="1997-02-10T00:00:00"/>
        <d v="1997-02-11T00:00:00"/>
        <d v="1997-02-12T00:00:00"/>
        <d v="1997-02-13T00:00:00"/>
        <d v="1997-02-14T00:00:00"/>
        <d v="1997-02-17T00:00:00"/>
        <d v="1997-02-18T00:00:00"/>
        <d v="1997-02-19T00:00:00"/>
        <d v="1997-02-20T00:00:00"/>
        <d v="1997-02-21T00:00:00"/>
        <d v="1997-02-24T00:00:00"/>
        <d v="1997-02-25T00:00:00"/>
        <d v="1997-02-26T00:00:00"/>
        <d v="1997-02-27T00:00:00"/>
        <d v="1997-02-28T00:00:00"/>
        <d v="1997-03-03T00:00:00"/>
        <d v="1997-03-04T00:00:00"/>
        <d v="1997-03-05T00:00:00"/>
        <d v="1997-03-06T00:00:00"/>
        <d v="1997-03-07T00:00:00"/>
        <d v="1997-03-10T00:00:00"/>
        <d v="1997-03-11T00:00:00"/>
        <d v="1997-03-12T00:00:00"/>
        <d v="1997-03-13T00:00:00"/>
        <d v="1997-03-14T00:00:00"/>
        <d v="1997-03-17T00:00:00"/>
        <d v="1997-03-18T00:00:00"/>
        <d v="1997-03-19T00:00:00"/>
        <d v="1997-03-20T00:00:00"/>
        <d v="1997-03-21T00:00:00"/>
        <d v="1997-03-24T00:00:00"/>
        <d v="1997-03-25T00:00:00"/>
        <d v="1997-03-26T00:00:00"/>
        <d v="1997-03-27T00:00:00"/>
        <d v="1997-03-28T00:00:00"/>
        <d v="1997-03-31T00:00:00"/>
        <d v="1997-04-01T00:00:00"/>
        <d v="1997-04-02T00:00:00"/>
        <d v="1997-04-03T00:00:00"/>
        <d v="1997-04-04T00:00:00"/>
        <d v="1997-04-07T00:00:00"/>
        <d v="1997-04-08T00:00:00"/>
        <d v="1997-04-09T00:00:00"/>
        <d v="1997-04-10T00:00:00"/>
        <d v="1997-04-11T00:00:00"/>
        <d v="1997-04-14T00:00:00"/>
        <d v="1997-04-15T00:00:00"/>
        <d v="1997-04-16T00:00:00"/>
        <d v="1997-04-17T00:00:00"/>
        <d v="1997-04-18T00:00:00"/>
        <d v="1997-04-21T00:00:00"/>
        <d v="1997-04-22T00:00:00"/>
        <d v="1997-04-23T00:00:00"/>
        <d v="1997-04-24T00:00:00"/>
        <d v="1997-04-25T00:00:00"/>
        <d v="1997-04-28T00:00:00"/>
        <d v="1997-04-29T00:00:00"/>
        <d v="1997-04-30T00:00:00"/>
        <d v="1997-05-01T00:00:00"/>
        <d v="1997-05-02T00:00:00"/>
        <d v="1997-05-05T00:00:00"/>
        <d v="1997-05-06T00:00:00"/>
        <d v="1997-05-07T00:00:00"/>
        <d v="1997-05-08T00:00:00"/>
        <d v="1997-05-09T00:00:00"/>
        <d v="1997-05-12T00:00:00"/>
        <d v="1997-05-13T00:00:00"/>
        <d v="1997-05-14T00:00:00"/>
        <d v="1997-05-15T00:00:00"/>
        <d v="1997-05-16T00:00:00"/>
        <d v="1997-05-19T00:00:00"/>
        <d v="1997-05-20T00:00:00"/>
        <d v="1997-05-21T00:00:00"/>
        <d v="1997-05-22T00:00:00"/>
        <d v="1997-05-23T00:00:00"/>
        <d v="1997-05-26T00:00:00"/>
        <d v="1997-05-27T00:00:00"/>
        <d v="1997-05-28T00:00:00"/>
        <d v="1997-05-29T00:00:00"/>
        <d v="1997-05-30T00:00:00"/>
        <d v="1997-06-02T00:00:00"/>
        <d v="1997-06-03T00:00:00"/>
        <d v="1997-06-04T00:00:00"/>
        <d v="1997-06-05T00:00:00"/>
        <d v="1997-06-06T00:00:00"/>
        <d v="1997-06-09T00:00:00"/>
        <d v="1997-06-10T00:00:00"/>
        <d v="1997-06-11T00:00:00"/>
        <d v="1997-06-12T00:00:00"/>
        <d v="1997-06-13T00:00:00"/>
        <d v="1997-06-16T00:00:00"/>
        <d v="1997-06-17T00:00:00"/>
        <d v="1997-06-18T00:00:00"/>
        <d v="1997-06-19T00:00:00"/>
        <d v="1997-06-20T00:00:00"/>
        <d v="1997-06-23T00:00:00"/>
        <d v="1997-06-24T00:00:00"/>
        <d v="1997-06-25T00:00:00"/>
        <d v="1997-06-26T00:00:00"/>
        <d v="1997-06-27T00:00:00"/>
        <d v="1997-06-30T00:00:00"/>
        <d v="1997-07-01T00:00:00"/>
        <d v="1997-07-02T00:00:00"/>
        <d v="1997-07-03T00:00:00"/>
        <d v="1997-07-04T00:00:00"/>
        <d v="1997-07-07T00:00:00"/>
        <d v="1997-07-08T00:00:00"/>
        <d v="1997-07-09T00:00:00"/>
        <d v="1997-07-10T00:00:00"/>
        <d v="1997-07-11T00:00:00"/>
        <d v="1997-07-14T00:00:00"/>
        <d v="1997-07-15T00:00:00"/>
        <d v="1997-07-16T00:00:00"/>
        <d v="1997-07-17T00:00:00"/>
        <d v="1997-07-18T00:00:00"/>
        <d v="1997-07-21T00:00:00"/>
        <d v="1997-07-22T00:00:00"/>
        <d v="1997-07-23T00:00:00"/>
        <d v="1997-07-24T00:00:00"/>
        <d v="1997-07-25T00:00:00"/>
        <d v="1997-07-28T00:00:00"/>
        <d v="1997-07-29T00:00:00"/>
        <d v="1997-07-30T00:00:00"/>
        <d v="1997-07-31T00:00:00"/>
        <d v="1997-08-01T00:00:00"/>
        <d v="1997-08-04T00:00:00"/>
        <d v="1997-08-05T00:00:00"/>
        <d v="1997-08-06T00:00:00"/>
        <d v="1997-08-07T00:00:00"/>
        <d v="1997-08-08T00:00:00"/>
        <d v="1997-08-11T00:00:00"/>
        <d v="1997-08-12T00:00:00"/>
        <d v="1997-08-13T00:00:00"/>
        <d v="1997-08-14T00:00:00"/>
        <d v="1997-08-15T00:00:00"/>
        <d v="1997-08-18T00:00:00"/>
        <d v="1997-08-19T00:00:00"/>
        <d v="1997-08-20T00:00:00"/>
        <d v="1997-08-21T00:00:00"/>
        <d v="1997-08-22T00:00:00"/>
        <d v="1997-08-25T00:00:00"/>
        <d v="1997-08-26T00:00:00"/>
        <d v="1997-08-27T00:00:00"/>
        <d v="1997-08-28T00:00:00"/>
        <d v="1997-08-29T00:00:00"/>
        <d v="1997-09-01T00:00:00"/>
        <d v="1997-09-02T00:00:00"/>
        <d v="1997-09-03T00:00:00"/>
        <d v="1997-09-04T00:00:00"/>
        <d v="1997-09-05T00:00:00"/>
        <d v="1997-09-08T00:00:00"/>
        <d v="1997-09-09T00:00:00"/>
        <d v="1997-09-10T00:00:00"/>
        <d v="1997-09-11T00:00:00"/>
        <d v="1997-09-12T00:00:00"/>
        <d v="1997-09-15T00:00:00"/>
        <d v="1997-09-16T00:00:00"/>
        <d v="1997-09-17T00:00:00"/>
        <d v="1997-09-18T00:00:00"/>
        <d v="1997-09-19T00:00:00"/>
        <d v="1997-09-22T00:00:00"/>
        <d v="1997-09-23T00:00:00"/>
        <d v="1997-09-24T00:00:00"/>
        <d v="1997-09-25T00:00:00"/>
        <d v="1997-09-26T00:00:00"/>
        <d v="1997-09-29T00:00:00"/>
        <d v="1997-09-30T00:00:00"/>
        <d v="1997-10-01T00:00:00"/>
        <d v="1997-10-02T00:00:00"/>
        <d v="1997-10-03T00:00:00"/>
        <d v="1997-10-06T00:00:00"/>
        <d v="1997-10-07T00:00:00"/>
        <d v="1997-10-08T00:00:00"/>
        <d v="1997-10-09T00:00:00"/>
        <d v="1997-10-10T00:00:00"/>
        <d v="1997-10-13T00:00:00"/>
        <d v="1997-10-14T00:00:00"/>
        <d v="1997-10-15T00:00:00"/>
        <d v="1997-10-16T00:00:00"/>
        <d v="1997-10-17T00:00:00"/>
        <d v="1997-10-20T00:00:00"/>
        <d v="1997-10-21T00:00:00"/>
        <d v="1997-10-22T00:00:00"/>
        <d v="1997-10-23T00:00:00"/>
        <d v="1997-10-24T00:00:00"/>
        <d v="1997-10-27T00:00:00"/>
        <d v="1997-10-28T00:00:00"/>
        <d v="1997-10-29T00:00:00"/>
        <d v="1997-10-30T00:00:00"/>
        <d v="1997-10-31T00:00:00"/>
        <d v="1997-11-03T00:00:00"/>
        <d v="1997-11-04T00:00:00"/>
        <d v="1997-11-05T00:00:00"/>
        <d v="1997-11-06T00:00:00"/>
        <d v="1997-11-07T00:00:00"/>
        <d v="1997-11-10T00:00:00"/>
        <d v="1997-11-11T00:00:00"/>
        <d v="1997-11-12T00:00:00"/>
        <d v="1997-11-13T00:00:00"/>
        <d v="1997-11-14T00:00:00"/>
        <d v="1997-11-17T00:00:00"/>
        <d v="1997-11-18T00:00:00"/>
        <d v="1997-11-19T00:00:00"/>
        <d v="1997-11-20T00:00:00"/>
        <d v="1997-11-21T00:00:00"/>
        <d v="1997-11-24T00:00:00"/>
        <d v="1997-11-25T00:00:00"/>
        <d v="1997-11-26T00:00:00"/>
        <d v="1997-11-27T00:00:00"/>
        <d v="1997-11-28T00:00:00"/>
        <d v="1997-12-01T00:00:00"/>
        <d v="1997-12-02T00:00:00"/>
        <d v="1997-12-03T00:00:00"/>
        <d v="1997-12-04T00:00:00"/>
        <d v="1997-12-05T00:00:00"/>
        <d v="1997-12-08T00:00:00"/>
        <d v="1997-12-09T00:00:00"/>
        <d v="1997-12-10T00:00:00"/>
        <d v="1997-12-11T00:00:00"/>
        <d v="1997-12-12T00:00:00"/>
        <d v="1997-12-15T00:00:00"/>
        <d v="1997-12-16T00:00:00"/>
        <d v="1997-12-17T00:00:00"/>
        <d v="1997-12-18T00:00:00"/>
        <d v="1997-12-19T00:00:00"/>
        <d v="1997-12-22T00:00:00"/>
        <d v="1997-12-23T00:00:00"/>
        <d v="1997-12-24T00:00:00"/>
        <d v="1997-12-25T00:00:00"/>
        <d v="1997-12-26T00:00:00"/>
        <d v="1997-12-29T00:00:00"/>
        <d v="1997-12-30T00:00:00"/>
        <d v="1997-12-31T00:00:00"/>
        <d v="1998-01-01T00:00:00"/>
        <d v="1998-01-02T00:00:00"/>
        <d v="1998-01-05T00:00:00"/>
        <d v="1998-01-06T00:00:00"/>
        <d v="1998-01-07T00:00:00"/>
        <d v="1998-01-08T00:00:00"/>
        <d v="1998-01-09T00:00:00"/>
        <d v="1998-01-12T00:00:00"/>
        <d v="1998-01-13T00:00:00"/>
        <d v="1998-01-14T00:00:00"/>
        <d v="1998-01-15T00:00:00"/>
        <d v="1998-01-16T00:00:00"/>
        <d v="1998-01-19T00:00:00"/>
        <d v="1998-01-20T00:00:00"/>
        <d v="1998-01-21T00:00:00"/>
        <d v="1998-01-22T00:00:00"/>
        <d v="1998-01-23T00:00:00"/>
        <d v="1998-01-26T00:00:00"/>
        <d v="1998-01-27T00:00:00"/>
        <d v="1998-01-28T00:00:00"/>
        <d v="1998-01-29T00:00:00"/>
        <d v="1998-01-30T00:00:00"/>
        <d v="1998-02-02T00:00:00"/>
        <d v="1998-02-03T00:00:00"/>
        <d v="1998-02-04T00:00:00"/>
        <d v="1998-02-05T00:00:00"/>
        <d v="1998-02-06T00:00:00"/>
        <d v="1998-02-09T00:00:00"/>
        <d v="1998-02-10T00:00:00"/>
        <d v="1998-02-11T00:00:00"/>
        <d v="1998-02-12T00:00:00"/>
        <d v="1998-02-13T00:00:00"/>
        <d v="1998-02-16T00:00:00"/>
        <d v="1998-02-17T00:00:00"/>
        <d v="1998-02-18T00:00:00"/>
        <d v="1998-02-19T00:00:00"/>
        <d v="1998-02-20T00:00:00"/>
        <d v="1998-02-23T00:00:00"/>
        <d v="1998-02-24T00:00:00"/>
        <d v="1998-02-25T00:00:00"/>
        <d v="1998-02-26T00:00:00"/>
        <d v="1998-02-27T00:00:00"/>
        <d v="1998-03-02T00:00:00"/>
        <d v="1998-03-03T00:00:00"/>
        <d v="1998-03-04T00:00:00"/>
        <d v="1998-03-05T00:00:00"/>
        <d v="1998-03-06T00:00:00"/>
        <d v="1998-03-09T00:00:00"/>
        <d v="1998-03-10T00:00:00"/>
        <d v="1998-03-11T00:00:00"/>
        <d v="1998-03-12T00:00:00"/>
        <d v="1998-03-13T00:00:00"/>
        <d v="1998-03-16T00:00:00"/>
        <d v="1998-03-17T00:00:00"/>
        <d v="1998-03-18T00:00:00"/>
        <d v="1998-03-19T00:00:00"/>
        <d v="1998-03-20T00:00:00"/>
        <d v="1998-03-23T00:00:00"/>
        <d v="1998-03-24T00:00:00"/>
        <d v="1998-03-25T00:00:00"/>
        <d v="1998-03-26T00:00:00"/>
        <d v="1998-03-27T00:00:00"/>
        <d v="1998-03-30T00:00:00"/>
        <d v="1998-03-31T00:00:00"/>
        <d v="1998-04-01T00:00:00"/>
        <d v="1998-04-02T00:00:00"/>
        <d v="1998-04-03T00:00:00"/>
        <d v="1998-04-06T00:00:00"/>
        <d v="1998-04-07T00:00:00"/>
        <d v="1998-04-08T00:00:00"/>
        <d v="1998-04-09T00:00:00"/>
        <d v="1998-04-10T00:00:00"/>
        <d v="1998-04-13T00:00:00"/>
        <d v="1998-04-14T00:00:00"/>
        <d v="1998-04-15T00:00:00"/>
        <d v="1998-04-16T00:00:00"/>
        <d v="1998-04-17T00:00:00"/>
        <d v="1998-04-20T00:00:00"/>
        <d v="1998-04-21T00:00:00"/>
        <d v="1998-04-22T00:00:00"/>
        <d v="1998-04-23T00:00:00"/>
        <d v="1998-04-24T00:00:00"/>
        <d v="1998-04-27T00:00:00"/>
        <d v="1998-04-28T00:00:00"/>
        <d v="1998-04-29T00:00:00"/>
        <d v="1998-04-30T00:00:00"/>
        <d v="1998-05-01T00:00:00"/>
        <d v="1998-05-04T00:00:00"/>
        <d v="1998-05-05T00:00:00"/>
        <d v="1998-05-06T00:00:00"/>
      </sharedItems>
    </cacheField>
    <cacheField name="requiredDate" numFmtId="47">
      <sharedItems containsSemiMixedTypes="0" containsNonDate="0" containsDate="1" containsString="0" minDate="1996-07-24T00:00:00" maxDate="1998-06-12T00:00:00"/>
    </cacheField>
    <cacheField name="shippedDate" numFmtId="0">
      <sharedItems containsDate="1" containsMixedTypes="1" minDate="1996-07-10T00:00:00" maxDate="1998-05-07T00:00:00"/>
    </cacheField>
    <cacheField name="shipVia" numFmtId="0">
      <sharedItems containsSemiMixedTypes="0" containsString="0" containsNumber="1" containsInteger="1" minValue="1" maxValue="3"/>
    </cacheField>
    <cacheField name="freight" numFmtId="0">
      <sharedItems containsSemiMixedTypes="0" containsString="0" containsNumber="1" minValue="0.02" maxValue="1007.64"/>
    </cacheField>
    <cacheField name="shipCountry" numFmtId="0">
      <sharedItems count="21">
        <s v="France"/>
        <s v="Germany"/>
        <s v="Brazil"/>
        <s v="Belgium"/>
        <s v="Switzerland"/>
        <s v="Venezuela"/>
        <s v="Austria"/>
        <s v="Mexico"/>
        <s v="USA"/>
        <s v="Sweden"/>
        <s v="Finland"/>
        <s v="Italy"/>
        <s v="Spain"/>
        <s v="UK"/>
        <s v="Ireland"/>
        <s v="Portugal"/>
        <s v="Canada"/>
        <s v="Denmark"/>
        <s v="Poland"/>
        <s v="Norway"/>
        <s v="Argentina"/>
      </sharedItems>
    </cacheField>
  </cacheFields>
  <extLst>
    <ext xmlns:x14="http://schemas.microsoft.com/office/spreadsheetml/2009/9/main" uri="{725AE2AE-9491-48be-B2B4-4EB974FC3084}">
      <x14:pivotCacheDefinition pivotCacheId="11685029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0">
  <r>
    <n v="10248"/>
    <x v="0"/>
    <x v="0"/>
    <x v="0"/>
    <d v="1996-08-01T00:00:00"/>
    <d v="1996-07-16T00:00:00"/>
    <n v="3"/>
    <n v="32.380000000000003"/>
    <x v="0"/>
  </r>
  <r>
    <n v="10249"/>
    <x v="1"/>
    <x v="1"/>
    <x v="1"/>
    <d v="1996-08-16T00:00:00"/>
    <d v="1996-07-10T00:00:00"/>
    <n v="1"/>
    <n v="11.61"/>
    <x v="1"/>
  </r>
  <r>
    <n v="10250"/>
    <x v="2"/>
    <x v="2"/>
    <x v="2"/>
    <d v="1996-08-05T00:00:00"/>
    <d v="1996-07-12T00:00:00"/>
    <n v="2"/>
    <n v="65.83"/>
    <x v="2"/>
  </r>
  <r>
    <n v="10251"/>
    <x v="3"/>
    <x v="3"/>
    <x v="2"/>
    <d v="1996-08-05T00:00:00"/>
    <d v="1996-07-15T00:00:00"/>
    <n v="1"/>
    <n v="41.34"/>
    <x v="0"/>
  </r>
  <r>
    <n v="10252"/>
    <x v="4"/>
    <x v="2"/>
    <x v="3"/>
    <d v="1996-08-06T00:00:00"/>
    <d v="1996-07-11T00:00:00"/>
    <n v="2"/>
    <n v="51.3"/>
    <x v="3"/>
  </r>
  <r>
    <n v="10253"/>
    <x v="2"/>
    <x v="3"/>
    <x v="4"/>
    <d v="1996-07-24T00:00:00"/>
    <d v="1996-07-16T00:00:00"/>
    <n v="2"/>
    <n v="58.17"/>
    <x v="2"/>
  </r>
  <r>
    <n v="10254"/>
    <x v="5"/>
    <x v="0"/>
    <x v="5"/>
    <d v="1996-08-08T00:00:00"/>
    <d v="1996-07-23T00:00:00"/>
    <n v="2"/>
    <n v="22.98"/>
    <x v="4"/>
  </r>
  <r>
    <n v="10255"/>
    <x v="6"/>
    <x v="4"/>
    <x v="6"/>
    <d v="1996-08-09T00:00:00"/>
    <d v="1996-07-15T00:00:00"/>
    <n v="3"/>
    <n v="148.33000000000001"/>
    <x v="4"/>
  </r>
  <r>
    <n v="10256"/>
    <x v="7"/>
    <x v="3"/>
    <x v="7"/>
    <d v="1996-08-12T00:00:00"/>
    <d v="1996-07-17T00:00:00"/>
    <n v="2"/>
    <n v="13.97"/>
    <x v="2"/>
  </r>
  <r>
    <n v="10257"/>
    <x v="8"/>
    <x v="2"/>
    <x v="8"/>
    <d v="1996-08-13T00:00:00"/>
    <d v="1996-07-22T00:00:00"/>
    <n v="3"/>
    <n v="81.91"/>
    <x v="5"/>
  </r>
  <r>
    <n v="10258"/>
    <x v="9"/>
    <x v="5"/>
    <x v="9"/>
    <d v="1996-08-14T00:00:00"/>
    <d v="1996-07-23T00:00:00"/>
    <n v="1"/>
    <n v="140.51"/>
    <x v="6"/>
  </r>
  <r>
    <n v="10259"/>
    <x v="10"/>
    <x v="2"/>
    <x v="10"/>
    <d v="1996-08-15T00:00:00"/>
    <d v="1996-07-25T00:00:00"/>
    <n v="3"/>
    <n v="3.25"/>
    <x v="7"/>
  </r>
  <r>
    <n v="10260"/>
    <x v="11"/>
    <x v="2"/>
    <x v="11"/>
    <d v="1996-08-16T00:00:00"/>
    <d v="1996-07-29T00:00:00"/>
    <n v="1"/>
    <n v="55.09"/>
    <x v="1"/>
  </r>
  <r>
    <n v="10261"/>
    <x v="12"/>
    <x v="2"/>
    <x v="11"/>
    <d v="1996-08-16T00:00:00"/>
    <d v="1996-07-30T00:00:00"/>
    <n v="2"/>
    <n v="3.05"/>
    <x v="2"/>
  </r>
  <r>
    <n v="10262"/>
    <x v="13"/>
    <x v="6"/>
    <x v="12"/>
    <d v="1996-08-19T00:00:00"/>
    <d v="1996-07-25T00:00:00"/>
    <n v="3"/>
    <n v="48.29"/>
    <x v="8"/>
  </r>
  <r>
    <n v="10263"/>
    <x v="9"/>
    <x v="4"/>
    <x v="13"/>
    <d v="1996-08-20T00:00:00"/>
    <d v="1996-07-31T00:00:00"/>
    <n v="3"/>
    <n v="146.06"/>
    <x v="6"/>
  </r>
  <r>
    <n v="10264"/>
    <x v="14"/>
    <x v="1"/>
    <x v="14"/>
    <d v="1996-08-21T00:00:00"/>
    <d v="1996-08-23T00:00:00"/>
    <n v="3"/>
    <n v="3.67"/>
    <x v="9"/>
  </r>
  <r>
    <n v="10265"/>
    <x v="15"/>
    <x v="7"/>
    <x v="15"/>
    <d v="1996-08-22T00:00:00"/>
    <d v="1996-08-12T00:00:00"/>
    <n v="1"/>
    <n v="55.28"/>
    <x v="0"/>
  </r>
  <r>
    <n v="10266"/>
    <x v="16"/>
    <x v="3"/>
    <x v="16"/>
    <d v="1996-09-06T00:00:00"/>
    <d v="1996-07-31T00:00:00"/>
    <n v="3"/>
    <n v="25.73"/>
    <x v="10"/>
  </r>
  <r>
    <n v="10267"/>
    <x v="17"/>
    <x v="2"/>
    <x v="17"/>
    <d v="1996-08-26T00:00:00"/>
    <d v="1996-08-06T00:00:00"/>
    <n v="1"/>
    <n v="208.58"/>
    <x v="1"/>
  </r>
  <r>
    <n v="10268"/>
    <x v="18"/>
    <x v="6"/>
    <x v="18"/>
    <d v="1996-08-27T00:00:00"/>
    <d v="1996-08-02T00:00:00"/>
    <n v="3"/>
    <n v="66.290000000000006"/>
    <x v="5"/>
  </r>
  <r>
    <n v="10269"/>
    <x v="19"/>
    <x v="0"/>
    <x v="19"/>
    <d v="1996-08-14T00:00:00"/>
    <d v="1996-08-09T00:00:00"/>
    <n v="1"/>
    <n v="4.5599999999999996"/>
    <x v="8"/>
  </r>
  <r>
    <n v="10270"/>
    <x v="16"/>
    <x v="5"/>
    <x v="20"/>
    <d v="1996-08-29T00:00:00"/>
    <d v="1996-08-02T00:00:00"/>
    <n v="1"/>
    <n v="136.54"/>
    <x v="10"/>
  </r>
  <r>
    <n v="10271"/>
    <x v="20"/>
    <x v="1"/>
    <x v="20"/>
    <d v="1996-08-29T00:00:00"/>
    <d v="1996-08-30T00:00:00"/>
    <n v="2"/>
    <n v="4.54"/>
    <x v="8"/>
  </r>
  <r>
    <n v="10272"/>
    <x v="13"/>
    <x v="1"/>
    <x v="21"/>
    <d v="1996-08-30T00:00:00"/>
    <d v="1996-08-06T00:00:00"/>
    <n v="2"/>
    <n v="98.03"/>
    <x v="8"/>
  </r>
  <r>
    <n v="10273"/>
    <x v="21"/>
    <x v="3"/>
    <x v="22"/>
    <d v="1996-09-02T00:00:00"/>
    <d v="1996-08-12T00:00:00"/>
    <n v="3"/>
    <n v="76.069999999999993"/>
    <x v="1"/>
  </r>
  <r>
    <n v="10274"/>
    <x v="0"/>
    <x v="1"/>
    <x v="23"/>
    <d v="1996-09-03T00:00:00"/>
    <d v="1996-08-16T00:00:00"/>
    <n v="1"/>
    <n v="6.01"/>
    <x v="0"/>
  </r>
  <r>
    <n v="10275"/>
    <x v="22"/>
    <x v="5"/>
    <x v="24"/>
    <d v="1996-09-04T00:00:00"/>
    <d v="1996-08-09T00:00:00"/>
    <n v="1"/>
    <n v="26.93"/>
    <x v="11"/>
  </r>
  <r>
    <n v="10276"/>
    <x v="23"/>
    <x v="6"/>
    <x v="25"/>
    <d v="1996-08-22T00:00:00"/>
    <d v="1996-08-14T00:00:00"/>
    <n v="3"/>
    <n v="13.84"/>
    <x v="7"/>
  </r>
  <r>
    <n v="10277"/>
    <x v="24"/>
    <x v="7"/>
    <x v="26"/>
    <d v="1996-09-06T00:00:00"/>
    <d v="1996-08-13T00:00:00"/>
    <n v="3"/>
    <n v="125.77"/>
    <x v="1"/>
  </r>
  <r>
    <n v="10278"/>
    <x v="25"/>
    <x v="6"/>
    <x v="27"/>
    <d v="1996-09-09T00:00:00"/>
    <d v="1996-08-16T00:00:00"/>
    <n v="2"/>
    <n v="92.69"/>
    <x v="9"/>
  </r>
  <r>
    <n v="10279"/>
    <x v="26"/>
    <x v="6"/>
    <x v="28"/>
    <d v="1996-09-10T00:00:00"/>
    <d v="1996-08-16T00:00:00"/>
    <n v="2"/>
    <n v="25.83"/>
    <x v="1"/>
  </r>
  <r>
    <n v="10280"/>
    <x v="25"/>
    <x v="7"/>
    <x v="29"/>
    <d v="1996-09-11T00:00:00"/>
    <d v="1996-09-12T00:00:00"/>
    <n v="1"/>
    <n v="8.98"/>
    <x v="9"/>
  </r>
  <r>
    <n v="10281"/>
    <x v="27"/>
    <x v="2"/>
    <x v="29"/>
    <d v="1996-08-28T00:00:00"/>
    <d v="1996-08-21T00:00:00"/>
    <n v="1"/>
    <n v="2.94"/>
    <x v="12"/>
  </r>
  <r>
    <n v="10282"/>
    <x v="27"/>
    <x v="2"/>
    <x v="30"/>
    <d v="1996-09-12T00:00:00"/>
    <d v="1996-08-21T00:00:00"/>
    <n v="1"/>
    <n v="12.69"/>
    <x v="12"/>
  </r>
  <r>
    <n v="10283"/>
    <x v="28"/>
    <x v="3"/>
    <x v="31"/>
    <d v="1996-09-13T00:00:00"/>
    <d v="1996-08-23T00:00:00"/>
    <n v="3"/>
    <n v="84.81"/>
    <x v="5"/>
  </r>
  <r>
    <n v="10284"/>
    <x v="26"/>
    <x v="2"/>
    <x v="32"/>
    <d v="1996-09-16T00:00:00"/>
    <d v="1996-08-27T00:00:00"/>
    <n v="1"/>
    <n v="76.56"/>
    <x v="1"/>
  </r>
  <r>
    <n v="10285"/>
    <x v="21"/>
    <x v="5"/>
    <x v="33"/>
    <d v="1996-09-17T00:00:00"/>
    <d v="1996-08-26T00:00:00"/>
    <n v="2"/>
    <n v="76.83"/>
    <x v="1"/>
  </r>
  <r>
    <n v="10286"/>
    <x v="21"/>
    <x v="6"/>
    <x v="34"/>
    <d v="1996-09-18T00:00:00"/>
    <d v="1996-08-30T00:00:00"/>
    <n v="3"/>
    <n v="229.24"/>
    <x v="1"/>
  </r>
  <r>
    <n v="10287"/>
    <x v="29"/>
    <x v="6"/>
    <x v="35"/>
    <d v="1996-09-19T00:00:00"/>
    <d v="1996-08-28T00:00:00"/>
    <n v="3"/>
    <n v="12.76"/>
    <x v="2"/>
  </r>
  <r>
    <n v="10288"/>
    <x v="30"/>
    <x v="2"/>
    <x v="36"/>
    <d v="1996-09-20T00:00:00"/>
    <d v="1996-09-03T00:00:00"/>
    <n v="1"/>
    <n v="7.45"/>
    <x v="11"/>
  </r>
  <r>
    <n v="10289"/>
    <x v="31"/>
    <x v="8"/>
    <x v="37"/>
    <d v="1996-09-23T00:00:00"/>
    <d v="1996-08-28T00:00:00"/>
    <n v="3"/>
    <n v="22.77"/>
    <x v="13"/>
  </r>
  <r>
    <n v="10290"/>
    <x v="32"/>
    <x v="6"/>
    <x v="38"/>
    <d v="1996-09-24T00:00:00"/>
    <d v="1996-09-03T00:00:00"/>
    <n v="1"/>
    <n v="79.7"/>
    <x v="2"/>
  </r>
  <r>
    <n v="10291"/>
    <x v="12"/>
    <x v="1"/>
    <x v="38"/>
    <d v="1996-09-24T00:00:00"/>
    <d v="1996-09-04T00:00:00"/>
    <n v="2"/>
    <n v="6.4"/>
    <x v="2"/>
  </r>
  <r>
    <n v="10292"/>
    <x v="33"/>
    <x v="5"/>
    <x v="39"/>
    <d v="1996-09-25T00:00:00"/>
    <d v="1996-09-02T00:00:00"/>
    <n v="2"/>
    <n v="1.35"/>
    <x v="2"/>
  </r>
  <r>
    <n v="10293"/>
    <x v="23"/>
    <x v="5"/>
    <x v="40"/>
    <d v="1996-09-26T00:00:00"/>
    <d v="1996-09-11T00:00:00"/>
    <n v="3"/>
    <n v="21.18"/>
    <x v="7"/>
  </r>
  <r>
    <n v="10294"/>
    <x v="13"/>
    <x v="2"/>
    <x v="41"/>
    <d v="1996-09-27T00:00:00"/>
    <d v="1996-09-05T00:00:00"/>
    <n v="2"/>
    <n v="147.26"/>
    <x v="8"/>
  </r>
  <r>
    <n v="10295"/>
    <x v="0"/>
    <x v="7"/>
    <x v="42"/>
    <d v="1996-09-30T00:00:00"/>
    <d v="1996-09-10T00:00:00"/>
    <n v="2"/>
    <n v="1.1499999999999999"/>
    <x v="0"/>
  </r>
  <r>
    <n v="10296"/>
    <x v="28"/>
    <x v="1"/>
    <x v="43"/>
    <d v="1996-10-01T00:00:00"/>
    <d v="1996-09-11T00:00:00"/>
    <n v="1"/>
    <n v="0.12"/>
    <x v="5"/>
  </r>
  <r>
    <n v="10297"/>
    <x v="15"/>
    <x v="0"/>
    <x v="44"/>
    <d v="1996-10-16T00:00:00"/>
    <d v="1996-09-10T00:00:00"/>
    <n v="2"/>
    <n v="5.74"/>
    <x v="0"/>
  </r>
  <r>
    <n v="10298"/>
    <x v="34"/>
    <x v="1"/>
    <x v="45"/>
    <d v="1996-10-03T00:00:00"/>
    <d v="1996-09-11T00:00:00"/>
    <n v="2"/>
    <n v="168.22"/>
    <x v="14"/>
  </r>
  <r>
    <n v="10299"/>
    <x v="29"/>
    <x v="2"/>
    <x v="46"/>
    <d v="1996-10-04T00:00:00"/>
    <d v="1996-09-13T00:00:00"/>
    <n v="2"/>
    <n v="29.76"/>
    <x v="2"/>
  </r>
  <r>
    <n v="10300"/>
    <x v="22"/>
    <x v="7"/>
    <x v="47"/>
    <d v="1996-10-07T00:00:00"/>
    <d v="1996-09-18T00:00:00"/>
    <n v="2"/>
    <n v="17.68"/>
    <x v="11"/>
  </r>
  <r>
    <n v="10301"/>
    <x v="35"/>
    <x v="6"/>
    <x v="47"/>
    <d v="1996-10-07T00:00:00"/>
    <d v="1996-09-17T00:00:00"/>
    <n v="2"/>
    <n v="45.08"/>
    <x v="1"/>
  </r>
  <r>
    <n v="10302"/>
    <x v="4"/>
    <x v="2"/>
    <x v="48"/>
    <d v="1996-10-08T00:00:00"/>
    <d v="1996-10-09T00:00:00"/>
    <n v="2"/>
    <n v="6.27"/>
    <x v="3"/>
  </r>
  <r>
    <n v="10303"/>
    <x v="36"/>
    <x v="8"/>
    <x v="49"/>
    <d v="1996-10-09T00:00:00"/>
    <d v="1996-09-18T00:00:00"/>
    <n v="2"/>
    <n v="107.83"/>
    <x v="12"/>
  </r>
  <r>
    <n v="10304"/>
    <x v="23"/>
    <x v="5"/>
    <x v="50"/>
    <d v="1996-10-10T00:00:00"/>
    <d v="1996-09-17T00:00:00"/>
    <n v="2"/>
    <n v="63.79"/>
    <x v="7"/>
  </r>
  <r>
    <n v="10305"/>
    <x v="37"/>
    <x v="6"/>
    <x v="51"/>
    <d v="1996-10-11T00:00:00"/>
    <d v="1996-10-09T00:00:00"/>
    <n v="3"/>
    <n v="257.62"/>
    <x v="8"/>
  </r>
  <r>
    <n v="10306"/>
    <x v="27"/>
    <x v="5"/>
    <x v="52"/>
    <d v="1996-10-14T00:00:00"/>
    <d v="1996-09-23T00:00:00"/>
    <n v="3"/>
    <n v="7.56"/>
    <x v="12"/>
  </r>
  <r>
    <n v="10307"/>
    <x v="38"/>
    <x v="7"/>
    <x v="53"/>
    <d v="1996-10-15T00:00:00"/>
    <d v="1996-09-25T00:00:00"/>
    <n v="2"/>
    <n v="0.56000000000000005"/>
    <x v="8"/>
  </r>
  <r>
    <n v="10308"/>
    <x v="39"/>
    <x v="8"/>
    <x v="54"/>
    <d v="1996-10-16T00:00:00"/>
    <d v="1996-09-24T00:00:00"/>
    <n v="3"/>
    <n v="1.61"/>
    <x v="7"/>
  </r>
  <r>
    <n v="10309"/>
    <x v="34"/>
    <x v="3"/>
    <x v="55"/>
    <d v="1996-10-17T00:00:00"/>
    <d v="1996-10-23T00:00:00"/>
    <n v="1"/>
    <n v="47.3"/>
    <x v="14"/>
  </r>
  <r>
    <n v="10310"/>
    <x v="40"/>
    <x v="6"/>
    <x v="56"/>
    <d v="1996-10-18T00:00:00"/>
    <d v="1996-09-27T00:00:00"/>
    <n v="2"/>
    <n v="17.52"/>
    <x v="8"/>
  </r>
  <r>
    <n v="10311"/>
    <x v="41"/>
    <x v="5"/>
    <x v="56"/>
    <d v="1996-10-04T00:00:00"/>
    <d v="1996-09-26T00:00:00"/>
    <n v="3"/>
    <n v="24.69"/>
    <x v="0"/>
  </r>
  <r>
    <n v="10312"/>
    <x v="35"/>
    <x v="7"/>
    <x v="57"/>
    <d v="1996-10-21T00:00:00"/>
    <d v="1996-10-03T00:00:00"/>
    <n v="2"/>
    <n v="40.26"/>
    <x v="1"/>
  </r>
  <r>
    <n v="10313"/>
    <x v="21"/>
    <x v="7"/>
    <x v="58"/>
    <d v="1996-10-22T00:00:00"/>
    <d v="1996-10-04T00:00:00"/>
    <n v="2"/>
    <n v="1.96"/>
    <x v="1"/>
  </r>
  <r>
    <n v="10314"/>
    <x v="13"/>
    <x v="5"/>
    <x v="59"/>
    <d v="1996-10-23T00:00:00"/>
    <d v="1996-10-04T00:00:00"/>
    <n v="2"/>
    <n v="74.16"/>
    <x v="8"/>
  </r>
  <r>
    <n v="10315"/>
    <x v="42"/>
    <x v="2"/>
    <x v="60"/>
    <d v="1996-10-24T00:00:00"/>
    <d v="1996-10-03T00:00:00"/>
    <n v="2"/>
    <n v="41.76"/>
    <x v="13"/>
  </r>
  <r>
    <n v="10316"/>
    <x v="13"/>
    <x v="5"/>
    <x v="61"/>
    <d v="1996-10-25T00:00:00"/>
    <d v="1996-10-08T00:00:00"/>
    <n v="3"/>
    <n v="150.15"/>
    <x v="8"/>
  </r>
  <r>
    <n v="10317"/>
    <x v="38"/>
    <x v="1"/>
    <x v="62"/>
    <d v="1996-10-28T00:00:00"/>
    <d v="1996-10-10T00:00:00"/>
    <n v="1"/>
    <n v="12.69"/>
    <x v="8"/>
  </r>
  <r>
    <n v="10318"/>
    <x v="42"/>
    <x v="6"/>
    <x v="63"/>
    <d v="1996-10-29T00:00:00"/>
    <d v="1996-10-04T00:00:00"/>
    <n v="2"/>
    <n v="4.7300000000000004"/>
    <x v="13"/>
  </r>
  <r>
    <n v="10319"/>
    <x v="23"/>
    <x v="8"/>
    <x v="64"/>
    <d v="1996-10-30T00:00:00"/>
    <d v="1996-10-11T00:00:00"/>
    <n v="3"/>
    <n v="64.5"/>
    <x v="7"/>
  </r>
  <r>
    <n v="10320"/>
    <x v="16"/>
    <x v="0"/>
    <x v="65"/>
    <d v="1996-10-17T00:00:00"/>
    <d v="1996-10-18T00:00:00"/>
    <n v="3"/>
    <n v="34.57"/>
    <x v="10"/>
  </r>
  <r>
    <n v="10321"/>
    <x v="42"/>
    <x v="3"/>
    <x v="65"/>
    <d v="1996-10-31T00:00:00"/>
    <d v="1996-10-11T00:00:00"/>
    <n v="2"/>
    <n v="3.43"/>
    <x v="13"/>
  </r>
  <r>
    <n v="10322"/>
    <x v="43"/>
    <x v="8"/>
    <x v="66"/>
    <d v="1996-11-01T00:00:00"/>
    <d v="1996-10-23T00:00:00"/>
    <n v="3"/>
    <n v="0.4"/>
    <x v="7"/>
  </r>
  <r>
    <n v="10323"/>
    <x v="44"/>
    <x v="2"/>
    <x v="67"/>
    <d v="1996-11-04T00:00:00"/>
    <d v="1996-10-14T00:00:00"/>
    <n v="1"/>
    <n v="4.88"/>
    <x v="1"/>
  </r>
  <r>
    <n v="10324"/>
    <x v="45"/>
    <x v="4"/>
    <x v="68"/>
    <d v="1996-11-05T00:00:00"/>
    <d v="1996-10-10T00:00:00"/>
    <n v="1"/>
    <n v="214.27"/>
    <x v="8"/>
  </r>
  <r>
    <n v="10325"/>
    <x v="44"/>
    <x v="5"/>
    <x v="69"/>
    <d v="1996-10-23T00:00:00"/>
    <d v="1996-10-14T00:00:00"/>
    <n v="3"/>
    <n v="64.86"/>
    <x v="1"/>
  </r>
  <r>
    <n v="10326"/>
    <x v="46"/>
    <x v="2"/>
    <x v="70"/>
    <d v="1996-11-07T00:00:00"/>
    <d v="1996-10-14T00:00:00"/>
    <n v="2"/>
    <n v="77.92"/>
    <x v="12"/>
  </r>
  <r>
    <n v="10327"/>
    <x v="14"/>
    <x v="7"/>
    <x v="71"/>
    <d v="1996-11-08T00:00:00"/>
    <d v="1996-10-14T00:00:00"/>
    <n v="1"/>
    <n v="63.36"/>
    <x v="9"/>
  </r>
  <r>
    <n v="10328"/>
    <x v="47"/>
    <x v="2"/>
    <x v="72"/>
    <d v="1996-11-11T00:00:00"/>
    <d v="1996-10-17T00:00:00"/>
    <n v="3"/>
    <n v="87.03"/>
    <x v="15"/>
  </r>
  <r>
    <n v="10329"/>
    <x v="20"/>
    <x v="2"/>
    <x v="73"/>
    <d v="1996-11-26T00:00:00"/>
    <d v="1996-10-23T00:00:00"/>
    <n v="2"/>
    <n v="191.67"/>
    <x v="8"/>
  </r>
  <r>
    <n v="10330"/>
    <x v="28"/>
    <x v="3"/>
    <x v="74"/>
    <d v="1996-11-13T00:00:00"/>
    <d v="1996-10-28T00:00:00"/>
    <n v="1"/>
    <n v="12.75"/>
    <x v="5"/>
  </r>
  <r>
    <n v="10331"/>
    <x v="48"/>
    <x v="4"/>
    <x v="74"/>
    <d v="1996-11-27T00:00:00"/>
    <d v="1996-10-21T00:00:00"/>
    <n v="1"/>
    <n v="10.19"/>
    <x v="0"/>
  </r>
  <r>
    <n v="10332"/>
    <x v="49"/>
    <x v="3"/>
    <x v="75"/>
    <d v="1996-11-28T00:00:00"/>
    <d v="1996-10-21T00:00:00"/>
    <n v="2"/>
    <n v="52.84"/>
    <x v="16"/>
  </r>
  <r>
    <n v="10333"/>
    <x v="16"/>
    <x v="0"/>
    <x v="76"/>
    <d v="1996-11-15T00:00:00"/>
    <d v="1996-10-25T00:00:00"/>
    <n v="3"/>
    <n v="0.59"/>
    <x v="10"/>
  </r>
  <r>
    <n v="10334"/>
    <x v="3"/>
    <x v="6"/>
    <x v="77"/>
    <d v="1996-11-18T00:00:00"/>
    <d v="1996-10-28T00:00:00"/>
    <n v="2"/>
    <n v="8.56"/>
    <x v="0"/>
  </r>
  <r>
    <n v="10335"/>
    <x v="34"/>
    <x v="8"/>
    <x v="78"/>
    <d v="1996-11-19T00:00:00"/>
    <d v="1996-10-24T00:00:00"/>
    <n v="2"/>
    <n v="42.11"/>
    <x v="14"/>
  </r>
  <r>
    <n v="10336"/>
    <x v="50"/>
    <x v="8"/>
    <x v="79"/>
    <d v="1996-11-20T00:00:00"/>
    <d v="1996-10-25T00:00:00"/>
    <n v="2"/>
    <n v="15.51"/>
    <x v="15"/>
  </r>
  <r>
    <n v="10337"/>
    <x v="17"/>
    <x v="2"/>
    <x v="80"/>
    <d v="1996-11-21T00:00:00"/>
    <d v="1996-10-29T00:00:00"/>
    <n v="3"/>
    <n v="108.26"/>
    <x v="1"/>
  </r>
  <r>
    <n v="10338"/>
    <x v="37"/>
    <x v="2"/>
    <x v="81"/>
    <d v="1996-11-22T00:00:00"/>
    <d v="1996-10-29T00:00:00"/>
    <n v="3"/>
    <n v="84.21"/>
    <x v="8"/>
  </r>
  <r>
    <n v="10339"/>
    <x v="49"/>
    <x v="7"/>
    <x v="82"/>
    <d v="1996-11-25T00:00:00"/>
    <d v="1996-11-04T00:00:00"/>
    <n v="2"/>
    <n v="15.66"/>
    <x v="16"/>
  </r>
  <r>
    <n v="10340"/>
    <x v="48"/>
    <x v="5"/>
    <x v="83"/>
    <d v="1996-11-26T00:00:00"/>
    <d v="1996-11-08T00:00:00"/>
    <n v="3"/>
    <n v="166.31"/>
    <x v="0"/>
  </r>
  <r>
    <n v="10341"/>
    <x v="51"/>
    <x v="8"/>
    <x v="83"/>
    <d v="1996-11-26T00:00:00"/>
    <d v="1996-11-05T00:00:00"/>
    <n v="3"/>
    <n v="26.78"/>
    <x v="17"/>
  </r>
  <r>
    <n v="10342"/>
    <x v="17"/>
    <x v="2"/>
    <x v="84"/>
    <d v="1996-11-13T00:00:00"/>
    <d v="1996-11-04T00:00:00"/>
    <n v="2"/>
    <n v="54.83"/>
    <x v="1"/>
  </r>
  <r>
    <n v="10343"/>
    <x v="26"/>
    <x v="2"/>
    <x v="85"/>
    <d v="1996-11-28T00:00:00"/>
    <d v="1996-11-06T00:00:00"/>
    <n v="1"/>
    <n v="110.37"/>
    <x v="1"/>
  </r>
  <r>
    <n v="10344"/>
    <x v="19"/>
    <x v="2"/>
    <x v="86"/>
    <d v="1996-11-29T00:00:00"/>
    <d v="1996-11-05T00:00:00"/>
    <n v="2"/>
    <n v="23.29"/>
    <x v="8"/>
  </r>
  <r>
    <n v="10345"/>
    <x v="21"/>
    <x v="7"/>
    <x v="87"/>
    <d v="1996-12-02T00:00:00"/>
    <d v="1996-11-11T00:00:00"/>
    <n v="2"/>
    <n v="249.06"/>
    <x v="1"/>
  </r>
  <r>
    <n v="10346"/>
    <x v="13"/>
    <x v="3"/>
    <x v="88"/>
    <d v="1996-12-17T00:00:00"/>
    <d v="1996-11-08T00:00:00"/>
    <n v="3"/>
    <n v="142.08000000000001"/>
    <x v="8"/>
  </r>
  <r>
    <n v="10347"/>
    <x v="52"/>
    <x v="2"/>
    <x v="89"/>
    <d v="1996-12-04T00:00:00"/>
    <d v="1996-11-08T00:00:00"/>
    <n v="3"/>
    <n v="3.1"/>
    <x v="2"/>
  </r>
  <r>
    <n v="10348"/>
    <x v="35"/>
    <x v="2"/>
    <x v="90"/>
    <d v="1996-12-05T00:00:00"/>
    <d v="1996-11-15T00:00:00"/>
    <n v="2"/>
    <n v="0.78"/>
    <x v="1"/>
  </r>
  <r>
    <n v="10349"/>
    <x v="20"/>
    <x v="8"/>
    <x v="91"/>
    <d v="1996-12-06T00:00:00"/>
    <d v="1996-11-15T00:00:00"/>
    <n v="1"/>
    <n v="8.6300000000000008"/>
    <x v="8"/>
  </r>
  <r>
    <n v="10350"/>
    <x v="53"/>
    <x v="1"/>
    <x v="92"/>
    <d v="1996-12-09T00:00:00"/>
    <d v="1996-12-03T00:00:00"/>
    <n v="2"/>
    <n v="64.19"/>
    <x v="0"/>
  </r>
  <r>
    <n v="10351"/>
    <x v="9"/>
    <x v="5"/>
    <x v="92"/>
    <d v="1996-12-09T00:00:00"/>
    <d v="1996-11-20T00:00:00"/>
    <n v="1"/>
    <n v="162.33000000000001"/>
    <x v="6"/>
  </r>
  <r>
    <n v="10352"/>
    <x v="47"/>
    <x v="3"/>
    <x v="93"/>
    <d v="1996-11-26T00:00:00"/>
    <d v="1996-11-18T00:00:00"/>
    <n v="3"/>
    <n v="1.3"/>
    <x v="15"/>
  </r>
  <r>
    <n v="10353"/>
    <x v="54"/>
    <x v="8"/>
    <x v="94"/>
    <d v="1996-12-11T00:00:00"/>
    <d v="1996-11-25T00:00:00"/>
    <n v="3"/>
    <n v="360.63"/>
    <x v="6"/>
  </r>
  <r>
    <n v="10354"/>
    <x v="43"/>
    <x v="6"/>
    <x v="95"/>
    <d v="1996-12-12T00:00:00"/>
    <d v="1996-11-20T00:00:00"/>
    <n v="3"/>
    <n v="53.8"/>
    <x v="7"/>
  </r>
  <r>
    <n v="10355"/>
    <x v="55"/>
    <x v="1"/>
    <x v="96"/>
    <d v="1996-12-13T00:00:00"/>
    <d v="1996-11-20T00:00:00"/>
    <n v="1"/>
    <n v="41.95"/>
    <x v="13"/>
  </r>
  <r>
    <n v="10356"/>
    <x v="35"/>
    <x v="1"/>
    <x v="97"/>
    <d v="1996-12-16T00:00:00"/>
    <d v="1996-11-27T00:00:00"/>
    <n v="2"/>
    <n v="36.71"/>
    <x v="1"/>
  </r>
  <r>
    <n v="10357"/>
    <x v="28"/>
    <x v="5"/>
    <x v="98"/>
    <d v="1996-12-17T00:00:00"/>
    <d v="1996-12-02T00:00:00"/>
    <n v="3"/>
    <n v="34.880000000000003"/>
    <x v="5"/>
  </r>
  <r>
    <n v="10358"/>
    <x v="53"/>
    <x v="0"/>
    <x v="99"/>
    <d v="1996-12-18T00:00:00"/>
    <d v="1996-11-27T00:00:00"/>
    <n v="1"/>
    <n v="19.64"/>
    <x v="0"/>
  </r>
  <r>
    <n v="10359"/>
    <x v="56"/>
    <x v="0"/>
    <x v="100"/>
    <d v="1996-12-19T00:00:00"/>
    <d v="1996-11-26T00:00:00"/>
    <n v="3"/>
    <n v="288.43"/>
    <x v="13"/>
  </r>
  <r>
    <n v="10360"/>
    <x v="15"/>
    <x v="2"/>
    <x v="101"/>
    <d v="1996-12-20T00:00:00"/>
    <d v="1996-12-02T00:00:00"/>
    <n v="3"/>
    <n v="131.69999999999999"/>
    <x v="0"/>
  </r>
  <r>
    <n v="10361"/>
    <x v="21"/>
    <x v="5"/>
    <x v="101"/>
    <d v="1996-12-20T00:00:00"/>
    <d v="1996-12-03T00:00:00"/>
    <n v="2"/>
    <n v="183.17"/>
    <x v="1"/>
  </r>
  <r>
    <n v="10362"/>
    <x v="48"/>
    <x v="3"/>
    <x v="102"/>
    <d v="1996-12-23T00:00:00"/>
    <d v="1996-11-28T00:00:00"/>
    <n v="1"/>
    <n v="96.04"/>
    <x v="0"/>
  </r>
  <r>
    <n v="10363"/>
    <x v="57"/>
    <x v="2"/>
    <x v="103"/>
    <d v="1996-12-24T00:00:00"/>
    <d v="1996-12-04T00:00:00"/>
    <n v="3"/>
    <n v="30.54"/>
    <x v="1"/>
  </r>
  <r>
    <n v="10364"/>
    <x v="58"/>
    <x v="5"/>
    <x v="103"/>
    <d v="1997-01-07T00:00:00"/>
    <d v="1996-12-04T00:00:00"/>
    <n v="1"/>
    <n v="71.97"/>
    <x v="13"/>
  </r>
  <r>
    <n v="10365"/>
    <x v="59"/>
    <x v="3"/>
    <x v="104"/>
    <d v="1996-12-25T00:00:00"/>
    <d v="1996-12-02T00:00:00"/>
    <n v="2"/>
    <n v="22"/>
    <x v="7"/>
  </r>
  <r>
    <n v="10366"/>
    <x v="60"/>
    <x v="6"/>
    <x v="105"/>
    <d v="1997-01-09T00:00:00"/>
    <d v="1996-12-30T00:00:00"/>
    <n v="2"/>
    <n v="10.14"/>
    <x v="12"/>
  </r>
  <r>
    <n v="10367"/>
    <x v="61"/>
    <x v="8"/>
    <x v="105"/>
    <d v="1996-12-26T00:00:00"/>
    <d v="1996-12-02T00:00:00"/>
    <n v="3"/>
    <n v="13.55"/>
    <x v="17"/>
  </r>
  <r>
    <n v="10368"/>
    <x v="9"/>
    <x v="7"/>
    <x v="106"/>
    <d v="1996-12-27T00:00:00"/>
    <d v="1996-12-02T00:00:00"/>
    <n v="2"/>
    <n v="101.95"/>
    <x v="6"/>
  </r>
  <r>
    <n v="10369"/>
    <x v="20"/>
    <x v="6"/>
    <x v="107"/>
    <d v="1996-12-30T00:00:00"/>
    <d v="1996-12-09T00:00:00"/>
    <n v="2"/>
    <n v="195.68"/>
    <x v="8"/>
  </r>
  <r>
    <n v="10370"/>
    <x v="5"/>
    <x v="1"/>
    <x v="108"/>
    <d v="1996-12-31T00:00:00"/>
    <d v="1996-12-27T00:00:00"/>
    <n v="2"/>
    <n v="1.17"/>
    <x v="4"/>
  </r>
  <r>
    <n v="10371"/>
    <x v="53"/>
    <x v="5"/>
    <x v="108"/>
    <d v="1996-12-31T00:00:00"/>
    <d v="1996-12-24T00:00:00"/>
    <n v="1"/>
    <n v="0.45"/>
    <x v="0"/>
  </r>
  <r>
    <n v="10372"/>
    <x v="62"/>
    <x v="0"/>
    <x v="109"/>
    <d v="1997-01-01T00:00:00"/>
    <d v="1996-12-09T00:00:00"/>
    <n v="2"/>
    <n v="890.78"/>
    <x v="2"/>
  </r>
  <r>
    <n v="10373"/>
    <x v="34"/>
    <x v="2"/>
    <x v="110"/>
    <d v="1997-01-02T00:00:00"/>
    <d v="1996-12-11T00:00:00"/>
    <n v="3"/>
    <n v="124.12"/>
    <x v="14"/>
  </r>
  <r>
    <n v="10374"/>
    <x v="63"/>
    <x v="5"/>
    <x v="110"/>
    <d v="1997-01-02T00:00:00"/>
    <d v="1996-12-09T00:00:00"/>
    <n v="3"/>
    <n v="3.94"/>
    <x v="18"/>
  </r>
  <r>
    <n v="10375"/>
    <x v="64"/>
    <x v="3"/>
    <x v="111"/>
    <d v="1997-01-03T00:00:00"/>
    <d v="1996-12-09T00:00:00"/>
    <n v="2"/>
    <n v="20.12"/>
    <x v="8"/>
  </r>
  <r>
    <n v="10376"/>
    <x v="49"/>
    <x v="5"/>
    <x v="112"/>
    <d v="1997-01-06T00:00:00"/>
    <d v="1996-12-13T00:00:00"/>
    <n v="2"/>
    <n v="20.39"/>
    <x v="16"/>
  </r>
  <r>
    <n v="10377"/>
    <x v="56"/>
    <x v="5"/>
    <x v="112"/>
    <d v="1997-01-06T00:00:00"/>
    <d v="1996-12-13T00:00:00"/>
    <n v="3"/>
    <n v="22.21"/>
    <x v="13"/>
  </r>
  <r>
    <n v="10378"/>
    <x v="14"/>
    <x v="0"/>
    <x v="113"/>
    <d v="1997-01-07T00:00:00"/>
    <d v="1996-12-19T00:00:00"/>
    <n v="3"/>
    <n v="5.44"/>
    <x v="9"/>
  </r>
  <r>
    <n v="10379"/>
    <x v="12"/>
    <x v="7"/>
    <x v="114"/>
    <d v="1997-01-08T00:00:00"/>
    <d v="1996-12-13T00:00:00"/>
    <n v="1"/>
    <n v="45.03"/>
    <x v="2"/>
  </r>
  <r>
    <n v="10380"/>
    <x v="34"/>
    <x v="6"/>
    <x v="115"/>
    <d v="1997-01-09T00:00:00"/>
    <d v="1997-01-16T00:00:00"/>
    <n v="3"/>
    <n v="35.03"/>
    <x v="14"/>
  </r>
  <r>
    <n v="10381"/>
    <x v="28"/>
    <x v="3"/>
    <x v="115"/>
    <d v="1997-01-09T00:00:00"/>
    <d v="1996-12-13T00:00:00"/>
    <n v="3"/>
    <n v="7.99"/>
    <x v="5"/>
  </r>
  <r>
    <n v="10382"/>
    <x v="9"/>
    <x v="2"/>
    <x v="116"/>
    <d v="1997-01-10T00:00:00"/>
    <d v="1996-12-16T00:00:00"/>
    <n v="1"/>
    <n v="94.77"/>
    <x v="6"/>
  </r>
  <r>
    <n v="10383"/>
    <x v="55"/>
    <x v="6"/>
    <x v="117"/>
    <d v="1997-01-13T00:00:00"/>
    <d v="1996-12-18T00:00:00"/>
    <n v="3"/>
    <n v="34.24"/>
    <x v="13"/>
  </r>
  <r>
    <n v="10384"/>
    <x v="25"/>
    <x v="3"/>
    <x v="117"/>
    <d v="1997-01-13T00:00:00"/>
    <d v="1996-12-20T00:00:00"/>
    <n v="3"/>
    <n v="168.64"/>
    <x v="9"/>
  </r>
  <r>
    <n v="10385"/>
    <x v="20"/>
    <x v="5"/>
    <x v="118"/>
    <d v="1997-01-14T00:00:00"/>
    <d v="1996-12-23T00:00:00"/>
    <n v="2"/>
    <n v="30.96"/>
    <x v="8"/>
  </r>
  <r>
    <n v="10386"/>
    <x v="52"/>
    <x v="4"/>
    <x v="119"/>
    <d v="1997-01-01T00:00:00"/>
    <d v="1996-12-25T00:00:00"/>
    <n v="3"/>
    <n v="13.99"/>
    <x v="2"/>
  </r>
  <r>
    <n v="10387"/>
    <x v="65"/>
    <x v="5"/>
    <x v="119"/>
    <d v="1997-01-15T00:00:00"/>
    <d v="1996-12-20T00:00:00"/>
    <n v="2"/>
    <n v="93.63"/>
    <x v="19"/>
  </r>
  <r>
    <n v="10388"/>
    <x v="56"/>
    <x v="7"/>
    <x v="120"/>
    <d v="1997-01-16T00:00:00"/>
    <d v="1996-12-20T00:00:00"/>
    <n v="1"/>
    <n v="34.86"/>
    <x v="13"/>
  </r>
  <r>
    <n v="10389"/>
    <x v="66"/>
    <x v="2"/>
    <x v="121"/>
    <d v="1997-01-17T00:00:00"/>
    <d v="1996-12-24T00:00:00"/>
    <n v="2"/>
    <n v="47.42"/>
    <x v="16"/>
  </r>
  <r>
    <n v="10390"/>
    <x v="9"/>
    <x v="1"/>
    <x v="122"/>
    <d v="1997-01-20T00:00:00"/>
    <d v="1996-12-26T00:00:00"/>
    <n v="1"/>
    <n v="126.38"/>
    <x v="6"/>
  </r>
  <r>
    <n v="10391"/>
    <x v="57"/>
    <x v="3"/>
    <x v="122"/>
    <d v="1997-01-20T00:00:00"/>
    <d v="1996-12-31T00:00:00"/>
    <n v="3"/>
    <n v="5.45"/>
    <x v="1"/>
  </r>
  <r>
    <n v="10392"/>
    <x v="54"/>
    <x v="7"/>
    <x v="123"/>
    <d v="1997-01-21T00:00:00"/>
    <d v="1997-01-01T00:00:00"/>
    <n v="3"/>
    <n v="122.46"/>
    <x v="6"/>
  </r>
  <r>
    <n v="10393"/>
    <x v="45"/>
    <x v="5"/>
    <x v="124"/>
    <d v="1997-01-22T00:00:00"/>
    <d v="1997-01-03T00:00:00"/>
    <n v="3"/>
    <n v="126.56"/>
    <x v="8"/>
  </r>
  <r>
    <n v="10394"/>
    <x v="64"/>
    <x v="5"/>
    <x v="124"/>
    <d v="1997-01-22T00:00:00"/>
    <d v="1997-01-03T00:00:00"/>
    <n v="3"/>
    <n v="30.34"/>
    <x v="8"/>
  </r>
  <r>
    <n v="10395"/>
    <x v="8"/>
    <x v="1"/>
    <x v="125"/>
    <d v="1997-01-23T00:00:00"/>
    <d v="1997-01-03T00:00:00"/>
    <n v="1"/>
    <n v="184.41"/>
    <x v="5"/>
  </r>
  <r>
    <n v="10396"/>
    <x v="17"/>
    <x v="5"/>
    <x v="126"/>
    <d v="1997-01-10T00:00:00"/>
    <d v="1997-01-06T00:00:00"/>
    <n v="3"/>
    <n v="135.35"/>
    <x v="1"/>
  </r>
  <r>
    <n v="10397"/>
    <x v="50"/>
    <x v="0"/>
    <x v="126"/>
    <d v="1997-01-24T00:00:00"/>
    <d v="1997-01-02T00:00:00"/>
    <n v="1"/>
    <n v="60.26"/>
    <x v="15"/>
  </r>
  <r>
    <n v="10398"/>
    <x v="45"/>
    <x v="7"/>
    <x v="127"/>
    <d v="1997-01-27T00:00:00"/>
    <d v="1997-01-09T00:00:00"/>
    <n v="3"/>
    <n v="89.16"/>
    <x v="8"/>
  </r>
  <r>
    <n v="10399"/>
    <x v="61"/>
    <x v="6"/>
    <x v="128"/>
    <d v="1997-01-14T00:00:00"/>
    <d v="1997-01-08T00:00:00"/>
    <n v="3"/>
    <n v="27.36"/>
    <x v="17"/>
  </r>
  <r>
    <n v="10400"/>
    <x v="58"/>
    <x v="5"/>
    <x v="129"/>
    <d v="1997-01-29T00:00:00"/>
    <d v="1997-01-16T00:00:00"/>
    <n v="3"/>
    <n v="83.93"/>
    <x v="13"/>
  </r>
  <r>
    <n v="10401"/>
    <x v="13"/>
    <x v="5"/>
    <x v="129"/>
    <d v="1997-01-29T00:00:00"/>
    <d v="1997-01-10T00:00:00"/>
    <n v="1"/>
    <n v="12.51"/>
    <x v="8"/>
  </r>
  <r>
    <n v="10402"/>
    <x v="9"/>
    <x v="6"/>
    <x v="130"/>
    <d v="1997-02-13T00:00:00"/>
    <d v="1997-01-10T00:00:00"/>
    <n v="2"/>
    <n v="67.88"/>
    <x v="6"/>
  </r>
  <r>
    <n v="10403"/>
    <x v="9"/>
    <x v="2"/>
    <x v="131"/>
    <d v="1997-01-31T00:00:00"/>
    <d v="1997-01-09T00:00:00"/>
    <n v="3"/>
    <n v="73.790000000000006"/>
    <x v="6"/>
  </r>
  <r>
    <n v="10404"/>
    <x v="22"/>
    <x v="7"/>
    <x v="131"/>
    <d v="1997-01-31T00:00:00"/>
    <d v="1997-01-08T00:00:00"/>
    <n v="1"/>
    <n v="155.97"/>
    <x v="11"/>
  </r>
  <r>
    <n v="10405"/>
    <x v="67"/>
    <x v="5"/>
    <x v="132"/>
    <d v="1997-02-03T00:00:00"/>
    <d v="1997-01-22T00:00:00"/>
    <n v="1"/>
    <n v="34.82"/>
    <x v="5"/>
  </r>
  <r>
    <n v="10406"/>
    <x v="62"/>
    <x v="8"/>
    <x v="133"/>
    <d v="1997-02-18T00:00:00"/>
    <d v="1997-01-13T00:00:00"/>
    <n v="1"/>
    <n v="108.04"/>
    <x v="2"/>
  </r>
  <r>
    <n v="10407"/>
    <x v="11"/>
    <x v="7"/>
    <x v="133"/>
    <d v="1997-02-04T00:00:00"/>
    <d v="1997-01-30T00:00:00"/>
    <n v="2"/>
    <n v="91.48"/>
    <x v="1"/>
  </r>
  <r>
    <n v="10408"/>
    <x v="68"/>
    <x v="6"/>
    <x v="134"/>
    <d v="1997-02-05T00:00:00"/>
    <d v="1997-01-14T00:00:00"/>
    <n v="1"/>
    <n v="11.26"/>
    <x v="0"/>
  </r>
  <r>
    <n v="10409"/>
    <x v="69"/>
    <x v="3"/>
    <x v="135"/>
    <d v="1997-02-06T00:00:00"/>
    <d v="1997-01-14T00:00:00"/>
    <n v="1"/>
    <n v="29.83"/>
    <x v="20"/>
  </r>
  <r>
    <n v="10410"/>
    <x v="66"/>
    <x v="3"/>
    <x v="136"/>
    <d v="1997-02-07T00:00:00"/>
    <d v="1997-01-15T00:00:00"/>
    <n v="3"/>
    <n v="2.4"/>
    <x v="16"/>
  </r>
  <r>
    <n v="10411"/>
    <x v="66"/>
    <x v="4"/>
    <x v="136"/>
    <d v="1997-02-07T00:00:00"/>
    <d v="1997-01-21T00:00:00"/>
    <n v="3"/>
    <n v="23.65"/>
    <x v="16"/>
  </r>
  <r>
    <n v="10412"/>
    <x v="16"/>
    <x v="6"/>
    <x v="137"/>
    <d v="1997-02-10T00:00:00"/>
    <d v="1997-01-15T00:00:00"/>
    <n v="2"/>
    <n v="3.77"/>
    <x v="10"/>
  </r>
  <r>
    <n v="10413"/>
    <x v="53"/>
    <x v="3"/>
    <x v="138"/>
    <d v="1997-02-11T00:00:00"/>
    <d v="1997-01-16T00:00:00"/>
    <n v="2"/>
    <n v="95.66"/>
    <x v="0"/>
  </r>
  <r>
    <n v="10414"/>
    <x v="52"/>
    <x v="7"/>
    <x v="138"/>
    <d v="1997-02-11T00:00:00"/>
    <d v="1997-01-17T00:00:00"/>
    <n v="3"/>
    <n v="21.48"/>
    <x v="2"/>
  </r>
  <r>
    <n v="10415"/>
    <x v="64"/>
    <x v="3"/>
    <x v="139"/>
    <d v="1997-02-12T00:00:00"/>
    <d v="1997-01-24T00:00:00"/>
    <n v="1"/>
    <n v="0.2"/>
    <x v="8"/>
  </r>
  <r>
    <n v="10416"/>
    <x v="16"/>
    <x v="6"/>
    <x v="140"/>
    <d v="1997-02-13T00:00:00"/>
    <d v="1997-01-27T00:00:00"/>
    <n v="3"/>
    <n v="22.72"/>
    <x v="10"/>
  </r>
  <r>
    <n v="10417"/>
    <x v="51"/>
    <x v="2"/>
    <x v="140"/>
    <d v="1997-02-13T00:00:00"/>
    <d v="1997-01-28T00:00:00"/>
    <n v="3"/>
    <n v="70.290000000000006"/>
    <x v="17"/>
  </r>
  <r>
    <n v="10418"/>
    <x v="21"/>
    <x v="2"/>
    <x v="141"/>
    <d v="1997-02-14T00:00:00"/>
    <d v="1997-01-24T00:00:00"/>
    <n v="1"/>
    <n v="17.55"/>
    <x v="1"/>
  </r>
  <r>
    <n v="10419"/>
    <x v="6"/>
    <x v="2"/>
    <x v="142"/>
    <d v="1997-02-17T00:00:00"/>
    <d v="1997-01-30T00:00:00"/>
    <n v="2"/>
    <n v="137.35"/>
    <x v="4"/>
  </r>
  <r>
    <n v="10420"/>
    <x v="7"/>
    <x v="3"/>
    <x v="143"/>
    <d v="1997-02-18T00:00:00"/>
    <d v="1997-01-27T00:00:00"/>
    <n v="1"/>
    <n v="44.12"/>
    <x v="2"/>
  </r>
  <r>
    <n v="10421"/>
    <x v="12"/>
    <x v="6"/>
    <x v="143"/>
    <d v="1997-03-04T00:00:00"/>
    <d v="1997-01-27T00:00:00"/>
    <n v="1"/>
    <n v="99.23"/>
    <x v="2"/>
  </r>
  <r>
    <n v="10422"/>
    <x v="70"/>
    <x v="7"/>
    <x v="144"/>
    <d v="1997-02-19T00:00:00"/>
    <d v="1997-01-31T00:00:00"/>
    <n v="1"/>
    <n v="3.02"/>
    <x v="11"/>
  </r>
  <r>
    <n v="10423"/>
    <x v="71"/>
    <x v="1"/>
    <x v="145"/>
    <d v="1997-02-06T00:00:00"/>
    <d v="1997-02-24T00:00:00"/>
    <n v="3"/>
    <n v="24.5"/>
    <x v="2"/>
  </r>
  <r>
    <n v="10424"/>
    <x v="49"/>
    <x v="8"/>
    <x v="145"/>
    <d v="1997-02-20T00:00:00"/>
    <d v="1997-01-27T00:00:00"/>
    <n v="2"/>
    <n v="370.61"/>
    <x v="16"/>
  </r>
  <r>
    <n v="10425"/>
    <x v="53"/>
    <x v="1"/>
    <x v="146"/>
    <d v="1997-02-21T00:00:00"/>
    <d v="1997-02-14T00:00:00"/>
    <n v="2"/>
    <n v="7.93"/>
    <x v="0"/>
  </r>
  <r>
    <n v="10426"/>
    <x v="60"/>
    <x v="2"/>
    <x v="147"/>
    <d v="1997-02-24T00:00:00"/>
    <d v="1997-02-06T00:00:00"/>
    <n v="1"/>
    <n v="18.690000000000001"/>
    <x v="12"/>
  </r>
  <r>
    <n v="10427"/>
    <x v="54"/>
    <x v="2"/>
    <x v="147"/>
    <d v="1997-02-24T00:00:00"/>
    <d v="1997-03-03T00:00:00"/>
    <n v="2"/>
    <n v="31.29"/>
    <x v="6"/>
  </r>
  <r>
    <n v="10428"/>
    <x v="30"/>
    <x v="8"/>
    <x v="148"/>
    <d v="1997-02-25T00:00:00"/>
    <d v="1997-02-04T00:00:00"/>
    <n v="1"/>
    <n v="11.09"/>
    <x v="11"/>
  </r>
  <r>
    <n v="10429"/>
    <x v="34"/>
    <x v="3"/>
    <x v="149"/>
    <d v="1997-03-12T00:00:00"/>
    <d v="1997-02-07T00:00:00"/>
    <n v="2"/>
    <n v="56.63"/>
    <x v="14"/>
  </r>
  <r>
    <n v="10430"/>
    <x v="9"/>
    <x v="2"/>
    <x v="150"/>
    <d v="1997-02-13T00:00:00"/>
    <d v="1997-02-03T00:00:00"/>
    <n v="1"/>
    <n v="458.78"/>
    <x v="6"/>
  </r>
  <r>
    <n v="10431"/>
    <x v="66"/>
    <x v="2"/>
    <x v="150"/>
    <d v="1997-02-13T00:00:00"/>
    <d v="1997-02-07T00:00:00"/>
    <n v="2"/>
    <n v="44.17"/>
    <x v="16"/>
  </r>
  <r>
    <n v="10432"/>
    <x v="20"/>
    <x v="3"/>
    <x v="151"/>
    <d v="1997-02-14T00:00:00"/>
    <d v="1997-02-07T00:00:00"/>
    <n v="2"/>
    <n v="4.34"/>
    <x v="8"/>
  </r>
  <r>
    <n v="10433"/>
    <x v="50"/>
    <x v="3"/>
    <x v="152"/>
    <d v="1997-03-03T00:00:00"/>
    <d v="1997-03-04T00:00:00"/>
    <n v="3"/>
    <n v="73.83"/>
    <x v="15"/>
  </r>
  <r>
    <n v="10434"/>
    <x v="14"/>
    <x v="3"/>
    <x v="152"/>
    <d v="1997-03-03T00:00:00"/>
    <d v="1997-02-13T00:00:00"/>
    <n v="2"/>
    <n v="17.920000000000002"/>
    <x v="9"/>
  </r>
  <r>
    <n v="10435"/>
    <x v="72"/>
    <x v="6"/>
    <x v="153"/>
    <d v="1997-03-18T00:00:00"/>
    <d v="1997-02-07T00:00:00"/>
    <n v="2"/>
    <n v="9.2100000000000009"/>
    <x v="13"/>
  </r>
  <r>
    <n v="10436"/>
    <x v="15"/>
    <x v="3"/>
    <x v="154"/>
    <d v="1997-03-05T00:00:00"/>
    <d v="1997-02-11T00:00:00"/>
    <n v="2"/>
    <n v="156.66"/>
    <x v="0"/>
  </r>
  <r>
    <n v="10437"/>
    <x v="16"/>
    <x v="6"/>
    <x v="154"/>
    <d v="1997-03-05T00:00:00"/>
    <d v="1997-02-12T00:00:00"/>
    <n v="1"/>
    <n v="19.97"/>
    <x v="10"/>
  </r>
  <r>
    <n v="10438"/>
    <x v="1"/>
    <x v="3"/>
    <x v="155"/>
    <d v="1997-03-06T00:00:00"/>
    <d v="1997-02-14T00:00:00"/>
    <n v="2"/>
    <n v="8.24"/>
    <x v="1"/>
  </r>
  <r>
    <n v="10439"/>
    <x v="49"/>
    <x v="1"/>
    <x v="156"/>
    <d v="1997-03-07T00:00:00"/>
    <d v="1997-02-10T00:00:00"/>
    <n v="3"/>
    <n v="4.07"/>
    <x v="16"/>
  </r>
  <r>
    <n v="10440"/>
    <x v="45"/>
    <x v="2"/>
    <x v="157"/>
    <d v="1997-03-10T00:00:00"/>
    <d v="1997-02-28T00:00:00"/>
    <n v="2"/>
    <n v="86.53"/>
    <x v="8"/>
  </r>
  <r>
    <n v="10441"/>
    <x v="37"/>
    <x v="3"/>
    <x v="157"/>
    <d v="1997-03-24T00:00:00"/>
    <d v="1997-03-14T00:00:00"/>
    <n v="2"/>
    <n v="73.02"/>
    <x v="8"/>
  </r>
  <r>
    <n v="10442"/>
    <x v="9"/>
    <x v="3"/>
    <x v="158"/>
    <d v="1997-03-11T00:00:00"/>
    <d v="1997-02-18T00:00:00"/>
    <n v="2"/>
    <n v="47.94"/>
    <x v="6"/>
  </r>
  <r>
    <n v="10443"/>
    <x v="30"/>
    <x v="6"/>
    <x v="159"/>
    <d v="1997-03-12T00:00:00"/>
    <d v="1997-02-14T00:00:00"/>
    <n v="1"/>
    <n v="13.95"/>
    <x v="11"/>
  </r>
  <r>
    <n v="10444"/>
    <x v="25"/>
    <x v="3"/>
    <x v="159"/>
    <d v="1997-03-12T00:00:00"/>
    <d v="1997-02-21T00:00:00"/>
    <n v="3"/>
    <n v="3.5"/>
    <x v="9"/>
  </r>
  <r>
    <n v="10445"/>
    <x v="25"/>
    <x v="3"/>
    <x v="160"/>
    <d v="1997-03-13T00:00:00"/>
    <d v="1997-02-20T00:00:00"/>
    <n v="1"/>
    <n v="9.3000000000000007"/>
    <x v="9"/>
  </r>
  <r>
    <n v="10446"/>
    <x v="1"/>
    <x v="1"/>
    <x v="161"/>
    <d v="1997-03-14T00:00:00"/>
    <d v="1997-02-19T00:00:00"/>
    <n v="1"/>
    <n v="14.68"/>
    <x v="1"/>
  </r>
  <r>
    <n v="10447"/>
    <x v="29"/>
    <x v="2"/>
    <x v="161"/>
    <d v="1997-03-14T00:00:00"/>
    <d v="1997-03-07T00:00:00"/>
    <n v="2"/>
    <n v="68.66"/>
    <x v="2"/>
  </r>
  <r>
    <n v="10448"/>
    <x v="73"/>
    <x v="2"/>
    <x v="162"/>
    <d v="1997-03-17T00:00:00"/>
    <d v="1997-02-24T00:00:00"/>
    <n v="2"/>
    <n v="38.82"/>
    <x v="20"/>
  </r>
  <r>
    <n v="10449"/>
    <x v="15"/>
    <x v="3"/>
    <x v="163"/>
    <d v="1997-03-18T00:00:00"/>
    <d v="1997-02-27T00:00:00"/>
    <n v="2"/>
    <n v="53.3"/>
    <x v="0"/>
  </r>
  <r>
    <n v="10450"/>
    <x v="3"/>
    <x v="6"/>
    <x v="164"/>
    <d v="1997-03-19T00:00:00"/>
    <d v="1997-03-11T00:00:00"/>
    <n v="2"/>
    <n v="7.23"/>
    <x v="0"/>
  </r>
  <r>
    <n v="10451"/>
    <x v="21"/>
    <x v="2"/>
    <x v="164"/>
    <d v="1997-03-05T00:00:00"/>
    <d v="1997-03-12T00:00:00"/>
    <n v="3"/>
    <n v="189.09"/>
    <x v="1"/>
  </r>
  <r>
    <n v="10452"/>
    <x v="45"/>
    <x v="6"/>
    <x v="165"/>
    <d v="1997-03-20T00:00:00"/>
    <d v="1997-02-26T00:00:00"/>
    <n v="1"/>
    <n v="140.26"/>
    <x v="8"/>
  </r>
  <r>
    <n v="10453"/>
    <x v="55"/>
    <x v="5"/>
    <x v="166"/>
    <d v="1997-03-21T00:00:00"/>
    <d v="1997-02-26T00:00:00"/>
    <n v="2"/>
    <n v="25.36"/>
    <x v="13"/>
  </r>
  <r>
    <n v="10454"/>
    <x v="53"/>
    <x v="2"/>
    <x v="166"/>
    <d v="1997-03-21T00:00:00"/>
    <d v="1997-02-25T00:00:00"/>
    <n v="3"/>
    <n v="2.74"/>
    <x v="0"/>
  </r>
  <r>
    <n v="10455"/>
    <x v="16"/>
    <x v="6"/>
    <x v="167"/>
    <d v="1997-04-07T00:00:00"/>
    <d v="1997-03-03T00:00:00"/>
    <n v="2"/>
    <n v="180.45"/>
    <x v="10"/>
  </r>
  <r>
    <n v="10456"/>
    <x v="44"/>
    <x v="6"/>
    <x v="168"/>
    <d v="1997-04-08T00:00:00"/>
    <d v="1997-02-28T00:00:00"/>
    <n v="2"/>
    <n v="8.1199999999999992"/>
    <x v="1"/>
  </r>
  <r>
    <n v="10457"/>
    <x v="44"/>
    <x v="7"/>
    <x v="168"/>
    <d v="1997-03-25T00:00:00"/>
    <d v="1997-03-03T00:00:00"/>
    <n v="1"/>
    <n v="11.57"/>
    <x v="1"/>
  </r>
  <r>
    <n v="10458"/>
    <x v="4"/>
    <x v="8"/>
    <x v="169"/>
    <d v="1997-03-26T00:00:00"/>
    <d v="1997-03-04T00:00:00"/>
    <n v="3"/>
    <n v="147.06"/>
    <x v="3"/>
  </r>
  <r>
    <n v="10459"/>
    <x v="3"/>
    <x v="2"/>
    <x v="170"/>
    <d v="1997-03-27T00:00:00"/>
    <d v="1997-02-28T00:00:00"/>
    <n v="2"/>
    <n v="25.09"/>
    <x v="0"/>
  </r>
  <r>
    <n v="10460"/>
    <x v="14"/>
    <x v="6"/>
    <x v="171"/>
    <d v="1997-03-28T00:00:00"/>
    <d v="1997-03-03T00:00:00"/>
    <n v="1"/>
    <n v="16.27"/>
    <x v="9"/>
  </r>
  <r>
    <n v="10461"/>
    <x v="28"/>
    <x v="5"/>
    <x v="171"/>
    <d v="1997-03-28T00:00:00"/>
    <d v="1997-03-05T00:00:00"/>
    <n v="3"/>
    <n v="148.61000000000001"/>
    <x v="5"/>
  </r>
  <r>
    <n v="10462"/>
    <x v="72"/>
    <x v="7"/>
    <x v="172"/>
    <d v="1997-03-31T00:00:00"/>
    <d v="1997-03-18T00:00:00"/>
    <n v="1"/>
    <n v="6.17"/>
    <x v="13"/>
  </r>
  <r>
    <n v="10463"/>
    <x v="4"/>
    <x v="0"/>
    <x v="173"/>
    <d v="1997-04-01T00:00:00"/>
    <d v="1997-03-06T00:00:00"/>
    <n v="3"/>
    <n v="14.78"/>
    <x v="3"/>
  </r>
  <r>
    <n v="10464"/>
    <x v="47"/>
    <x v="2"/>
    <x v="173"/>
    <d v="1997-04-01T00:00:00"/>
    <d v="1997-03-14T00:00:00"/>
    <n v="2"/>
    <n v="89"/>
    <x v="15"/>
  </r>
  <r>
    <n v="10465"/>
    <x v="61"/>
    <x v="5"/>
    <x v="174"/>
    <d v="1997-04-02T00:00:00"/>
    <d v="1997-03-14T00:00:00"/>
    <n v="3"/>
    <n v="145.04"/>
    <x v="17"/>
  </r>
  <r>
    <n v="10466"/>
    <x v="32"/>
    <x v="2"/>
    <x v="175"/>
    <d v="1997-04-03T00:00:00"/>
    <d v="1997-03-13T00:00:00"/>
    <n v="1"/>
    <n v="11.93"/>
    <x v="2"/>
  </r>
  <r>
    <n v="10467"/>
    <x v="22"/>
    <x v="6"/>
    <x v="175"/>
    <d v="1997-04-03T00:00:00"/>
    <d v="1997-03-11T00:00:00"/>
    <n v="2"/>
    <n v="4.93"/>
    <x v="11"/>
  </r>
  <r>
    <n v="10468"/>
    <x v="44"/>
    <x v="3"/>
    <x v="176"/>
    <d v="1997-04-04T00:00:00"/>
    <d v="1997-03-12T00:00:00"/>
    <n v="3"/>
    <n v="44.12"/>
    <x v="1"/>
  </r>
  <r>
    <n v="10469"/>
    <x v="19"/>
    <x v="5"/>
    <x v="177"/>
    <d v="1997-04-07T00:00:00"/>
    <d v="1997-03-14T00:00:00"/>
    <n v="1"/>
    <n v="60.18"/>
    <x v="8"/>
  </r>
  <r>
    <n v="10470"/>
    <x v="48"/>
    <x v="2"/>
    <x v="178"/>
    <d v="1997-04-08T00:00:00"/>
    <d v="1997-03-14T00:00:00"/>
    <n v="2"/>
    <n v="64.56"/>
    <x v="0"/>
  </r>
  <r>
    <n v="10471"/>
    <x v="31"/>
    <x v="7"/>
    <x v="178"/>
    <d v="1997-04-08T00:00:00"/>
    <d v="1997-03-18T00:00:00"/>
    <n v="3"/>
    <n v="45.59"/>
    <x v="13"/>
  </r>
  <r>
    <n v="10472"/>
    <x v="56"/>
    <x v="6"/>
    <x v="179"/>
    <d v="1997-04-09T00:00:00"/>
    <d v="1997-03-19T00:00:00"/>
    <n v="1"/>
    <n v="4.2"/>
    <x v="13"/>
  </r>
  <r>
    <n v="10473"/>
    <x v="42"/>
    <x v="5"/>
    <x v="180"/>
    <d v="1997-03-27T00:00:00"/>
    <d v="1997-03-21T00:00:00"/>
    <n v="3"/>
    <n v="16.37"/>
    <x v="13"/>
  </r>
  <r>
    <n v="10474"/>
    <x v="43"/>
    <x v="0"/>
    <x v="180"/>
    <d v="1997-04-10T00:00:00"/>
    <d v="1997-03-21T00:00:00"/>
    <n v="2"/>
    <n v="83.49"/>
    <x v="7"/>
  </r>
  <r>
    <n v="10475"/>
    <x v="4"/>
    <x v="4"/>
    <x v="181"/>
    <d v="1997-04-11T00:00:00"/>
    <d v="1997-04-04T00:00:00"/>
    <n v="1"/>
    <n v="68.52"/>
    <x v="3"/>
  </r>
  <r>
    <n v="10476"/>
    <x v="8"/>
    <x v="6"/>
    <x v="182"/>
    <d v="1997-04-14T00:00:00"/>
    <d v="1997-03-24T00:00:00"/>
    <n v="3"/>
    <n v="4.41"/>
    <x v="5"/>
  </r>
  <r>
    <n v="10477"/>
    <x v="50"/>
    <x v="0"/>
    <x v="182"/>
    <d v="1997-04-14T00:00:00"/>
    <d v="1997-03-25T00:00:00"/>
    <n v="2"/>
    <n v="13.02"/>
    <x v="15"/>
  </r>
  <r>
    <n v="10478"/>
    <x v="3"/>
    <x v="7"/>
    <x v="183"/>
    <d v="1997-04-01T00:00:00"/>
    <d v="1997-03-26T00:00:00"/>
    <n v="3"/>
    <n v="4.8099999999999996"/>
    <x v="0"/>
  </r>
  <r>
    <n v="10479"/>
    <x v="13"/>
    <x v="3"/>
    <x v="184"/>
    <d v="1997-04-16T00:00:00"/>
    <d v="1997-03-21T00:00:00"/>
    <n v="3"/>
    <n v="708.95"/>
    <x v="8"/>
  </r>
  <r>
    <n v="10480"/>
    <x v="68"/>
    <x v="1"/>
    <x v="185"/>
    <d v="1997-04-17T00:00:00"/>
    <d v="1997-03-24T00:00:00"/>
    <n v="2"/>
    <n v="1.35"/>
    <x v="0"/>
  </r>
  <r>
    <n v="10481"/>
    <x v="29"/>
    <x v="6"/>
    <x v="185"/>
    <d v="1997-04-17T00:00:00"/>
    <d v="1997-03-25T00:00:00"/>
    <n v="2"/>
    <n v="64.33"/>
    <x v="2"/>
  </r>
  <r>
    <n v="10482"/>
    <x v="74"/>
    <x v="5"/>
    <x v="186"/>
    <d v="1997-04-18T00:00:00"/>
    <d v="1997-04-10T00:00:00"/>
    <n v="3"/>
    <n v="7.48"/>
    <x v="8"/>
  </r>
  <r>
    <n v="10483"/>
    <x v="19"/>
    <x v="8"/>
    <x v="187"/>
    <d v="1997-04-21T00:00:00"/>
    <d v="1997-04-25T00:00:00"/>
    <n v="2"/>
    <n v="15.28"/>
    <x v="8"/>
  </r>
  <r>
    <n v="10484"/>
    <x v="31"/>
    <x v="3"/>
    <x v="187"/>
    <d v="1997-04-21T00:00:00"/>
    <d v="1997-04-01T00:00:00"/>
    <n v="3"/>
    <n v="6.88"/>
    <x v="13"/>
  </r>
  <r>
    <n v="10485"/>
    <x v="67"/>
    <x v="2"/>
    <x v="188"/>
    <d v="1997-04-08T00:00:00"/>
    <d v="1997-03-31T00:00:00"/>
    <n v="2"/>
    <n v="64.45"/>
    <x v="5"/>
  </r>
  <r>
    <n v="10486"/>
    <x v="8"/>
    <x v="5"/>
    <x v="189"/>
    <d v="1997-04-23T00:00:00"/>
    <d v="1997-04-02T00:00:00"/>
    <n v="2"/>
    <n v="30.53"/>
    <x v="5"/>
  </r>
  <r>
    <n v="10487"/>
    <x v="62"/>
    <x v="7"/>
    <x v="189"/>
    <d v="1997-04-23T00:00:00"/>
    <d v="1997-03-28T00:00:00"/>
    <n v="2"/>
    <n v="71.069999999999993"/>
    <x v="2"/>
  </r>
  <r>
    <n v="10488"/>
    <x v="17"/>
    <x v="6"/>
    <x v="190"/>
    <d v="1997-04-24T00:00:00"/>
    <d v="1997-04-02T00:00:00"/>
    <n v="2"/>
    <n v="4.93"/>
    <x v="1"/>
  </r>
  <r>
    <n v="10489"/>
    <x v="54"/>
    <x v="1"/>
    <x v="191"/>
    <d v="1997-04-25T00:00:00"/>
    <d v="1997-04-09T00:00:00"/>
    <n v="2"/>
    <n v="5.29"/>
    <x v="6"/>
  </r>
  <r>
    <n v="10490"/>
    <x v="8"/>
    <x v="8"/>
    <x v="192"/>
    <d v="1997-04-28T00:00:00"/>
    <d v="1997-04-03T00:00:00"/>
    <n v="2"/>
    <n v="210.19"/>
    <x v="5"/>
  </r>
  <r>
    <n v="10491"/>
    <x v="47"/>
    <x v="6"/>
    <x v="192"/>
    <d v="1997-04-28T00:00:00"/>
    <d v="1997-04-08T00:00:00"/>
    <n v="3"/>
    <n v="16.96"/>
    <x v="15"/>
  </r>
  <r>
    <n v="10492"/>
    <x v="66"/>
    <x v="3"/>
    <x v="193"/>
    <d v="1997-04-29T00:00:00"/>
    <d v="1997-04-11T00:00:00"/>
    <n v="1"/>
    <n v="62.89"/>
    <x v="16"/>
  </r>
  <r>
    <n v="10493"/>
    <x v="53"/>
    <x v="2"/>
    <x v="194"/>
    <d v="1997-04-30T00:00:00"/>
    <d v="1997-04-10T00:00:00"/>
    <n v="3"/>
    <n v="10.64"/>
    <x v="0"/>
  </r>
  <r>
    <n v="10494"/>
    <x v="32"/>
    <x v="2"/>
    <x v="194"/>
    <d v="1997-04-30T00:00:00"/>
    <d v="1997-04-09T00:00:00"/>
    <n v="2"/>
    <n v="65.989999999999995"/>
    <x v="2"/>
  </r>
  <r>
    <n v="10495"/>
    <x v="75"/>
    <x v="3"/>
    <x v="195"/>
    <d v="1997-05-01T00:00:00"/>
    <d v="1997-04-11T00:00:00"/>
    <n v="3"/>
    <n v="4.6500000000000004"/>
    <x v="16"/>
  </r>
  <r>
    <n v="10496"/>
    <x v="33"/>
    <x v="8"/>
    <x v="196"/>
    <d v="1997-05-02T00:00:00"/>
    <d v="1997-04-07T00:00:00"/>
    <n v="2"/>
    <n v="46.77"/>
    <x v="2"/>
  </r>
  <r>
    <n v="10497"/>
    <x v="26"/>
    <x v="8"/>
    <x v="196"/>
    <d v="1997-05-02T00:00:00"/>
    <d v="1997-04-07T00:00:00"/>
    <n v="1"/>
    <n v="36.21"/>
    <x v="1"/>
  </r>
  <r>
    <n v="10498"/>
    <x v="8"/>
    <x v="6"/>
    <x v="197"/>
    <d v="1997-05-05T00:00:00"/>
    <d v="1997-04-11T00:00:00"/>
    <n v="2"/>
    <n v="29.75"/>
    <x v="5"/>
  </r>
  <r>
    <n v="10499"/>
    <x v="28"/>
    <x v="2"/>
    <x v="198"/>
    <d v="1997-05-06T00:00:00"/>
    <d v="1997-04-16T00:00:00"/>
    <n v="2"/>
    <n v="102.02"/>
    <x v="5"/>
  </r>
  <r>
    <n v="10500"/>
    <x v="53"/>
    <x v="1"/>
    <x v="199"/>
    <d v="1997-05-07T00:00:00"/>
    <d v="1997-04-17T00:00:00"/>
    <n v="1"/>
    <n v="42.68"/>
    <x v="0"/>
  </r>
  <r>
    <n v="10501"/>
    <x v="76"/>
    <x v="4"/>
    <x v="199"/>
    <d v="1997-05-07T00:00:00"/>
    <d v="1997-04-16T00:00:00"/>
    <n v="3"/>
    <n v="8.85"/>
    <x v="1"/>
  </r>
  <r>
    <n v="10502"/>
    <x v="43"/>
    <x v="7"/>
    <x v="200"/>
    <d v="1997-05-08T00:00:00"/>
    <d v="1997-04-29T00:00:00"/>
    <n v="1"/>
    <n v="69.319999999999993"/>
    <x v="7"/>
  </r>
  <r>
    <n v="10503"/>
    <x v="34"/>
    <x v="1"/>
    <x v="201"/>
    <d v="1997-05-09T00:00:00"/>
    <d v="1997-04-16T00:00:00"/>
    <n v="2"/>
    <n v="16.739999999999998"/>
    <x v="14"/>
  </r>
  <r>
    <n v="10504"/>
    <x v="19"/>
    <x v="2"/>
    <x v="201"/>
    <d v="1997-05-09T00:00:00"/>
    <d v="1997-04-18T00:00:00"/>
    <n v="3"/>
    <n v="59.13"/>
    <x v="8"/>
  </r>
  <r>
    <n v="10505"/>
    <x v="49"/>
    <x v="3"/>
    <x v="202"/>
    <d v="1997-05-12T00:00:00"/>
    <d v="1997-04-21T00:00:00"/>
    <n v="3"/>
    <n v="7.13"/>
    <x v="16"/>
  </r>
  <r>
    <n v="10506"/>
    <x v="44"/>
    <x v="4"/>
    <x v="203"/>
    <d v="1997-05-13T00:00:00"/>
    <d v="1997-05-02T00:00:00"/>
    <n v="2"/>
    <n v="21.19"/>
    <x v="1"/>
  </r>
  <r>
    <n v="10507"/>
    <x v="59"/>
    <x v="8"/>
    <x v="203"/>
    <d v="1997-05-13T00:00:00"/>
    <d v="1997-04-22T00:00:00"/>
    <n v="1"/>
    <n v="47.45"/>
    <x v="7"/>
  </r>
  <r>
    <n v="10508"/>
    <x v="11"/>
    <x v="5"/>
    <x v="204"/>
    <d v="1997-05-14T00:00:00"/>
    <d v="1997-05-13T00:00:00"/>
    <n v="2"/>
    <n v="4.99"/>
    <x v="1"/>
  </r>
  <r>
    <n v="10509"/>
    <x v="76"/>
    <x v="2"/>
    <x v="205"/>
    <d v="1997-05-15T00:00:00"/>
    <d v="1997-04-29T00:00:00"/>
    <n v="1"/>
    <n v="0.15"/>
    <x v="1"/>
  </r>
  <r>
    <n v="10510"/>
    <x v="45"/>
    <x v="1"/>
    <x v="206"/>
    <d v="1997-05-16T00:00:00"/>
    <d v="1997-04-28T00:00:00"/>
    <n v="3"/>
    <n v="367.63"/>
    <x v="8"/>
  </r>
  <r>
    <n v="10511"/>
    <x v="48"/>
    <x v="2"/>
    <x v="206"/>
    <d v="1997-05-16T00:00:00"/>
    <d v="1997-04-21T00:00:00"/>
    <n v="3"/>
    <n v="350.64"/>
    <x v="0"/>
  </r>
  <r>
    <n v="10512"/>
    <x v="52"/>
    <x v="8"/>
    <x v="207"/>
    <d v="1997-05-19T00:00:00"/>
    <d v="1997-04-24T00:00:00"/>
    <n v="2"/>
    <n v="3.53"/>
    <x v="2"/>
  </r>
  <r>
    <n v="10513"/>
    <x v="35"/>
    <x v="8"/>
    <x v="208"/>
    <d v="1997-06-03T00:00:00"/>
    <d v="1997-04-28T00:00:00"/>
    <n v="1"/>
    <n v="105.65"/>
    <x v="1"/>
  </r>
  <r>
    <n v="10514"/>
    <x v="9"/>
    <x v="3"/>
    <x v="208"/>
    <d v="1997-05-20T00:00:00"/>
    <d v="1997-05-16T00:00:00"/>
    <n v="2"/>
    <n v="789.95"/>
    <x v="6"/>
  </r>
  <r>
    <n v="10515"/>
    <x v="21"/>
    <x v="7"/>
    <x v="209"/>
    <d v="1997-05-07T00:00:00"/>
    <d v="1997-05-23T00:00:00"/>
    <n v="1"/>
    <n v="204.47"/>
    <x v="1"/>
  </r>
  <r>
    <n v="10516"/>
    <x v="34"/>
    <x v="7"/>
    <x v="210"/>
    <d v="1997-05-22T00:00:00"/>
    <d v="1997-05-01T00:00:00"/>
    <n v="3"/>
    <n v="62.78"/>
    <x v="14"/>
  </r>
  <r>
    <n v="10517"/>
    <x v="77"/>
    <x v="3"/>
    <x v="210"/>
    <d v="1997-05-22T00:00:00"/>
    <d v="1997-04-29T00:00:00"/>
    <n v="3"/>
    <n v="32.07"/>
    <x v="13"/>
  </r>
  <r>
    <n v="10518"/>
    <x v="23"/>
    <x v="2"/>
    <x v="211"/>
    <d v="1997-05-09T00:00:00"/>
    <d v="1997-05-05T00:00:00"/>
    <n v="2"/>
    <n v="218.15"/>
    <x v="7"/>
  </r>
  <r>
    <n v="10519"/>
    <x v="5"/>
    <x v="1"/>
    <x v="212"/>
    <d v="1997-05-26T00:00:00"/>
    <d v="1997-05-01T00:00:00"/>
    <n v="3"/>
    <n v="91.76"/>
    <x v="4"/>
  </r>
  <r>
    <n v="10520"/>
    <x v="65"/>
    <x v="8"/>
    <x v="213"/>
    <d v="1997-05-27T00:00:00"/>
    <d v="1997-05-01T00:00:00"/>
    <n v="1"/>
    <n v="13.37"/>
    <x v="19"/>
  </r>
  <r>
    <n v="10521"/>
    <x v="78"/>
    <x v="6"/>
    <x v="213"/>
    <d v="1997-05-27T00:00:00"/>
    <d v="1997-05-02T00:00:00"/>
    <n v="2"/>
    <n v="17.22"/>
    <x v="20"/>
  </r>
  <r>
    <n v="10522"/>
    <x v="26"/>
    <x v="2"/>
    <x v="214"/>
    <d v="1997-05-28T00:00:00"/>
    <d v="1997-05-06T00:00:00"/>
    <n v="1"/>
    <n v="45.33"/>
    <x v="1"/>
  </r>
  <r>
    <n v="10523"/>
    <x v="56"/>
    <x v="8"/>
    <x v="215"/>
    <d v="1997-05-29T00:00:00"/>
    <d v="1997-05-30T00:00:00"/>
    <n v="2"/>
    <n v="77.63"/>
    <x v="13"/>
  </r>
  <r>
    <n v="10524"/>
    <x v="25"/>
    <x v="5"/>
    <x v="215"/>
    <d v="1997-05-29T00:00:00"/>
    <d v="1997-05-07T00:00:00"/>
    <n v="2"/>
    <n v="244.79"/>
    <x v="9"/>
  </r>
  <r>
    <n v="10525"/>
    <x v="48"/>
    <x v="5"/>
    <x v="216"/>
    <d v="1997-05-30T00:00:00"/>
    <d v="1997-05-23T00:00:00"/>
    <n v="2"/>
    <n v="11.06"/>
    <x v="0"/>
  </r>
  <r>
    <n v="10526"/>
    <x v="16"/>
    <x v="2"/>
    <x v="217"/>
    <d v="1997-06-02T00:00:00"/>
    <d v="1997-05-15T00:00:00"/>
    <n v="2"/>
    <n v="58.59"/>
    <x v="10"/>
  </r>
  <r>
    <n v="10527"/>
    <x v="21"/>
    <x v="8"/>
    <x v="217"/>
    <d v="1997-06-02T00:00:00"/>
    <d v="1997-05-07T00:00:00"/>
    <n v="1"/>
    <n v="41.9"/>
    <x v="1"/>
  </r>
  <r>
    <n v="10528"/>
    <x v="79"/>
    <x v="1"/>
    <x v="218"/>
    <d v="1997-05-20T00:00:00"/>
    <d v="1997-05-09T00:00:00"/>
    <n v="2"/>
    <n v="3.35"/>
    <x v="8"/>
  </r>
  <r>
    <n v="10529"/>
    <x v="80"/>
    <x v="0"/>
    <x v="219"/>
    <d v="1997-06-04T00:00:00"/>
    <d v="1997-05-09T00:00:00"/>
    <n v="2"/>
    <n v="66.69"/>
    <x v="3"/>
  </r>
  <r>
    <n v="10530"/>
    <x v="54"/>
    <x v="3"/>
    <x v="220"/>
    <d v="1997-06-05T00:00:00"/>
    <d v="1997-05-12T00:00:00"/>
    <n v="2"/>
    <n v="339.22"/>
    <x v="6"/>
  </r>
  <r>
    <n v="10531"/>
    <x v="69"/>
    <x v="8"/>
    <x v="220"/>
    <d v="1997-06-05T00:00:00"/>
    <d v="1997-05-19T00:00:00"/>
    <n v="1"/>
    <n v="8.1199999999999992"/>
    <x v="20"/>
  </r>
  <r>
    <n v="10532"/>
    <x v="58"/>
    <x v="8"/>
    <x v="221"/>
    <d v="1997-06-06T00:00:00"/>
    <d v="1997-05-12T00:00:00"/>
    <n v="3"/>
    <n v="74.459999999999994"/>
    <x v="13"/>
  </r>
  <r>
    <n v="10533"/>
    <x v="14"/>
    <x v="6"/>
    <x v="222"/>
    <d v="1997-06-09T00:00:00"/>
    <d v="1997-05-22T00:00:00"/>
    <n v="1"/>
    <n v="188.04"/>
    <x v="9"/>
  </r>
  <r>
    <n v="10534"/>
    <x v="26"/>
    <x v="6"/>
    <x v="222"/>
    <d v="1997-06-09T00:00:00"/>
    <d v="1997-05-14T00:00:00"/>
    <n v="2"/>
    <n v="27.94"/>
    <x v="1"/>
  </r>
  <r>
    <n v="10535"/>
    <x v="59"/>
    <x v="2"/>
    <x v="223"/>
    <d v="1997-06-10T00:00:00"/>
    <d v="1997-05-21T00:00:00"/>
    <n v="1"/>
    <n v="15.64"/>
    <x v="7"/>
  </r>
  <r>
    <n v="10536"/>
    <x v="26"/>
    <x v="3"/>
    <x v="224"/>
    <d v="1997-06-11T00:00:00"/>
    <d v="1997-06-06T00:00:00"/>
    <n v="2"/>
    <n v="58.88"/>
    <x v="1"/>
  </r>
  <r>
    <n v="10537"/>
    <x v="6"/>
    <x v="5"/>
    <x v="224"/>
    <d v="1997-05-28T00:00:00"/>
    <d v="1997-05-19T00:00:00"/>
    <n v="1"/>
    <n v="78.849999999999994"/>
    <x v="4"/>
  </r>
  <r>
    <n v="10538"/>
    <x v="31"/>
    <x v="4"/>
    <x v="225"/>
    <d v="1997-06-12T00:00:00"/>
    <d v="1997-05-16T00:00:00"/>
    <n v="3"/>
    <n v="4.87"/>
    <x v="13"/>
  </r>
  <r>
    <n v="10539"/>
    <x v="31"/>
    <x v="1"/>
    <x v="226"/>
    <d v="1997-06-13T00:00:00"/>
    <d v="1997-05-23T00:00:00"/>
    <n v="3"/>
    <n v="12.36"/>
    <x v="13"/>
  </r>
  <r>
    <n v="10540"/>
    <x v="21"/>
    <x v="3"/>
    <x v="227"/>
    <d v="1997-06-16T00:00:00"/>
    <d v="1997-06-13T00:00:00"/>
    <n v="3"/>
    <n v="1007.64"/>
    <x v="1"/>
  </r>
  <r>
    <n v="10541"/>
    <x v="2"/>
    <x v="7"/>
    <x v="227"/>
    <d v="1997-06-16T00:00:00"/>
    <d v="1997-05-29T00:00:00"/>
    <n v="1"/>
    <n v="68.650000000000006"/>
    <x v="2"/>
  </r>
  <r>
    <n v="10542"/>
    <x v="44"/>
    <x v="5"/>
    <x v="228"/>
    <d v="1997-06-17T00:00:00"/>
    <d v="1997-05-26T00:00:00"/>
    <n v="3"/>
    <n v="10.95"/>
    <x v="1"/>
  </r>
  <r>
    <n v="10543"/>
    <x v="28"/>
    <x v="6"/>
    <x v="229"/>
    <d v="1997-06-18T00:00:00"/>
    <d v="1997-05-23T00:00:00"/>
    <n v="2"/>
    <n v="48.17"/>
    <x v="5"/>
  </r>
  <r>
    <n v="10544"/>
    <x v="38"/>
    <x v="2"/>
    <x v="229"/>
    <d v="1997-06-18T00:00:00"/>
    <d v="1997-05-30T00:00:00"/>
    <n v="1"/>
    <n v="24.91"/>
    <x v="8"/>
  </r>
  <r>
    <n v="10545"/>
    <x v="74"/>
    <x v="6"/>
    <x v="230"/>
    <d v="1997-06-19T00:00:00"/>
    <d v="1997-06-26T00:00:00"/>
    <n v="2"/>
    <n v="11.92"/>
    <x v="8"/>
  </r>
  <r>
    <n v="10546"/>
    <x v="3"/>
    <x v="5"/>
    <x v="231"/>
    <d v="1997-06-20T00:00:00"/>
    <d v="1997-05-27T00:00:00"/>
    <n v="3"/>
    <n v="194.72"/>
    <x v="0"/>
  </r>
  <r>
    <n v="10547"/>
    <x v="56"/>
    <x v="3"/>
    <x v="231"/>
    <d v="1997-06-20T00:00:00"/>
    <d v="1997-06-02T00:00:00"/>
    <n v="2"/>
    <n v="178.43"/>
    <x v="13"/>
  </r>
  <r>
    <n v="10548"/>
    <x v="1"/>
    <x v="3"/>
    <x v="232"/>
    <d v="1997-06-23T00:00:00"/>
    <d v="1997-06-02T00:00:00"/>
    <n v="2"/>
    <n v="1.43"/>
    <x v="1"/>
  </r>
  <r>
    <n v="10549"/>
    <x v="21"/>
    <x v="0"/>
    <x v="233"/>
    <d v="1997-06-10T00:00:00"/>
    <d v="1997-05-30T00:00:00"/>
    <n v="1"/>
    <n v="171.24"/>
    <x v="1"/>
  </r>
  <r>
    <n v="10550"/>
    <x v="36"/>
    <x v="8"/>
    <x v="234"/>
    <d v="1997-06-25T00:00:00"/>
    <d v="1997-06-06T00:00:00"/>
    <n v="3"/>
    <n v="4.32"/>
    <x v="12"/>
  </r>
  <r>
    <n v="10551"/>
    <x v="47"/>
    <x v="2"/>
    <x v="234"/>
    <d v="1997-07-09T00:00:00"/>
    <d v="1997-06-06T00:00:00"/>
    <n v="3"/>
    <n v="72.95"/>
    <x v="15"/>
  </r>
  <r>
    <n v="10552"/>
    <x v="8"/>
    <x v="7"/>
    <x v="235"/>
    <d v="1997-06-26T00:00:00"/>
    <d v="1997-06-05T00:00:00"/>
    <n v="1"/>
    <n v="83.22"/>
    <x v="5"/>
  </r>
  <r>
    <n v="10553"/>
    <x v="16"/>
    <x v="7"/>
    <x v="236"/>
    <d v="1997-06-27T00:00:00"/>
    <d v="1997-06-03T00:00:00"/>
    <n v="2"/>
    <n v="149.49"/>
    <x v="10"/>
  </r>
  <r>
    <n v="10554"/>
    <x v="11"/>
    <x v="2"/>
    <x v="236"/>
    <d v="1997-06-27T00:00:00"/>
    <d v="1997-06-05T00:00:00"/>
    <n v="3"/>
    <n v="120.97"/>
    <x v="1"/>
  </r>
  <r>
    <n v="10555"/>
    <x v="45"/>
    <x v="1"/>
    <x v="237"/>
    <d v="1997-06-30T00:00:00"/>
    <d v="1997-06-04T00:00:00"/>
    <n v="3"/>
    <n v="252.49"/>
    <x v="8"/>
  </r>
  <r>
    <n v="10556"/>
    <x v="51"/>
    <x v="7"/>
    <x v="238"/>
    <d v="1997-07-15T00:00:00"/>
    <d v="1997-06-13T00:00:00"/>
    <n v="1"/>
    <n v="9.8000000000000007"/>
    <x v="17"/>
  </r>
  <r>
    <n v="10557"/>
    <x v="26"/>
    <x v="4"/>
    <x v="238"/>
    <d v="1997-06-17T00:00:00"/>
    <d v="1997-06-06T00:00:00"/>
    <n v="2"/>
    <n v="96.72"/>
    <x v="1"/>
  </r>
  <r>
    <n v="10558"/>
    <x v="55"/>
    <x v="5"/>
    <x v="239"/>
    <d v="1997-07-02T00:00:00"/>
    <d v="1997-06-10T00:00:00"/>
    <n v="2"/>
    <n v="72.97"/>
    <x v="13"/>
  </r>
  <r>
    <n v="10559"/>
    <x v="15"/>
    <x v="1"/>
    <x v="240"/>
    <d v="1997-07-03T00:00:00"/>
    <d v="1997-06-13T00:00:00"/>
    <n v="1"/>
    <n v="8.0500000000000007"/>
    <x v="0"/>
  </r>
  <r>
    <n v="10560"/>
    <x v="17"/>
    <x v="6"/>
    <x v="241"/>
    <d v="1997-07-04T00:00:00"/>
    <d v="1997-06-09T00:00:00"/>
    <n v="1"/>
    <n v="36.65"/>
    <x v="1"/>
  </r>
  <r>
    <n v="10561"/>
    <x v="14"/>
    <x v="7"/>
    <x v="241"/>
    <d v="1997-07-04T00:00:00"/>
    <d v="1997-06-09T00:00:00"/>
    <n v="2"/>
    <n v="242.21"/>
    <x v="9"/>
  </r>
  <r>
    <n v="10562"/>
    <x v="30"/>
    <x v="5"/>
    <x v="242"/>
    <d v="1997-07-07T00:00:00"/>
    <d v="1997-06-12T00:00:00"/>
    <n v="1"/>
    <n v="22.95"/>
    <x v="11"/>
  </r>
  <r>
    <n v="10563"/>
    <x v="29"/>
    <x v="7"/>
    <x v="243"/>
    <d v="1997-07-22T00:00:00"/>
    <d v="1997-06-24T00:00:00"/>
    <n v="2"/>
    <n v="60.43"/>
    <x v="2"/>
  </r>
  <r>
    <n v="10564"/>
    <x v="13"/>
    <x v="2"/>
    <x v="243"/>
    <d v="1997-07-08T00:00:00"/>
    <d v="1997-06-16T00:00:00"/>
    <n v="3"/>
    <n v="13.75"/>
    <x v="8"/>
  </r>
  <r>
    <n v="10565"/>
    <x v="49"/>
    <x v="6"/>
    <x v="244"/>
    <d v="1997-07-09T00:00:00"/>
    <d v="1997-06-18T00:00:00"/>
    <n v="2"/>
    <n v="7.15"/>
    <x v="16"/>
  </r>
  <r>
    <n v="10566"/>
    <x v="15"/>
    <x v="4"/>
    <x v="245"/>
    <d v="1997-07-10T00:00:00"/>
    <d v="1997-06-18T00:00:00"/>
    <n v="1"/>
    <n v="88.4"/>
    <x v="0"/>
  </r>
  <r>
    <n v="10567"/>
    <x v="34"/>
    <x v="5"/>
    <x v="245"/>
    <d v="1997-07-10T00:00:00"/>
    <d v="1997-06-17T00:00:00"/>
    <n v="1"/>
    <n v="33.97"/>
    <x v="14"/>
  </r>
  <r>
    <n v="10568"/>
    <x v="60"/>
    <x v="3"/>
    <x v="246"/>
    <d v="1997-07-11T00:00:00"/>
    <d v="1997-07-09T00:00:00"/>
    <n v="3"/>
    <n v="6.54"/>
    <x v="12"/>
  </r>
  <r>
    <n v="10569"/>
    <x v="13"/>
    <x v="0"/>
    <x v="247"/>
    <d v="1997-07-14T00:00:00"/>
    <d v="1997-07-11T00:00:00"/>
    <n v="1"/>
    <n v="58.98"/>
    <x v="8"/>
  </r>
  <r>
    <n v="10570"/>
    <x v="49"/>
    <x v="3"/>
    <x v="248"/>
    <d v="1997-07-15T00:00:00"/>
    <d v="1997-06-19T00:00:00"/>
    <n v="3"/>
    <n v="188.99"/>
    <x v="16"/>
  </r>
  <r>
    <n v="10571"/>
    <x v="9"/>
    <x v="6"/>
    <x v="248"/>
    <d v="1997-07-29T00:00:00"/>
    <d v="1997-07-04T00:00:00"/>
    <n v="3"/>
    <n v="26.06"/>
    <x v="6"/>
  </r>
  <r>
    <n v="10572"/>
    <x v="25"/>
    <x v="3"/>
    <x v="249"/>
    <d v="1997-07-16T00:00:00"/>
    <d v="1997-06-25T00:00:00"/>
    <n v="2"/>
    <n v="116.43"/>
    <x v="9"/>
  </r>
  <r>
    <n v="10573"/>
    <x v="59"/>
    <x v="8"/>
    <x v="250"/>
    <d v="1997-07-17T00:00:00"/>
    <d v="1997-06-20T00:00:00"/>
    <n v="3"/>
    <n v="84.84"/>
    <x v="7"/>
  </r>
  <r>
    <n v="10574"/>
    <x v="81"/>
    <x v="2"/>
    <x v="250"/>
    <d v="1997-07-17T00:00:00"/>
    <d v="1997-06-30T00:00:00"/>
    <n v="2"/>
    <n v="37.6"/>
    <x v="8"/>
  </r>
  <r>
    <n v="10575"/>
    <x v="24"/>
    <x v="0"/>
    <x v="251"/>
    <d v="1997-07-04T00:00:00"/>
    <d v="1997-06-30T00:00:00"/>
    <n v="1"/>
    <n v="127.34"/>
    <x v="1"/>
  </r>
  <r>
    <n v="10576"/>
    <x v="23"/>
    <x v="3"/>
    <x v="252"/>
    <d v="1997-07-07T00:00:00"/>
    <d v="1997-06-30T00:00:00"/>
    <n v="3"/>
    <n v="18.559999999999999"/>
    <x v="7"/>
  </r>
  <r>
    <n v="10577"/>
    <x v="81"/>
    <x v="4"/>
    <x v="252"/>
    <d v="1997-08-04T00:00:00"/>
    <d v="1997-06-30T00:00:00"/>
    <n v="2"/>
    <n v="25.41"/>
    <x v="8"/>
  </r>
  <r>
    <n v="10578"/>
    <x v="31"/>
    <x v="2"/>
    <x v="253"/>
    <d v="1997-07-22T00:00:00"/>
    <d v="1997-07-25T00:00:00"/>
    <n v="3"/>
    <n v="29.6"/>
    <x v="13"/>
  </r>
  <r>
    <n v="10579"/>
    <x v="82"/>
    <x v="5"/>
    <x v="254"/>
    <d v="1997-07-23T00:00:00"/>
    <d v="1997-07-04T00:00:00"/>
    <n v="2"/>
    <n v="13.73"/>
    <x v="8"/>
  </r>
  <r>
    <n v="10580"/>
    <x v="11"/>
    <x v="2"/>
    <x v="255"/>
    <d v="1997-07-24T00:00:00"/>
    <d v="1997-07-01T00:00:00"/>
    <n v="3"/>
    <n v="75.89"/>
    <x v="1"/>
  </r>
  <r>
    <n v="10581"/>
    <x v="52"/>
    <x v="3"/>
    <x v="255"/>
    <d v="1997-07-24T00:00:00"/>
    <d v="1997-07-02T00:00:00"/>
    <n v="1"/>
    <n v="3.01"/>
    <x v="2"/>
  </r>
  <r>
    <n v="10582"/>
    <x v="76"/>
    <x v="3"/>
    <x v="256"/>
    <d v="1997-07-25T00:00:00"/>
    <d v="1997-07-14T00:00:00"/>
    <n v="2"/>
    <n v="27.71"/>
    <x v="1"/>
  </r>
  <r>
    <n v="10583"/>
    <x v="16"/>
    <x v="7"/>
    <x v="257"/>
    <d v="1997-07-28T00:00:00"/>
    <d v="1997-07-04T00:00:00"/>
    <n v="2"/>
    <n v="7.28"/>
    <x v="10"/>
  </r>
  <r>
    <n v="10584"/>
    <x v="15"/>
    <x v="2"/>
    <x v="257"/>
    <d v="1997-07-28T00:00:00"/>
    <d v="1997-07-04T00:00:00"/>
    <n v="1"/>
    <n v="59.14"/>
    <x v="0"/>
  </r>
  <r>
    <n v="10585"/>
    <x v="7"/>
    <x v="8"/>
    <x v="258"/>
    <d v="1997-07-29T00:00:00"/>
    <d v="1997-07-10T00:00:00"/>
    <n v="1"/>
    <n v="13.41"/>
    <x v="2"/>
  </r>
  <r>
    <n v="10586"/>
    <x v="30"/>
    <x v="4"/>
    <x v="259"/>
    <d v="1997-07-30T00:00:00"/>
    <d v="1997-07-09T00:00:00"/>
    <n v="1"/>
    <n v="0.48"/>
    <x v="11"/>
  </r>
  <r>
    <n v="10587"/>
    <x v="12"/>
    <x v="5"/>
    <x v="259"/>
    <d v="1997-07-30T00:00:00"/>
    <d v="1997-07-09T00:00:00"/>
    <n v="1"/>
    <n v="62.52"/>
    <x v="2"/>
  </r>
  <r>
    <n v="10588"/>
    <x v="21"/>
    <x v="7"/>
    <x v="260"/>
    <d v="1997-07-31T00:00:00"/>
    <d v="1997-07-10T00:00:00"/>
    <n v="3"/>
    <n v="194.67"/>
    <x v="1"/>
  </r>
  <r>
    <n v="10589"/>
    <x v="79"/>
    <x v="6"/>
    <x v="261"/>
    <d v="1997-08-01T00:00:00"/>
    <d v="1997-07-14T00:00:00"/>
    <n v="2"/>
    <n v="4.42"/>
    <x v="8"/>
  </r>
  <r>
    <n v="10590"/>
    <x v="49"/>
    <x v="2"/>
    <x v="262"/>
    <d v="1997-08-04T00:00:00"/>
    <d v="1997-07-14T00:00:00"/>
    <n v="3"/>
    <n v="44.77"/>
    <x v="16"/>
  </r>
  <r>
    <n v="10591"/>
    <x v="61"/>
    <x v="5"/>
    <x v="262"/>
    <d v="1997-07-21T00:00:00"/>
    <d v="1997-07-16T00:00:00"/>
    <n v="1"/>
    <n v="55.92"/>
    <x v="17"/>
  </r>
  <r>
    <n v="10592"/>
    <x v="26"/>
    <x v="3"/>
    <x v="263"/>
    <d v="1997-08-05T00:00:00"/>
    <d v="1997-07-16T00:00:00"/>
    <n v="1"/>
    <n v="32.1"/>
    <x v="1"/>
  </r>
  <r>
    <n v="10593"/>
    <x v="26"/>
    <x v="8"/>
    <x v="264"/>
    <d v="1997-08-06T00:00:00"/>
    <d v="1997-08-13T00:00:00"/>
    <n v="2"/>
    <n v="174.2"/>
    <x v="1"/>
  </r>
  <r>
    <n v="10594"/>
    <x v="37"/>
    <x v="3"/>
    <x v="264"/>
    <d v="1997-08-06T00:00:00"/>
    <d v="1997-07-16T00:00:00"/>
    <n v="2"/>
    <n v="5.24"/>
    <x v="8"/>
  </r>
  <r>
    <n v="10595"/>
    <x v="9"/>
    <x v="7"/>
    <x v="265"/>
    <d v="1997-08-07T00:00:00"/>
    <d v="1997-07-14T00:00:00"/>
    <n v="1"/>
    <n v="96.78"/>
    <x v="6"/>
  </r>
  <r>
    <n v="10596"/>
    <x v="19"/>
    <x v="6"/>
    <x v="266"/>
    <d v="1997-08-08T00:00:00"/>
    <d v="1997-08-12T00:00:00"/>
    <n v="1"/>
    <n v="16.34"/>
    <x v="8"/>
  </r>
  <r>
    <n v="10597"/>
    <x v="54"/>
    <x v="8"/>
    <x v="266"/>
    <d v="1997-08-08T00:00:00"/>
    <d v="1997-07-18T00:00:00"/>
    <n v="3"/>
    <n v="35.119999999999997"/>
    <x v="6"/>
  </r>
  <r>
    <n v="10598"/>
    <x v="13"/>
    <x v="5"/>
    <x v="267"/>
    <d v="1997-08-11T00:00:00"/>
    <d v="1997-07-18T00:00:00"/>
    <n v="3"/>
    <n v="44.42"/>
    <x v="8"/>
  </r>
  <r>
    <n v="10599"/>
    <x v="31"/>
    <x v="1"/>
    <x v="268"/>
    <d v="1997-08-26T00:00:00"/>
    <d v="1997-07-21T00:00:00"/>
    <n v="3"/>
    <n v="29.98"/>
    <x v="13"/>
  </r>
  <r>
    <n v="10600"/>
    <x v="64"/>
    <x v="2"/>
    <x v="269"/>
    <d v="1997-08-13T00:00:00"/>
    <d v="1997-07-21T00:00:00"/>
    <n v="1"/>
    <n v="45.13"/>
    <x v="8"/>
  </r>
  <r>
    <n v="10601"/>
    <x v="8"/>
    <x v="8"/>
    <x v="269"/>
    <d v="1997-08-27T00:00:00"/>
    <d v="1997-07-22T00:00:00"/>
    <n v="1"/>
    <n v="58.3"/>
    <x v="5"/>
  </r>
  <r>
    <n v="10602"/>
    <x v="61"/>
    <x v="6"/>
    <x v="270"/>
    <d v="1997-08-14T00:00:00"/>
    <d v="1997-07-22T00:00:00"/>
    <n v="2"/>
    <n v="2.92"/>
    <x v="17"/>
  </r>
  <r>
    <n v="10603"/>
    <x v="45"/>
    <x v="6"/>
    <x v="271"/>
    <d v="1997-08-15T00:00:00"/>
    <d v="1997-08-08T00:00:00"/>
    <n v="2"/>
    <n v="48.77"/>
    <x v="8"/>
  </r>
  <r>
    <n v="10604"/>
    <x v="47"/>
    <x v="5"/>
    <x v="271"/>
    <d v="1997-08-15T00:00:00"/>
    <d v="1997-07-29T00:00:00"/>
    <n v="1"/>
    <n v="7.46"/>
    <x v="15"/>
  </r>
  <r>
    <n v="10605"/>
    <x v="49"/>
    <x v="5"/>
    <x v="272"/>
    <d v="1997-08-18T00:00:00"/>
    <d v="1997-07-29T00:00:00"/>
    <n v="2"/>
    <n v="379.13"/>
    <x v="16"/>
  </r>
  <r>
    <n v="10606"/>
    <x v="33"/>
    <x v="2"/>
    <x v="273"/>
    <d v="1997-08-19T00:00:00"/>
    <d v="1997-07-31T00:00:00"/>
    <n v="3"/>
    <n v="79.400000000000006"/>
    <x v="2"/>
  </r>
  <r>
    <n v="10607"/>
    <x v="45"/>
    <x v="0"/>
    <x v="273"/>
    <d v="1997-08-19T00:00:00"/>
    <d v="1997-07-25T00:00:00"/>
    <n v="1"/>
    <n v="200.24"/>
    <x v="8"/>
  </r>
  <r>
    <n v="10608"/>
    <x v="1"/>
    <x v="2"/>
    <x v="274"/>
    <d v="1997-08-20T00:00:00"/>
    <d v="1997-08-01T00:00:00"/>
    <n v="2"/>
    <n v="27.79"/>
    <x v="1"/>
  </r>
  <r>
    <n v="10609"/>
    <x v="41"/>
    <x v="8"/>
    <x v="275"/>
    <d v="1997-08-21T00:00:00"/>
    <d v="1997-07-30T00:00:00"/>
    <n v="2"/>
    <n v="1.85"/>
    <x v="0"/>
  </r>
  <r>
    <n v="10610"/>
    <x v="53"/>
    <x v="6"/>
    <x v="276"/>
    <d v="1997-08-22T00:00:00"/>
    <d v="1997-08-06T00:00:00"/>
    <n v="1"/>
    <n v="26.78"/>
    <x v="0"/>
  </r>
  <r>
    <n v="10611"/>
    <x v="63"/>
    <x v="1"/>
    <x v="276"/>
    <d v="1997-08-22T00:00:00"/>
    <d v="1997-08-01T00:00:00"/>
    <n v="2"/>
    <n v="80.650000000000006"/>
    <x v="18"/>
  </r>
  <r>
    <n v="10612"/>
    <x v="45"/>
    <x v="5"/>
    <x v="277"/>
    <d v="1997-08-25T00:00:00"/>
    <d v="1997-08-01T00:00:00"/>
    <n v="2"/>
    <n v="544.08000000000004"/>
    <x v="8"/>
  </r>
  <r>
    <n v="10613"/>
    <x v="8"/>
    <x v="2"/>
    <x v="278"/>
    <d v="1997-08-26T00:00:00"/>
    <d v="1997-08-01T00:00:00"/>
    <n v="2"/>
    <n v="8.11"/>
    <x v="5"/>
  </r>
  <r>
    <n v="10614"/>
    <x v="76"/>
    <x v="6"/>
    <x v="278"/>
    <d v="1997-08-26T00:00:00"/>
    <d v="1997-08-01T00:00:00"/>
    <n v="3"/>
    <n v="1.93"/>
    <x v="1"/>
  </r>
  <r>
    <n v="10615"/>
    <x v="83"/>
    <x v="7"/>
    <x v="279"/>
    <d v="1997-08-27T00:00:00"/>
    <d v="1997-08-06T00:00:00"/>
    <n v="3"/>
    <n v="0.75"/>
    <x v="10"/>
  </r>
  <r>
    <n v="10616"/>
    <x v="79"/>
    <x v="5"/>
    <x v="280"/>
    <d v="1997-08-28T00:00:00"/>
    <d v="1997-08-05T00:00:00"/>
    <n v="2"/>
    <n v="116.53"/>
    <x v="8"/>
  </r>
  <r>
    <n v="10617"/>
    <x v="79"/>
    <x v="2"/>
    <x v="280"/>
    <d v="1997-08-28T00:00:00"/>
    <d v="1997-08-04T00:00:00"/>
    <n v="2"/>
    <n v="18.53"/>
    <x v="8"/>
  </r>
  <r>
    <n v="10618"/>
    <x v="49"/>
    <x v="5"/>
    <x v="281"/>
    <d v="1997-09-12T00:00:00"/>
    <d v="1997-08-08T00:00:00"/>
    <n v="1"/>
    <n v="154.68"/>
    <x v="16"/>
  </r>
  <r>
    <n v="10619"/>
    <x v="49"/>
    <x v="3"/>
    <x v="282"/>
    <d v="1997-09-01T00:00:00"/>
    <d v="1997-08-07T00:00:00"/>
    <n v="3"/>
    <n v="91.05"/>
    <x v="16"/>
  </r>
  <r>
    <n v="10620"/>
    <x v="75"/>
    <x v="7"/>
    <x v="283"/>
    <d v="1997-09-02T00:00:00"/>
    <d v="1997-08-14T00:00:00"/>
    <n v="3"/>
    <n v="0.94"/>
    <x v="16"/>
  </r>
  <r>
    <n v="10621"/>
    <x v="42"/>
    <x v="2"/>
    <x v="283"/>
    <d v="1997-09-02T00:00:00"/>
    <d v="1997-08-11T00:00:00"/>
    <n v="2"/>
    <n v="23.73"/>
    <x v="13"/>
  </r>
  <r>
    <n v="10622"/>
    <x v="29"/>
    <x v="2"/>
    <x v="284"/>
    <d v="1997-09-03T00:00:00"/>
    <d v="1997-08-11T00:00:00"/>
    <n v="3"/>
    <n v="50.97"/>
    <x v="2"/>
  </r>
  <r>
    <n v="10623"/>
    <x v="17"/>
    <x v="6"/>
    <x v="285"/>
    <d v="1997-09-04T00:00:00"/>
    <d v="1997-08-12T00:00:00"/>
    <n v="2"/>
    <n v="97.18"/>
    <x v="1"/>
  </r>
  <r>
    <n v="10624"/>
    <x v="84"/>
    <x v="2"/>
    <x v="285"/>
    <d v="1997-09-04T00:00:00"/>
    <d v="1997-08-19T00:00:00"/>
    <n v="2"/>
    <n v="94.8"/>
    <x v="8"/>
  </r>
  <r>
    <n v="10625"/>
    <x v="39"/>
    <x v="3"/>
    <x v="286"/>
    <d v="1997-09-05T00:00:00"/>
    <d v="1997-08-14T00:00:00"/>
    <n v="1"/>
    <n v="43.9"/>
    <x v="7"/>
  </r>
  <r>
    <n v="10626"/>
    <x v="25"/>
    <x v="5"/>
    <x v="287"/>
    <d v="1997-09-08T00:00:00"/>
    <d v="1997-08-20T00:00:00"/>
    <n v="2"/>
    <n v="138.69"/>
    <x v="9"/>
  </r>
  <r>
    <n v="10627"/>
    <x v="45"/>
    <x v="6"/>
    <x v="287"/>
    <d v="1997-09-22T00:00:00"/>
    <d v="1997-08-21T00:00:00"/>
    <n v="3"/>
    <n v="107.46"/>
    <x v="8"/>
  </r>
  <r>
    <n v="10628"/>
    <x v="15"/>
    <x v="2"/>
    <x v="288"/>
    <d v="1997-09-09T00:00:00"/>
    <d v="1997-08-20T00:00:00"/>
    <n v="3"/>
    <n v="30.36"/>
    <x v="0"/>
  </r>
  <r>
    <n v="10629"/>
    <x v="36"/>
    <x v="2"/>
    <x v="288"/>
    <d v="1997-09-09T00:00:00"/>
    <d v="1997-08-20T00:00:00"/>
    <n v="3"/>
    <n v="85.46"/>
    <x v="12"/>
  </r>
  <r>
    <n v="10630"/>
    <x v="44"/>
    <x v="5"/>
    <x v="289"/>
    <d v="1997-09-10T00:00:00"/>
    <d v="1997-08-19T00:00:00"/>
    <n v="2"/>
    <n v="32.35"/>
    <x v="1"/>
  </r>
  <r>
    <n v="10631"/>
    <x v="53"/>
    <x v="6"/>
    <x v="290"/>
    <d v="1997-09-11T00:00:00"/>
    <d v="1997-08-15T00:00:00"/>
    <n v="1"/>
    <n v="0.87"/>
    <x v="0"/>
  </r>
  <r>
    <n v="10632"/>
    <x v="35"/>
    <x v="6"/>
    <x v="290"/>
    <d v="1997-09-11T00:00:00"/>
    <d v="1997-08-19T00:00:00"/>
    <n v="1"/>
    <n v="41.38"/>
    <x v="1"/>
  </r>
  <r>
    <n v="10633"/>
    <x v="9"/>
    <x v="8"/>
    <x v="291"/>
    <d v="1997-09-12T00:00:00"/>
    <d v="1997-08-18T00:00:00"/>
    <n v="3"/>
    <n v="477.9"/>
    <x v="6"/>
  </r>
  <r>
    <n v="10634"/>
    <x v="68"/>
    <x v="2"/>
    <x v="291"/>
    <d v="1997-09-12T00:00:00"/>
    <d v="1997-08-21T00:00:00"/>
    <n v="3"/>
    <n v="487.38"/>
    <x v="0"/>
  </r>
  <r>
    <n v="10635"/>
    <x v="22"/>
    <x v="6"/>
    <x v="292"/>
    <d v="1997-09-15T00:00:00"/>
    <d v="1997-08-21T00:00:00"/>
    <n v="3"/>
    <n v="47.46"/>
    <x v="11"/>
  </r>
  <r>
    <n v="10636"/>
    <x v="16"/>
    <x v="2"/>
    <x v="293"/>
    <d v="1997-09-16T00:00:00"/>
    <d v="1997-08-26T00:00:00"/>
    <n v="1"/>
    <n v="1.1499999999999999"/>
    <x v="10"/>
  </r>
  <r>
    <n v="10637"/>
    <x v="62"/>
    <x v="1"/>
    <x v="293"/>
    <d v="1997-09-16T00:00:00"/>
    <d v="1997-08-26T00:00:00"/>
    <n v="1"/>
    <n v="201.29"/>
    <x v="2"/>
  </r>
  <r>
    <n v="10638"/>
    <x v="67"/>
    <x v="3"/>
    <x v="294"/>
    <d v="1997-09-17T00:00:00"/>
    <d v="1997-09-01T00:00:00"/>
    <n v="1"/>
    <n v="158.44"/>
    <x v="5"/>
  </r>
  <r>
    <n v="10639"/>
    <x v="65"/>
    <x v="8"/>
    <x v="294"/>
    <d v="1997-09-17T00:00:00"/>
    <d v="1997-08-27T00:00:00"/>
    <n v="3"/>
    <n v="38.64"/>
    <x v="19"/>
  </r>
  <r>
    <n v="10640"/>
    <x v="35"/>
    <x v="2"/>
    <x v="295"/>
    <d v="1997-09-18T00:00:00"/>
    <d v="1997-08-28T00:00:00"/>
    <n v="1"/>
    <n v="23.55"/>
    <x v="1"/>
  </r>
  <r>
    <n v="10641"/>
    <x v="8"/>
    <x v="2"/>
    <x v="296"/>
    <d v="1997-09-19T00:00:00"/>
    <d v="1997-08-26T00:00:00"/>
    <n v="2"/>
    <n v="179.61"/>
    <x v="5"/>
  </r>
  <r>
    <n v="10642"/>
    <x v="51"/>
    <x v="8"/>
    <x v="296"/>
    <d v="1997-09-19T00:00:00"/>
    <d v="1997-09-05T00:00:00"/>
    <n v="3"/>
    <n v="41.89"/>
    <x v="17"/>
  </r>
  <r>
    <n v="10643"/>
    <x v="85"/>
    <x v="1"/>
    <x v="297"/>
    <d v="1997-09-22T00:00:00"/>
    <d v="1997-09-02T00:00:00"/>
    <n v="1"/>
    <n v="29.46"/>
    <x v="1"/>
  </r>
  <r>
    <n v="10644"/>
    <x v="7"/>
    <x v="3"/>
    <x v="297"/>
    <d v="1997-09-22T00:00:00"/>
    <d v="1997-09-01T00:00:00"/>
    <n v="2"/>
    <n v="0.14000000000000001"/>
    <x v="2"/>
  </r>
  <r>
    <n v="10645"/>
    <x v="2"/>
    <x v="2"/>
    <x v="298"/>
    <d v="1997-09-23T00:00:00"/>
    <d v="1997-09-02T00:00:00"/>
    <n v="1"/>
    <n v="12.41"/>
    <x v="2"/>
  </r>
  <r>
    <n v="10646"/>
    <x v="34"/>
    <x v="4"/>
    <x v="299"/>
    <d v="1997-10-08T00:00:00"/>
    <d v="1997-09-03T00:00:00"/>
    <n v="3"/>
    <n v="142.33000000000001"/>
    <x v="14"/>
  </r>
  <r>
    <n v="10647"/>
    <x v="12"/>
    <x v="2"/>
    <x v="299"/>
    <d v="1997-09-10T00:00:00"/>
    <d v="1997-09-03T00:00:00"/>
    <n v="2"/>
    <n v="45.54"/>
    <x v="2"/>
  </r>
  <r>
    <n v="10648"/>
    <x v="29"/>
    <x v="0"/>
    <x v="300"/>
    <d v="1997-10-09T00:00:00"/>
    <d v="1997-09-09T00:00:00"/>
    <n v="2"/>
    <n v="14.25"/>
    <x v="2"/>
  </r>
  <r>
    <n v="10649"/>
    <x v="80"/>
    <x v="0"/>
    <x v="300"/>
    <d v="1997-09-25T00:00:00"/>
    <d v="1997-08-29T00:00:00"/>
    <n v="3"/>
    <n v="6.2"/>
    <x v="3"/>
  </r>
  <r>
    <n v="10650"/>
    <x v="52"/>
    <x v="0"/>
    <x v="301"/>
    <d v="1997-09-26T00:00:00"/>
    <d v="1997-09-03T00:00:00"/>
    <n v="3"/>
    <n v="176.81"/>
    <x v="2"/>
  </r>
  <r>
    <n v="10651"/>
    <x v="35"/>
    <x v="6"/>
    <x v="302"/>
    <d v="1997-09-29T00:00:00"/>
    <d v="1997-09-11T00:00:00"/>
    <n v="2"/>
    <n v="20.6"/>
    <x v="1"/>
  </r>
  <r>
    <n v="10652"/>
    <x v="71"/>
    <x v="2"/>
    <x v="302"/>
    <d v="1997-09-29T00:00:00"/>
    <d v="1997-09-08T00:00:00"/>
    <n v="2"/>
    <n v="7.14"/>
    <x v="2"/>
  </r>
  <r>
    <n v="10653"/>
    <x v="17"/>
    <x v="5"/>
    <x v="303"/>
    <d v="1997-09-30T00:00:00"/>
    <d v="1997-09-19T00:00:00"/>
    <n v="1"/>
    <n v="93.25"/>
    <x v="1"/>
  </r>
  <r>
    <n v="10654"/>
    <x v="25"/>
    <x v="0"/>
    <x v="303"/>
    <d v="1997-09-30T00:00:00"/>
    <d v="1997-09-11T00:00:00"/>
    <n v="1"/>
    <n v="55.26"/>
    <x v="9"/>
  </r>
  <r>
    <n v="10655"/>
    <x v="30"/>
    <x v="5"/>
    <x v="304"/>
    <d v="1997-10-01T00:00:00"/>
    <d v="1997-09-11T00:00:00"/>
    <n v="2"/>
    <n v="4.41"/>
    <x v="11"/>
  </r>
  <r>
    <n v="10656"/>
    <x v="79"/>
    <x v="1"/>
    <x v="305"/>
    <d v="1997-10-02T00:00:00"/>
    <d v="1997-09-10T00:00:00"/>
    <n v="1"/>
    <n v="57.15"/>
    <x v="8"/>
  </r>
  <r>
    <n v="10657"/>
    <x v="45"/>
    <x v="7"/>
    <x v="305"/>
    <d v="1997-10-02T00:00:00"/>
    <d v="1997-09-15T00:00:00"/>
    <n v="2"/>
    <n v="352.69"/>
    <x v="8"/>
  </r>
  <r>
    <n v="10658"/>
    <x v="21"/>
    <x v="2"/>
    <x v="306"/>
    <d v="1997-10-03T00:00:00"/>
    <d v="1997-09-08T00:00:00"/>
    <n v="1"/>
    <n v="364.15"/>
    <x v="1"/>
  </r>
  <r>
    <n v="10659"/>
    <x v="62"/>
    <x v="8"/>
    <x v="306"/>
    <d v="1997-10-03T00:00:00"/>
    <d v="1997-09-10T00:00:00"/>
    <n v="2"/>
    <n v="105.81"/>
    <x v="2"/>
  </r>
  <r>
    <n v="10660"/>
    <x v="64"/>
    <x v="6"/>
    <x v="307"/>
    <d v="1997-10-06T00:00:00"/>
    <d v="1997-10-15T00:00:00"/>
    <n v="1"/>
    <n v="111.29"/>
    <x v="8"/>
  </r>
  <r>
    <n v="10661"/>
    <x v="34"/>
    <x v="8"/>
    <x v="308"/>
    <d v="1997-10-07T00:00:00"/>
    <d v="1997-09-15T00:00:00"/>
    <n v="3"/>
    <n v="17.55"/>
    <x v="14"/>
  </r>
  <r>
    <n v="10662"/>
    <x v="38"/>
    <x v="3"/>
    <x v="308"/>
    <d v="1997-10-07T00:00:00"/>
    <d v="1997-09-18T00:00:00"/>
    <n v="2"/>
    <n v="1.28"/>
    <x v="8"/>
  </r>
  <r>
    <n v="10663"/>
    <x v="48"/>
    <x v="7"/>
    <x v="309"/>
    <d v="1997-09-24T00:00:00"/>
    <d v="1997-10-03T00:00:00"/>
    <n v="2"/>
    <n v="113.15"/>
    <x v="0"/>
  </r>
  <r>
    <n v="10664"/>
    <x v="47"/>
    <x v="5"/>
    <x v="309"/>
    <d v="1997-10-08T00:00:00"/>
    <d v="1997-09-19T00:00:00"/>
    <n v="3"/>
    <n v="1.27"/>
    <x v="15"/>
  </r>
  <r>
    <n v="10665"/>
    <x v="38"/>
    <x v="5"/>
    <x v="310"/>
    <d v="1997-10-09T00:00:00"/>
    <d v="1997-09-17T00:00:00"/>
    <n v="2"/>
    <n v="26.31"/>
    <x v="8"/>
  </r>
  <r>
    <n v="10666"/>
    <x v="6"/>
    <x v="8"/>
    <x v="311"/>
    <d v="1997-10-10T00:00:00"/>
    <d v="1997-09-22T00:00:00"/>
    <n v="2"/>
    <n v="232.42"/>
    <x v="4"/>
  </r>
  <r>
    <n v="10667"/>
    <x v="9"/>
    <x v="8"/>
    <x v="311"/>
    <d v="1997-10-10T00:00:00"/>
    <d v="1997-09-19T00:00:00"/>
    <n v="1"/>
    <n v="78.09"/>
    <x v="6"/>
  </r>
  <r>
    <n v="10668"/>
    <x v="35"/>
    <x v="5"/>
    <x v="312"/>
    <d v="1997-10-13T00:00:00"/>
    <d v="1997-09-23T00:00:00"/>
    <n v="2"/>
    <n v="47.22"/>
    <x v="1"/>
  </r>
  <r>
    <n v="10669"/>
    <x v="51"/>
    <x v="7"/>
    <x v="312"/>
    <d v="1997-10-13T00:00:00"/>
    <d v="1997-09-22T00:00:00"/>
    <n v="1"/>
    <n v="24.39"/>
    <x v="17"/>
  </r>
  <r>
    <n v="10670"/>
    <x v="17"/>
    <x v="2"/>
    <x v="313"/>
    <d v="1997-10-14T00:00:00"/>
    <d v="1997-09-18T00:00:00"/>
    <n v="1"/>
    <n v="203.48"/>
    <x v="1"/>
  </r>
  <r>
    <n v="10671"/>
    <x v="86"/>
    <x v="5"/>
    <x v="314"/>
    <d v="1997-10-15T00:00:00"/>
    <d v="1997-09-24T00:00:00"/>
    <n v="1"/>
    <n v="30.34"/>
    <x v="0"/>
  </r>
  <r>
    <n v="10672"/>
    <x v="25"/>
    <x v="4"/>
    <x v="314"/>
    <d v="1997-10-01T00:00:00"/>
    <d v="1997-09-26T00:00:00"/>
    <n v="2"/>
    <n v="95.75"/>
    <x v="9"/>
  </r>
  <r>
    <n v="10673"/>
    <x v="83"/>
    <x v="7"/>
    <x v="315"/>
    <d v="1997-10-16T00:00:00"/>
    <d v="1997-09-19T00:00:00"/>
    <n v="1"/>
    <n v="22.76"/>
    <x v="10"/>
  </r>
  <r>
    <n v="10674"/>
    <x v="42"/>
    <x v="2"/>
    <x v="315"/>
    <d v="1997-10-16T00:00:00"/>
    <d v="1997-09-30T00:00:00"/>
    <n v="2"/>
    <n v="0.9"/>
    <x v="13"/>
  </r>
  <r>
    <n v="10675"/>
    <x v="17"/>
    <x v="0"/>
    <x v="316"/>
    <d v="1997-10-17T00:00:00"/>
    <d v="1997-09-23T00:00:00"/>
    <n v="2"/>
    <n v="31.85"/>
    <x v="1"/>
  </r>
  <r>
    <n v="10676"/>
    <x v="23"/>
    <x v="7"/>
    <x v="317"/>
    <d v="1997-10-20T00:00:00"/>
    <d v="1997-09-29T00:00:00"/>
    <n v="2"/>
    <n v="2.0099999999999998"/>
    <x v="7"/>
  </r>
  <r>
    <n v="10677"/>
    <x v="59"/>
    <x v="5"/>
    <x v="317"/>
    <d v="1997-10-20T00:00:00"/>
    <d v="1997-09-26T00:00:00"/>
    <n v="3"/>
    <n v="4.03"/>
    <x v="7"/>
  </r>
  <r>
    <n v="10678"/>
    <x v="45"/>
    <x v="8"/>
    <x v="318"/>
    <d v="1997-10-21T00:00:00"/>
    <d v="1997-10-16T00:00:00"/>
    <n v="3"/>
    <n v="388.98"/>
    <x v="8"/>
  </r>
  <r>
    <n v="10679"/>
    <x v="15"/>
    <x v="6"/>
    <x v="318"/>
    <d v="1997-10-21T00:00:00"/>
    <d v="1997-09-30T00:00:00"/>
    <n v="3"/>
    <n v="27.94"/>
    <x v="0"/>
  </r>
  <r>
    <n v="10680"/>
    <x v="37"/>
    <x v="5"/>
    <x v="319"/>
    <d v="1997-10-22T00:00:00"/>
    <d v="1997-09-26T00:00:00"/>
    <n v="1"/>
    <n v="26.61"/>
    <x v="8"/>
  </r>
  <r>
    <n v="10681"/>
    <x v="79"/>
    <x v="3"/>
    <x v="320"/>
    <d v="1997-10-23T00:00:00"/>
    <d v="1997-09-30T00:00:00"/>
    <n v="3"/>
    <n v="76.13"/>
    <x v="8"/>
  </r>
  <r>
    <n v="10682"/>
    <x v="59"/>
    <x v="3"/>
    <x v="320"/>
    <d v="1997-10-23T00:00:00"/>
    <d v="1997-10-01T00:00:00"/>
    <n v="2"/>
    <n v="36.130000000000003"/>
    <x v="7"/>
  </r>
  <r>
    <n v="10683"/>
    <x v="41"/>
    <x v="7"/>
    <x v="321"/>
    <d v="1997-10-24T00:00:00"/>
    <d v="1997-10-01T00:00:00"/>
    <n v="1"/>
    <n v="4.4000000000000004"/>
    <x v="0"/>
  </r>
  <r>
    <n v="10684"/>
    <x v="11"/>
    <x v="3"/>
    <x v="321"/>
    <d v="1997-10-24T00:00:00"/>
    <d v="1997-09-30T00:00:00"/>
    <n v="1"/>
    <n v="145.63"/>
    <x v="1"/>
  </r>
  <r>
    <n v="10685"/>
    <x v="71"/>
    <x v="2"/>
    <x v="322"/>
    <d v="1997-10-13T00:00:00"/>
    <d v="1997-10-03T00:00:00"/>
    <n v="2"/>
    <n v="33.75"/>
    <x v="2"/>
  </r>
  <r>
    <n v="10686"/>
    <x v="54"/>
    <x v="7"/>
    <x v="323"/>
    <d v="1997-10-28T00:00:00"/>
    <d v="1997-10-08T00:00:00"/>
    <n v="1"/>
    <n v="96.5"/>
    <x v="6"/>
  </r>
  <r>
    <n v="10687"/>
    <x v="34"/>
    <x v="4"/>
    <x v="323"/>
    <d v="1997-10-28T00:00:00"/>
    <d v="1997-10-30T00:00:00"/>
    <n v="2"/>
    <n v="296.43"/>
    <x v="14"/>
  </r>
  <r>
    <n v="10688"/>
    <x v="61"/>
    <x v="2"/>
    <x v="324"/>
    <d v="1997-10-15T00:00:00"/>
    <d v="1997-10-07T00:00:00"/>
    <n v="2"/>
    <n v="299.08999999999997"/>
    <x v="17"/>
  </r>
  <r>
    <n v="10689"/>
    <x v="25"/>
    <x v="5"/>
    <x v="324"/>
    <d v="1997-10-29T00:00:00"/>
    <d v="1997-10-07T00:00:00"/>
    <n v="2"/>
    <n v="13.42"/>
    <x v="9"/>
  </r>
  <r>
    <n v="10690"/>
    <x v="2"/>
    <x v="5"/>
    <x v="325"/>
    <d v="1997-10-30T00:00:00"/>
    <d v="1997-10-03T00:00:00"/>
    <n v="1"/>
    <n v="15.8"/>
    <x v="2"/>
  </r>
  <r>
    <n v="10691"/>
    <x v="21"/>
    <x v="7"/>
    <x v="326"/>
    <d v="1997-11-14T00:00:00"/>
    <d v="1997-10-22T00:00:00"/>
    <n v="2"/>
    <n v="810.05"/>
    <x v="1"/>
  </r>
  <r>
    <n v="10692"/>
    <x v="85"/>
    <x v="2"/>
    <x v="326"/>
    <d v="1997-10-31T00:00:00"/>
    <d v="1997-10-13T00:00:00"/>
    <n v="2"/>
    <n v="61.02"/>
    <x v="1"/>
  </r>
  <r>
    <n v="10693"/>
    <x v="19"/>
    <x v="3"/>
    <x v="327"/>
    <d v="1997-10-20T00:00:00"/>
    <d v="1997-10-10T00:00:00"/>
    <n v="3"/>
    <n v="139.34"/>
    <x v="8"/>
  </r>
  <r>
    <n v="10694"/>
    <x v="21"/>
    <x v="6"/>
    <x v="327"/>
    <d v="1997-11-03T00:00:00"/>
    <d v="1997-10-09T00:00:00"/>
    <n v="3"/>
    <n v="398.36"/>
    <x v="1"/>
  </r>
  <r>
    <n v="10695"/>
    <x v="83"/>
    <x v="8"/>
    <x v="328"/>
    <d v="1997-11-18T00:00:00"/>
    <d v="1997-10-14T00:00:00"/>
    <n v="1"/>
    <n v="16.72"/>
    <x v="10"/>
  </r>
  <r>
    <n v="10696"/>
    <x v="19"/>
    <x v="6"/>
    <x v="329"/>
    <d v="1997-11-19T00:00:00"/>
    <d v="1997-10-14T00:00:00"/>
    <n v="3"/>
    <n v="102.55"/>
    <x v="8"/>
  </r>
  <r>
    <n v="10697"/>
    <x v="67"/>
    <x v="3"/>
    <x v="329"/>
    <d v="1997-11-05T00:00:00"/>
    <d v="1997-10-14T00:00:00"/>
    <n v="1"/>
    <n v="45.52"/>
    <x v="5"/>
  </r>
  <r>
    <n v="10698"/>
    <x v="9"/>
    <x v="2"/>
    <x v="330"/>
    <d v="1997-11-06T00:00:00"/>
    <d v="1997-10-17T00:00:00"/>
    <n v="1"/>
    <n v="272.47000000000003"/>
    <x v="6"/>
  </r>
  <r>
    <n v="10699"/>
    <x v="24"/>
    <x v="3"/>
    <x v="330"/>
    <d v="1997-11-06T00:00:00"/>
    <d v="1997-10-13T00:00:00"/>
    <n v="3"/>
    <n v="0.57999999999999996"/>
    <x v="1"/>
  </r>
  <r>
    <n v="10700"/>
    <x v="45"/>
    <x v="3"/>
    <x v="331"/>
    <d v="1997-11-07T00:00:00"/>
    <d v="1997-10-16T00:00:00"/>
    <n v="1"/>
    <n v="65.099999999999994"/>
    <x v="8"/>
  </r>
  <r>
    <n v="10701"/>
    <x v="34"/>
    <x v="1"/>
    <x v="332"/>
    <d v="1997-10-27T00:00:00"/>
    <d v="1997-10-15T00:00:00"/>
    <n v="3"/>
    <n v="220.31"/>
    <x v="14"/>
  </r>
  <r>
    <n v="10702"/>
    <x v="85"/>
    <x v="2"/>
    <x v="332"/>
    <d v="1997-11-24T00:00:00"/>
    <d v="1997-10-21T00:00:00"/>
    <n v="1"/>
    <n v="23.94"/>
    <x v="1"/>
  </r>
  <r>
    <n v="10703"/>
    <x v="14"/>
    <x v="1"/>
    <x v="333"/>
    <d v="1997-11-11T00:00:00"/>
    <d v="1997-10-20T00:00:00"/>
    <n v="2"/>
    <n v="152.30000000000001"/>
    <x v="9"/>
  </r>
  <r>
    <n v="10704"/>
    <x v="62"/>
    <x v="1"/>
    <x v="333"/>
    <d v="1997-11-11T00:00:00"/>
    <d v="1997-11-07T00:00:00"/>
    <n v="1"/>
    <n v="4.78"/>
    <x v="2"/>
  </r>
  <r>
    <n v="10705"/>
    <x v="8"/>
    <x v="4"/>
    <x v="334"/>
    <d v="1997-11-12T00:00:00"/>
    <d v="1997-11-18T00:00:00"/>
    <n v="2"/>
    <n v="3.52"/>
    <x v="5"/>
  </r>
  <r>
    <n v="10706"/>
    <x v="37"/>
    <x v="6"/>
    <x v="335"/>
    <d v="1997-11-13T00:00:00"/>
    <d v="1997-10-21T00:00:00"/>
    <n v="3"/>
    <n v="135.63"/>
    <x v="8"/>
  </r>
  <r>
    <n v="10707"/>
    <x v="55"/>
    <x v="2"/>
    <x v="335"/>
    <d v="1997-10-30T00:00:00"/>
    <d v="1997-10-23T00:00:00"/>
    <n v="3"/>
    <n v="21.74"/>
    <x v="13"/>
  </r>
  <r>
    <n v="10708"/>
    <x v="40"/>
    <x v="1"/>
    <x v="336"/>
    <d v="1997-11-28T00:00:00"/>
    <d v="1997-11-05T00:00:00"/>
    <n v="2"/>
    <n v="2.96"/>
    <x v="8"/>
  </r>
  <r>
    <n v="10709"/>
    <x v="71"/>
    <x v="5"/>
    <x v="336"/>
    <d v="1997-11-14T00:00:00"/>
    <d v="1997-11-20T00:00:00"/>
    <n v="3"/>
    <n v="210.8"/>
    <x v="2"/>
  </r>
  <r>
    <n v="10710"/>
    <x v="70"/>
    <x v="5"/>
    <x v="337"/>
    <d v="1997-11-17T00:00:00"/>
    <d v="1997-10-23T00:00:00"/>
    <n v="1"/>
    <n v="4.9800000000000004"/>
    <x v="11"/>
  </r>
  <r>
    <n v="10711"/>
    <x v="45"/>
    <x v="0"/>
    <x v="338"/>
    <d v="1997-12-02T00:00:00"/>
    <d v="1997-10-29T00:00:00"/>
    <n v="2"/>
    <n v="52.41"/>
    <x v="8"/>
  </r>
  <r>
    <n v="10712"/>
    <x v="34"/>
    <x v="3"/>
    <x v="338"/>
    <d v="1997-11-18T00:00:00"/>
    <d v="1997-10-31T00:00:00"/>
    <n v="1"/>
    <n v="89.93"/>
    <x v="14"/>
  </r>
  <r>
    <n v="10713"/>
    <x v="45"/>
    <x v="5"/>
    <x v="339"/>
    <d v="1997-11-19T00:00:00"/>
    <d v="1997-10-24T00:00:00"/>
    <n v="1"/>
    <n v="167.05"/>
    <x v="8"/>
  </r>
  <r>
    <n v="10714"/>
    <x v="45"/>
    <x v="0"/>
    <x v="339"/>
    <d v="1997-11-19T00:00:00"/>
    <d v="1997-10-27T00:00:00"/>
    <n v="3"/>
    <n v="24.49"/>
    <x v="8"/>
  </r>
  <r>
    <n v="10715"/>
    <x v="48"/>
    <x v="3"/>
    <x v="340"/>
    <d v="1997-11-06T00:00:00"/>
    <d v="1997-10-29T00:00:00"/>
    <n v="1"/>
    <n v="63.2"/>
    <x v="0"/>
  </r>
  <r>
    <n v="10716"/>
    <x v="73"/>
    <x v="2"/>
    <x v="341"/>
    <d v="1997-11-21T00:00:00"/>
    <d v="1997-10-27T00:00:00"/>
    <n v="2"/>
    <n v="22.57"/>
    <x v="20"/>
  </r>
  <r>
    <n v="10717"/>
    <x v="17"/>
    <x v="5"/>
    <x v="341"/>
    <d v="1997-11-21T00:00:00"/>
    <d v="1997-10-29T00:00:00"/>
    <n v="2"/>
    <n v="59.25"/>
    <x v="1"/>
  </r>
  <r>
    <n v="10718"/>
    <x v="44"/>
    <x v="5"/>
    <x v="342"/>
    <d v="1997-11-24T00:00:00"/>
    <d v="1997-10-29T00:00:00"/>
    <n v="3"/>
    <n v="170.88"/>
    <x v="1"/>
  </r>
  <r>
    <n v="10719"/>
    <x v="82"/>
    <x v="6"/>
    <x v="342"/>
    <d v="1997-11-24T00:00:00"/>
    <d v="1997-11-05T00:00:00"/>
    <n v="2"/>
    <n v="51.44"/>
    <x v="8"/>
  </r>
  <r>
    <n v="10720"/>
    <x v="12"/>
    <x v="6"/>
    <x v="343"/>
    <d v="1997-11-11T00:00:00"/>
    <d v="1997-11-05T00:00:00"/>
    <n v="2"/>
    <n v="9.5299999999999994"/>
    <x v="2"/>
  </r>
  <r>
    <n v="10721"/>
    <x v="21"/>
    <x v="0"/>
    <x v="344"/>
    <d v="1997-11-26T00:00:00"/>
    <d v="1997-10-31T00:00:00"/>
    <n v="3"/>
    <n v="48.92"/>
    <x v="1"/>
  </r>
  <r>
    <n v="10722"/>
    <x v="45"/>
    <x v="6"/>
    <x v="344"/>
    <d v="1997-12-10T00:00:00"/>
    <d v="1997-11-04T00:00:00"/>
    <n v="1"/>
    <n v="74.58"/>
    <x v="8"/>
  </r>
  <r>
    <n v="10723"/>
    <x v="19"/>
    <x v="3"/>
    <x v="345"/>
    <d v="1997-11-27T00:00:00"/>
    <d v="1997-11-25T00:00:00"/>
    <n v="1"/>
    <n v="21.72"/>
    <x v="8"/>
  </r>
  <r>
    <n v="10724"/>
    <x v="49"/>
    <x v="6"/>
    <x v="345"/>
    <d v="1997-12-11T00:00:00"/>
    <d v="1997-11-05T00:00:00"/>
    <n v="2"/>
    <n v="57.75"/>
    <x v="16"/>
  </r>
  <r>
    <n v="10725"/>
    <x v="52"/>
    <x v="2"/>
    <x v="346"/>
    <d v="1997-11-28T00:00:00"/>
    <d v="1997-11-05T00:00:00"/>
    <n v="3"/>
    <n v="10.83"/>
    <x v="2"/>
  </r>
  <r>
    <n v="10726"/>
    <x v="58"/>
    <x v="2"/>
    <x v="347"/>
    <d v="1997-11-17T00:00:00"/>
    <d v="1997-12-05T00:00:00"/>
    <n v="1"/>
    <n v="16.559999999999999"/>
    <x v="13"/>
  </r>
  <r>
    <n v="10727"/>
    <x v="30"/>
    <x v="7"/>
    <x v="347"/>
    <d v="1997-12-01T00:00:00"/>
    <d v="1997-12-05T00:00:00"/>
    <n v="1"/>
    <n v="89.9"/>
    <x v="11"/>
  </r>
  <r>
    <n v="10728"/>
    <x v="62"/>
    <x v="2"/>
    <x v="348"/>
    <d v="1997-12-02T00:00:00"/>
    <d v="1997-11-11T00:00:00"/>
    <n v="2"/>
    <n v="58.33"/>
    <x v="2"/>
  </r>
  <r>
    <n v="10729"/>
    <x v="67"/>
    <x v="6"/>
    <x v="348"/>
    <d v="1997-12-16T00:00:00"/>
    <d v="1997-11-14T00:00:00"/>
    <n v="3"/>
    <n v="141.06"/>
    <x v="5"/>
  </r>
  <r>
    <n v="10730"/>
    <x v="48"/>
    <x v="0"/>
    <x v="349"/>
    <d v="1997-12-03T00:00:00"/>
    <d v="1997-11-14T00:00:00"/>
    <n v="1"/>
    <n v="20.12"/>
    <x v="0"/>
  </r>
  <r>
    <n v="10731"/>
    <x v="5"/>
    <x v="8"/>
    <x v="350"/>
    <d v="1997-12-04T00:00:00"/>
    <d v="1997-11-14T00:00:00"/>
    <n v="1"/>
    <n v="96.65"/>
    <x v="4"/>
  </r>
  <r>
    <n v="10732"/>
    <x v="48"/>
    <x v="3"/>
    <x v="350"/>
    <d v="1997-12-04T00:00:00"/>
    <d v="1997-11-07T00:00:00"/>
    <n v="1"/>
    <n v="16.97"/>
    <x v="0"/>
  </r>
  <r>
    <n v="10733"/>
    <x v="25"/>
    <x v="5"/>
    <x v="351"/>
    <d v="1997-12-05T00:00:00"/>
    <d v="1997-11-10T00:00:00"/>
    <n v="3"/>
    <n v="110.11"/>
    <x v="9"/>
  </r>
  <r>
    <n v="10734"/>
    <x v="71"/>
    <x v="7"/>
    <x v="351"/>
    <d v="1997-12-05T00:00:00"/>
    <d v="1997-11-12T00:00:00"/>
    <n v="3"/>
    <n v="1.63"/>
    <x v="2"/>
  </r>
  <r>
    <n v="10735"/>
    <x v="82"/>
    <x v="1"/>
    <x v="352"/>
    <d v="1997-12-08T00:00:00"/>
    <d v="1997-11-21T00:00:00"/>
    <n v="2"/>
    <n v="45.97"/>
    <x v="8"/>
  </r>
  <r>
    <n v="10736"/>
    <x v="34"/>
    <x v="4"/>
    <x v="353"/>
    <d v="1997-12-09T00:00:00"/>
    <d v="1997-11-21T00:00:00"/>
    <n v="2"/>
    <n v="44.1"/>
    <x v="14"/>
  </r>
  <r>
    <n v="10737"/>
    <x v="0"/>
    <x v="7"/>
    <x v="353"/>
    <d v="1997-12-09T00:00:00"/>
    <d v="1997-11-18T00:00:00"/>
    <n v="2"/>
    <n v="7.79"/>
    <x v="0"/>
  </r>
  <r>
    <n v="10738"/>
    <x v="87"/>
    <x v="7"/>
    <x v="354"/>
    <d v="1997-12-10T00:00:00"/>
    <d v="1997-11-18T00:00:00"/>
    <n v="1"/>
    <n v="2.91"/>
    <x v="0"/>
  </r>
  <r>
    <n v="10739"/>
    <x v="0"/>
    <x v="3"/>
    <x v="354"/>
    <d v="1997-12-10T00:00:00"/>
    <d v="1997-11-17T00:00:00"/>
    <n v="3"/>
    <n v="11.08"/>
    <x v="0"/>
  </r>
  <r>
    <n v="10740"/>
    <x v="19"/>
    <x v="2"/>
    <x v="355"/>
    <d v="1997-12-11T00:00:00"/>
    <d v="1997-11-25T00:00:00"/>
    <n v="2"/>
    <n v="81.88"/>
    <x v="8"/>
  </r>
  <r>
    <n v="10741"/>
    <x v="55"/>
    <x v="2"/>
    <x v="356"/>
    <d v="1997-11-28T00:00:00"/>
    <d v="1997-11-18T00:00:00"/>
    <n v="3"/>
    <n v="10.96"/>
    <x v="13"/>
  </r>
  <r>
    <n v="10742"/>
    <x v="66"/>
    <x v="3"/>
    <x v="356"/>
    <d v="1997-12-12T00:00:00"/>
    <d v="1997-11-18T00:00:00"/>
    <n v="3"/>
    <n v="243.73"/>
    <x v="16"/>
  </r>
  <r>
    <n v="10743"/>
    <x v="55"/>
    <x v="5"/>
    <x v="357"/>
    <d v="1997-12-15T00:00:00"/>
    <d v="1997-11-21T00:00:00"/>
    <n v="2"/>
    <n v="23.72"/>
    <x v="13"/>
  </r>
  <r>
    <n v="10744"/>
    <x v="61"/>
    <x v="1"/>
    <x v="357"/>
    <d v="1997-12-15T00:00:00"/>
    <d v="1997-11-24T00:00:00"/>
    <n v="1"/>
    <n v="69.19"/>
    <x v="17"/>
  </r>
  <r>
    <n v="10745"/>
    <x v="21"/>
    <x v="4"/>
    <x v="358"/>
    <d v="1997-12-16T00:00:00"/>
    <d v="1997-11-27T00:00:00"/>
    <n v="1"/>
    <n v="3.52"/>
    <x v="1"/>
  </r>
  <r>
    <n v="10746"/>
    <x v="5"/>
    <x v="5"/>
    <x v="359"/>
    <d v="1997-12-17T00:00:00"/>
    <d v="1997-11-21T00:00:00"/>
    <n v="3"/>
    <n v="31.43"/>
    <x v="4"/>
  </r>
  <r>
    <n v="10747"/>
    <x v="54"/>
    <x v="1"/>
    <x v="359"/>
    <d v="1997-12-17T00:00:00"/>
    <d v="1997-11-26T00:00:00"/>
    <n v="1"/>
    <n v="117.33"/>
    <x v="6"/>
  </r>
  <r>
    <n v="10748"/>
    <x v="45"/>
    <x v="3"/>
    <x v="360"/>
    <d v="1997-12-18T00:00:00"/>
    <d v="1997-11-28T00:00:00"/>
    <n v="1"/>
    <n v="232.55"/>
    <x v="8"/>
  </r>
  <r>
    <n v="10749"/>
    <x v="42"/>
    <x v="2"/>
    <x v="360"/>
    <d v="1997-12-18T00:00:00"/>
    <d v="1997-12-19T00:00:00"/>
    <n v="2"/>
    <n v="61.53"/>
    <x v="13"/>
  </r>
  <r>
    <n v="10750"/>
    <x v="16"/>
    <x v="4"/>
    <x v="361"/>
    <d v="1997-12-19T00:00:00"/>
    <d v="1997-11-24T00:00:00"/>
    <n v="1"/>
    <n v="79.3"/>
    <x v="10"/>
  </r>
  <r>
    <n v="10751"/>
    <x v="6"/>
    <x v="3"/>
    <x v="362"/>
    <d v="1997-12-22T00:00:00"/>
    <d v="1997-12-03T00:00:00"/>
    <n v="3"/>
    <n v="130.79"/>
    <x v="4"/>
  </r>
  <r>
    <n v="10752"/>
    <x v="77"/>
    <x v="7"/>
    <x v="362"/>
    <d v="1997-12-22T00:00:00"/>
    <d v="1997-11-28T00:00:00"/>
    <n v="3"/>
    <n v="1.39"/>
    <x v="13"/>
  </r>
  <r>
    <n v="10753"/>
    <x v="70"/>
    <x v="3"/>
    <x v="363"/>
    <d v="1997-12-23T00:00:00"/>
    <d v="1997-11-27T00:00:00"/>
    <n v="1"/>
    <n v="7.7"/>
    <x v="11"/>
  </r>
  <r>
    <n v="10754"/>
    <x v="22"/>
    <x v="1"/>
    <x v="363"/>
    <d v="1997-12-23T00:00:00"/>
    <d v="1997-11-27T00:00:00"/>
    <n v="3"/>
    <n v="2.38"/>
    <x v="11"/>
  </r>
  <r>
    <n v="10755"/>
    <x v="48"/>
    <x v="2"/>
    <x v="364"/>
    <d v="1997-12-24T00:00:00"/>
    <d v="1997-11-28T00:00:00"/>
    <n v="2"/>
    <n v="16.71"/>
    <x v="0"/>
  </r>
  <r>
    <n v="10756"/>
    <x v="20"/>
    <x v="6"/>
    <x v="365"/>
    <d v="1997-12-25T00:00:00"/>
    <d v="1997-12-02T00:00:00"/>
    <n v="2"/>
    <n v="73.209999999999994"/>
    <x v="8"/>
  </r>
  <r>
    <n v="10757"/>
    <x v="45"/>
    <x v="1"/>
    <x v="365"/>
    <d v="1997-12-25T00:00:00"/>
    <d v="1997-12-15T00:00:00"/>
    <n v="1"/>
    <n v="8.19"/>
    <x v="8"/>
  </r>
  <r>
    <n v="10758"/>
    <x v="6"/>
    <x v="3"/>
    <x v="366"/>
    <d v="1997-12-26T00:00:00"/>
    <d v="1997-12-04T00:00:00"/>
    <n v="3"/>
    <n v="138.16999999999999"/>
    <x v="4"/>
  </r>
  <r>
    <n v="10759"/>
    <x v="39"/>
    <x v="3"/>
    <x v="366"/>
    <d v="1997-12-26T00:00:00"/>
    <d v="1997-12-12T00:00:00"/>
    <n v="3"/>
    <n v="11.99"/>
    <x v="7"/>
  </r>
  <r>
    <n v="10760"/>
    <x v="80"/>
    <x v="2"/>
    <x v="367"/>
    <d v="1997-12-29T00:00:00"/>
    <d v="1997-12-10T00:00:00"/>
    <n v="1"/>
    <n v="155.63999999999999"/>
    <x v="3"/>
  </r>
  <r>
    <n v="10761"/>
    <x v="13"/>
    <x v="0"/>
    <x v="368"/>
    <d v="1997-12-30T00:00:00"/>
    <d v="1997-12-08T00:00:00"/>
    <n v="2"/>
    <n v="18.66"/>
    <x v="8"/>
  </r>
  <r>
    <n v="10762"/>
    <x v="14"/>
    <x v="3"/>
    <x v="368"/>
    <d v="1997-12-30T00:00:00"/>
    <d v="1997-12-09T00:00:00"/>
    <n v="1"/>
    <n v="328.74"/>
    <x v="9"/>
  </r>
  <r>
    <n v="10763"/>
    <x v="68"/>
    <x v="3"/>
    <x v="369"/>
    <d v="1997-12-31T00:00:00"/>
    <d v="1997-12-08T00:00:00"/>
    <n v="3"/>
    <n v="37.35"/>
    <x v="0"/>
  </r>
  <r>
    <n v="10764"/>
    <x v="9"/>
    <x v="1"/>
    <x v="369"/>
    <d v="1997-12-31T00:00:00"/>
    <d v="1997-12-08T00:00:00"/>
    <n v="3"/>
    <n v="145.44999999999999"/>
    <x v="6"/>
  </r>
  <r>
    <n v="10765"/>
    <x v="21"/>
    <x v="3"/>
    <x v="370"/>
    <d v="1998-01-01T00:00:00"/>
    <d v="1997-12-09T00:00:00"/>
    <n v="3"/>
    <n v="42.74"/>
    <x v="1"/>
  </r>
  <r>
    <n v="10766"/>
    <x v="11"/>
    <x v="2"/>
    <x v="371"/>
    <d v="1998-01-02T00:00:00"/>
    <d v="1997-12-09T00:00:00"/>
    <n v="1"/>
    <n v="157.55000000000001"/>
    <x v="1"/>
  </r>
  <r>
    <n v="10767"/>
    <x v="4"/>
    <x v="2"/>
    <x v="371"/>
    <d v="1998-01-02T00:00:00"/>
    <d v="1997-12-15T00:00:00"/>
    <n v="3"/>
    <n v="1.59"/>
    <x v="3"/>
  </r>
  <r>
    <n v="10768"/>
    <x v="55"/>
    <x v="3"/>
    <x v="372"/>
    <d v="1998-01-05T00:00:00"/>
    <d v="1997-12-15T00:00:00"/>
    <n v="2"/>
    <n v="146.32"/>
    <x v="13"/>
  </r>
  <r>
    <n v="10769"/>
    <x v="61"/>
    <x v="3"/>
    <x v="372"/>
    <d v="1998-01-05T00:00:00"/>
    <d v="1997-12-12T00:00:00"/>
    <n v="1"/>
    <n v="65.06"/>
    <x v="17"/>
  </r>
  <r>
    <n v="10770"/>
    <x v="2"/>
    <x v="6"/>
    <x v="373"/>
    <d v="1998-01-06T00:00:00"/>
    <d v="1997-12-17T00:00:00"/>
    <n v="3"/>
    <n v="5.32"/>
    <x v="2"/>
  </r>
  <r>
    <n v="10771"/>
    <x v="9"/>
    <x v="4"/>
    <x v="374"/>
    <d v="1998-01-07T00:00:00"/>
    <d v="1998-01-02T00:00:00"/>
    <n v="2"/>
    <n v="11.19"/>
    <x v="6"/>
  </r>
  <r>
    <n v="10772"/>
    <x v="26"/>
    <x v="3"/>
    <x v="374"/>
    <d v="1998-01-07T00:00:00"/>
    <d v="1997-12-19T00:00:00"/>
    <n v="2"/>
    <n v="91.28"/>
    <x v="1"/>
  </r>
  <r>
    <n v="10773"/>
    <x v="9"/>
    <x v="5"/>
    <x v="375"/>
    <d v="1998-01-08T00:00:00"/>
    <d v="1997-12-16T00:00:00"/>
    <n v="3"/>
    <n v="96.43"/>
    <x v="6"/>
  </r>
  <r>
    <n v="10774"/>
    <x v="14"/>
    <x v="2"/>
    <x v="375"/>
    <d v="1997-12-25T00:00:00"/>
    <d v="1997-12-12T00:00:00"/>
    <n v="1"/>
    <n v="48.2"/>
    <x v="9"/>
  </r>
  <r>
    <n v="10775"/>
    <x v="84"/>
    <x v="8"/>
    <x v="376"/>
    <d v="1998-01-09T00:00:00"/>
    <d v="1997-12-26T00:00:00"/>
    <n v="1"/>
    <n v="20.25"/>
    <x v="8"/>
  </r>
  <r>
    <n v="10776"/>
    <x v="9"/>
    <x v="5"/>
    <x v="377"/>
    <d v="1998-01-12T00:00:00"/>
    <d v="1997-12-18T00:00:00"/>
    <n v="3"/>
    <n v="351.53"/>
    <x v="6"/>
  </r>
  <r>
    <n v="10777"/>
    <x v="71"/>
    <x v="8"/>
    <x v="377"/>
    <d v="1997-12-29T00:00:00"/>
    <d v="1998-01-21T00:00:00"/>
    <n v="2"/>
    <n v="3.01"/>
    <x v="2"/>
  </r>
  <r>
    <n v="10778"/>
    <x v="25"/>
    <x v="3"/>
    <x v="378"/>
    <d v="1998-01-13T00:00:00"/>
    <d v="1997-12-24T00:00:00"/>
    <n v="1"/>
    <n v="6.79"/>
    <x v="9"/>
  </r>
  <r>
    <n v="10779"/>
    <x v="24"/>
    <x v="3"/>
    <x v="378"/>
    <d v="1998-01-13T00:00:00"/>
    <d v="1998-01-14T00:00:00"/>
    <n v="2"/>
    <n v="58.13"/>
    <x v="1"/>
  </r>
  <r>
    <n v="10780"/>
    <x v="28"/>
    <x v="7"/>
    <x v="378"/>
    <d v="1997-12-30T00:00:00"/>
    <d v="1997-12-25T00:00:00"/>
    <n v="1"/>
    <n v="42.13"/>
    <x v="5"/>
  </r>
  <r>
    <n v="10781"/>
    <x v="16"/>
    <x v="7"/>
    <x v="379"/>
    <d v="1998-01-14T00:00:00"/>
    <d v="1997-12-19T00:00:00"/>
    <n v="3"/>
    <n v="73.16"/>
    <x v="10"/>
  </r>
  <r>
    <n v="10782"/>
    <x v="78"/>
    <x v="4"/>
    <x v="379"/>
    <d v="1998-01-14T00:00:00"/>
    <d v="1997-12-22T00:00:00"/>
    <n v="3"/>
    <n v="1.1000000000000001"/>
    <x v="20"/>
  </r>
  <r>
    <n v="10783"/>
    <x v="2"/>
    <x v="2"/>
    <x v="380"/>
    <d v="1998-01-15T00:00:00"/>
    <d v="1997-12-19T00:00:00"/>
    <n v="2"/>
    <n v="124.98"/>
    <x v="2"/>
  </r>
  <r>
    <n v="10784"/>
    <x v="22"/>
    <x v="2"/>
    <x v="380"/>
    <d v="1998-01-15T00:00:00"/>
    <d v="1997-12-22T00:00:00"/>
    <n v="3"/>
    <n v="70.09"/>
    <x v="11"/>
  </r>
  <r>
    <n v="10785"/>
    <x v="18"/>
    <x v="5"/>
    <x v="380"/>
    <d v="1998-01-15T00:00:00"/>
    <d v="1997-12-24T00:00:00"/>
    <n v="3"/>
    <n v="1.51"/>
    <x v="5"/>
  </r>
  <r>
    <n v="10786"/>
    <x v="62"/>
    <x v="6"/>
    <x v="381"/>
    <d v="1998-01-16T00:00:00"/>
    <d v="1997-12-23T00:00:00"/>
    <n v="1"/>
    <n v="110.87"/>
    <x v="2"/>
  </r>
  <r>
    <n v="10787"/>
    <x v="53"/>
    <x v="7"/>
    <x v="381"/>
    <d v="1998-01-02T00:00:00"/>
    <d v="1997-12-26T00:00:00"/>
    <n v="1"/>
    <n v="249.93"/>
    <x v="0"/>
  </r>
  <r>
    <n v="10788"/>
    <x v="21"/>
    <x v="5"/>
    <x v="382"/>
    <d v="1998-01-19T00:00:00"/>
    <d v="1998-01-19T00:00:00"/>
    <n v="2"/>
    <n v="42.7"/>
    <x v="1"/>
  </r>
  <r>
    <n v="10789"/>
    <x v="68"/>
    <x v="5"/>
    <x v="382"/>
    <d v="1998-01-19T00:00:00"/>
    <d v="1997-12-31T00:00:00"/>
    <n v="2"/>
    <n v="100.6"/>
    <x v="0"/>
  </r>
  <r>
    <n v="10790"/>
    <x v="71"/>
    <x v="1"/>
    <x v="382"/>
    <d v="1998-01-19T00:00:00"/>
    <d v="1997-12-26T00:00:00"/>
    <n v="1"/>
    <n v="28.23"/>
    <x v="2"/>
  </r>
  <r>
    <n v="10791"/>
    <x v="17"/>
    <x v="1"/>
    <x v="383"/>
    <d v="1998-01-20T00:00:00"/>
    <d v="1998-01-01T00:00:00"/>
    <n v="2"/>
    <n v="16.850000000000001"/>
    <x v="1"/>
  </r>
  <r>
    <n v="10792"/>
    <x v="63"/>
    <x v="5"/>
    <x v="383"/>
    <d v="1998-01-20T00:00:00"/>
    <d v="1997-12-31T00:00:00"/>
    <n v="3"/>
    <n v="23.79"/>
    <x v="18"/>
  </r>
  <r>
    <n v="10793"/>
    <x v="55"/>
    <x v="3"/>
    <x v="384"/>
    <d v="1998-01-21T00:00:00"/>
    <d v="1998-01-08T00:00:00"/>
    <n v="3"/>
    <n v="4.5199999999999996"/>
    <x v="13"/>
  </r>
  <r>
    <n v="10794"/>
    <x v="12"/>
    <x v="1"/>
    <x v="384"/>
    <d v="1998-01-21T00:00:00"/>
    <d v="1998-01-02T00:00:00"/>
    <n v="1"/>
    <n v="21.49"/>
    <x v="2"/>
  </r>
  <r>
    <n v="10795"/>
    <x v="9"/>
    <x v="6"/>
    <x v="384"/>
    <d v="1998-01-21T00:00:00"/>
    <d v="1998-01-20T00:00:00"/>
    <n v="2"/>
    <n v="126.66"/>
    <x v="6"/>
  </r>
  <r>
    <n v="10796"/>
    <x v="8"/>
    <x v="3"/>
    <x v="385"/>
    <d v="1998-01-22T00:00:00"/>
    <d v="1998-01-14T00:00:00"/>
    <n v="1"/>
    <n v="26.52"/>
    <x v="5"/>
  </r>
  <r>
    <n v="10797"/>
    <x v="57"/>
    <x v="8"/>
    <x v="385"/>
    <d v="1998-01-22T00:00:00"/>
    <d v="1998-01-05T00:00:00"/>
    <n v="2"/>
    <n v="33.35"/>
    <x v="1"/>
  </r>
  <r>
    <n v="10798"/>
    <x v="42"/>
    <x v="7"/>
    <x v="386"/>
    <d v="1998-01-23T00:00:00"/>
    <d v="1998-01-05T00:00:00"/>
    <n v="1"/>
    <n v="2.33"/>
    <x v="13"/>
  </r>
  <r>
    <n v="10799"/>
    <x v="44"/>
    <x v="4"/>
    <x v="386"/>
    <d v="1998-02-06T00:00:00"/>
    <d v="1998-01-05T00:00:00"/>
    <n v="3"/>
    <n v="30.76"/>
    <x v="1"/>
  </r>
  <r>
    <n v="10800"/>
    <x v="56"/>
    <x v="5"/>
    <x v="386"/>
    <d v="1998-01-23T00:00:00"/>
    <d v="1998-01-05T00:00:00"/>
    <n v="3"/>
    <n v="137.44"/>
    <x v="13"/>
  </r>
  <r>
    <n v="10801"/>
    <x v="46"/>
    <x v="2"/>
    <x v="387"/>
    <d v="1998-01-26T00:00:00"/>
    <d v="1997-12-31T00:00:00"/>
    <n v="2"/>
    <n v="97.09"/>
    <x v="12"/>
  </r>
  <r>
    <n v="10802"/>
    <x v="51"/>
    <x v="2"/>
    <x v="387"/>
    <d v="1998-01-26T00:00:00"/>
    <d v="1998-01-02T00:00:00"/>
    <n v="2"/>
    <n v="257.26"/>
    <x v="17"/>
  </r>
  <r>
    <n v="10803"/>
    <x v="7"/>
    <x v="2"/>
    <x v="388"/>
    <d v="1998-01-27T00:00:00"/>
    <d v="1998-01-06T00:00:00"/>
    <n v="1"/>
    <n v="55.23"/>
    <x v="2"/>
  </r>
  <r>
    <n v="10804"/>
    <x v="56"/>
    <x v="1"/>
    <x v="388"/>
    <d v="1998-01-27T00:00:00"/>
    <d v="1998-01-07T00:00:00"/>
    <n v="2"/>
    <n v="27.33"/>
    <x v="13"/>
  </r>
  <r>
    <n v="10805"/>
    <x v="40"/>
    <x v="7"/>
    <x v="388"/>
    <d v="1998-01-27T00:00:00"/>
    <d v="1998-01-09T00:00:00"/>
    <n v="3"/>
    <n v="237.34"/>
    <x v="8"/>
  </r>
  <r>
    <n v="10806"/>
    <x v="3"/>
    <x v="3"/>
    <x v="389"/>
    <d v="1998-01-28T00:00:00"/>
    <d v="1998-01-05T00:00:00"/>
    <n v="2"/>
    <n v="22.11"/>
    <x v="0"/>
  </r>
  <r>
    <n v="10807"/>
    <x v="70"/>
    <x v="2"/>
    <x v="389"/>
    <d v="1998-01-28T00:00:00"/>
    <d v="1998-01-30T00:00:00"/>
    <n v="1"/>
    <n v="1.36"/>
    <x v="11"/>
  </r>
  <r>
    <n v="10808"/>
    <x v="37"/>
    <x v="7"/>
    <x v="390"/>
    <d v="1998-01-29T00:00:00"/>
    <d v="1998-01-09T00:00:00"/>
    <n v="3"/>
    <n v="45.53"/>
    <x v="8"/>
  </r>
  <r>
    <n v="10809"/>
    <x v="7"/>
    <x v="8"/>
    <x v="390"/>
    <d v="1998-01-29T00:00:00"/>
    <d v="1998-01-07T00:00:00"/>
    <n v="1"/>
    <n v="4.87"/>
    <x v="2"/>
  </r>
  <r>
    <n v="10810"/>
    <x v="75"/>
    <x v="7"/>
    <x v="390"/>
    <d v="1998-01-29T00:00:00"/>
    <d v="1998-01-07T00:00:00"/>
    <n v="3"/>
    <n v="4.33"/>
    <x v="16"/>
  </r>
  <r>
    <n v="10811"/>
    <x v="67"/>
    <x v="6"/>
    <x v="391"/>
    <d v="1998-01-30T00:00:00"/>
    <d v="1998-01-08T00:00:00"/>
    <n v="1"/>
    <n v="31.22"/>
    <x v="5"/>
  </r>
  <r>
    <n v="10812"/>
    <x v="30"/>
    <x v="0"/>
    <x v="391"/>
    <d v="1998-01-30T00:00:00"/>
    <d v="1998-01-12T00:00:00"/>
    <n v="1"/>
    <n v="59.78"/>
    <x v="11"/>
  </r>
  <r>
    <n v="10813"/>
    <x v="29"/>
    <x v="5"/>
    <x v="392"/>
    <d v="1998-02-02T00:00:00"/>
    <d v="1998-01-09T00:00:00"/>
    <n v="1"/>
    <n v="47.38"/>
    <x v="2"/>
  </r>
  <r>
    <n v="10814"/>
    <x v="3"/>
    <x v="3"/>
    <x v="392"/>
    <d v="1998-02-02T00:00:00"/>
    <d v="1998-01-14T00:00:00"/>
    <n v="3"/>
    <n v="130.94"/>
    <x v="0"/>
  </r>
  <r>
    <n v="10815"/>
    <x v="45"/>
    <x v="7"/>
    <x v="392"/>
    <d v="1998-02-02T00:00:00"/>
    <d v="1998-01-14T00:00:00"/>
    <n v="3"/>
    <n v="14.62"/>
    <x v="8"/>
  </r>
  <r>
    <n v="10816"/>
    <x v="79"/>
    <x v="2"/>
    <x v="393"/>
    <d v="1998-02-03T00:00:00"/>
    <d v="1998-02-04T00:00:00"/>
    <n v="2"/>
    <n v="719.78"/>
    <x v="8"/>
  </r>
  <r>
    <n v="10817"/>
    <x v="44"/>
    <x v="3"/>
    <x v="393"/>
    <d v="1998-01-20T00:00:00"/>
    <d v="1998-01-13T00:00:00"/>
    <n v="2"/>
    <n v="306.07"/>
    <x v="1"/>
  </r>
  <r>
    <n v="10818"/>
    <x v="22"/>
    <x v="8"/>
    <x v="394"/>
    <d v="1998-02-04T00:00:00"/>
    <d v="1998-01-12T00:00:00"/>
    <n v="3"/>
    <n v="65.48"/>
    <x v="11"/>
  </r>
  <r>
    <n v="10819"/>
    <x v="78"/>
    <x v="7"/>
    <x v="394"/>
    <d v="1998-02-04T00:00:00"/>
    <d v="1998-01-16T00:00:00"/>
    <n v="3"/>
    <n v="19.760000000000002"/>
    <x v="20"/>
  </r>
  <r>
    <n v="10820"/>
    <x v="13"/>
    <x v="3"/>
    <x v="394"/>
    <d v="1998-02-04T00:00:00"/>
    <d v="1998-01-13T00:00:00"/>
    <n v="2"/>
    <n v="37.520000000000003"/>
    <x v="8"/>
  </r>
  <r>
    <n v="10821"/>
    <x v="20"/>
    <x v="5"/>
    <x v="395"/>
    <d v="1998-02-05T00:00:00"/>
    <d v="1998-01-15T00:00:00"/>
    <n v="1"/>
    <n v="36.68"/>
    <x v="8"/>
  </r>
  <r>
    <n v="10822"/>
    <x v="81"/>
    <x v="1"/>
    <x v="395"/>
    <d v="1998-02-05T00:00:00"/>
    <d v="1998-01-16T00:00:00"/>
    <n v="3"/>
    <n v="7"/>
    <x v="8"/>
  </r>
  <r>
    <n v="10823"/>
    <x v="28"/>
    <x v="0"/>
    <x v="396"/>
    <d v="1998-02-06T00:00:00"/>
    <d v="1998-01-13T00:00:00"/>
    <n v="2"/>
    <n v="163.97"/>
    <x v="5"/>
  </r>
  <r>
    <n v="10824"/>
    <x v="14"/>
    <x v="6"/>
    <x v="396"/>
    <d v="1998-02-06T00:00:00"/>
    <d v="1998-01-30T00:00:00"/>
    <n v="1"/>
    <n v="1.23"/>
    <x v="9"/>
  </r>
  <r>
    <n v="10825"/>
    <x v="57"/>
    <x v="5"/>
    <x v="396"/>
    <d v="1998-02-06T00:00:00"/>
    <d v="1998-01-14T00:00:00"/>
    <n v="1"/>
    <n v="79.25"/>
    <x v="1"/>
  </r>
  <r>
    <n v="10826"/>
    <x v="15"/>
    <x v="1"/>
    <x v="397"/>
    <d v="1998-02-09T00:00:00"/>
    <d v="1998-02-06T00:00:00"/>
    <n v="1"/>
    <n v="7.09"/>
    <x v="0"/>
  </r>
  <r>
    <n v="10827"/>
    <x v="48"/>
    <x v="5"/>
    <x v="397"/>
    <d v="1998-01-26T00:00:00"/>
    <d v="1998-02-06T00:00:00"/>
    <n v="2"/>
    <n v="63.54"/>
    <x v="0"/>
  </r>
  <r>
    <n v="10828"/>
    <x v="73"/>
    <x v="4"/>
    <x v="398"/>
    <d v="1998-01-27T00:00:00"/>
    <d v="1998-02-04T00:00:00"/>
    <n v="1"/>
    <n v="90.85"/>
    <x v="20"/>
  </r>
  <r>
    <n v="10829"/>
    <x v="42"/>
    <x v="4"/>
    <x v="398"/>
    <d v="1998-02-10T00:00:00"/>
    <d v="1998-01-23T00:00:00"/>
    <n v="1"/>
    <n v="154.72"/>
    <x v="13"/>
  </r>
  <r>
    <n v="10830"/>
    <x v="33"/>
    <x v="2"/>
    <x v="398"/>
    <d v="1998-02-24T00:00:00"/>
    <d v="1998-01-21T00:00:00"/>
    <n v="2"/>
    <n v="81.83"/>
    <x v="2"/>
  </r>
  <r>
    <n v="10831"/>
    <x v="65"/>
    <x v="3"/>
    <x v="399"/>
    <d v="1998-02-11T00:00:00"/>
    <d v="1998-01-23T00:00:00"/>
    <n v="2"/>
    <n v="72.19"/>
    <x v="19"/>
  </r>
  <r>
    <n v="10832"/>
    <x v="53"/>
    <x v="7"/>
    <x v="399"/>
    <d v="1998-02-11T00:00:00"/>
    <d v="1998-01-19T00:00:00"/>
    <n v="2"/>
    <n v="43.26"/>
    <x v="0"/>
  </r>
  <r>
    <n v="10833"/>
    <x v="11"/>
    <x v="1"/>
    <x v="400"/>
    <d v="1998-02-12T00:00:00"/>
    <d v="1998-01-23T00:00:00"/>
    <n v="2"/>
    <n v="71.489999999999995"/>
    <x v="1"/>
  </r>
  <r>
    <n v="10834"/>
    <x v="33"/>
    <x v="5"/>
    <x v="400"/>
    <d v="1998-02-12T00:00:00"/>
    <d v="1998-01-19T00:00:00"/>
    <n v="3"/>
    <n v="29.78"/>
    <x v="2"/>
  </r>
  <r>
    <n v="10835"/>
    <x v="85"/>
    <x v="5"/>
    <x v="400"/>
    <d v="1998-02-12T00:00:00"/>
    <d v="1998-01-21T00:00:00"/>
    <n v="3"/>
    <n v="69.53"/>
    <x v="1"/>
  </r>
  <r>
    <n v="10836"/>
    <x v="9"/>
    <x v="8"/>
    <x v="401"/>
    <d v="1998-02-13T00:00:00"/>
    <d v="1998-01-21T00:00:00"/>
    <n v="1"/>
    <n v="411.88"/>
    <x v="6"/>
  </r>
  <r>
    <n v="10837"/>
    <x v="25"/>
    <x v="4"/>
    <x v="401"/>
    <d v="1998-02-13T00:00:00"/>
    <d v="1998-01-23T00:00:00"/>
    <n v="3"/>
    <n v="13.32"/>
    <x v="9"/>
  </r>
  <r>
    <n v="10838"/>
    <x v="67"/>
    <x v="3"/>
    <x v="402"/>
    <d v="1998-02-16T00:00:00"/>
    <d v="1998-01-23T00:00:00"/>
    <n v="3"/>
    <n v="59.28"/>
    <x v="5"/>
  </r>
  <r>
    <n v="10839"/>
    <x v="33"/>
    <x v="3"/>
    <x v="402"/>
    <d v="1998-02-16T00:00:00"/>
    <d v="1998-01-22T00:00:00"/>
    <n v="3"/>
    <n v="35.43"/>
    <x v="2"/>
  </r>
  <r>
    <n v="10840"/>
    <x v="67"/>
    <x v="2"/>
    <x v="402"/>
    <d v="1998-03-02T00:00:00"/>
    <d v="1998-02-16T00:00:00"/>
    <n v="2"/>
    <n v="2.71"/>
    <x v="5"/>
  </r>
  <r>
    <n v="10841"/>
    <x v="4"/>
    <x v="0"/>
    <x v="403"/>
    <d v="1998-02-17T00:00:00"/>
    <d v="1998-01-29T00:00:00"/>
    <n v="2"/>
    <n v="424.3"/>
    <x v="3"/>
  </r>
  <r>
    <n v="10842"/>
    <x v="23"/>
    <x v="5"/>
    <x v="403"/>
    <d v="1998-02-17T00:00:00"/>
    <d v="1998-01-29T00:00:00"/>
    <n v="3"/>
    <n v="54.42"/>
    <x v="7"/>
  </r>
  <r>
    <n v="10843"/>
    <x v="3"/>
    <x v="2"/>
    <x v="404"/>
    <d v="1998-02-18T00:00:00"/>
    <d v="1998-01-26T00:00:00"/>
    <n v="2"/>
    <n v="9.26"/>
    <x v="0"/>
  </r>
  <r>
    <n v="10844"/>
    <x v="54"/>
    <x v="6"/>
    <x v="404"/>
    <d v="1998-02-18T00:00:00"/>
    <d v="1998-01-26T00:00:00"/>
    <n v="2"/>
    <n v="25.22"/>
    <x v="6"/>
  </r>
  <r>
    <n v="10845"/>
    <x v="21"/>
    <x v="6"/>
    <x v="404"/>
    <d v="1998-02-04T00:00:00"/>
    <d v="1998-01-30T00:00:00"/>
    <n v="1"/>
    <n v="212.98"/>
    <x v="1"/>
  </r>
  <r>
    <n v="10846"/>
    <x v="4"/>
    <x v="7"/>
    <x v="405"/>
    <d v="1998-03-05T00:00:00"/>
    <d v="1998-01-23T00:00:00"/>
    <n v="3"/>
    <n v="56.46"/>
    <x v="3"/>
  </r>
  <r>
    <n v="10847"/>
    <x v="45"/>
    <x v="2"/>
    <x v="405"/>
    <d v="1998-02-05T00:00:00"/>
    <d v="1998-02-10T00:00:00"/>
    <n v="3"/>
    <n v="487.57"/>
    <x v="8"/>
  </r>
  <r>
    <n v="10848"/>
    <x v="72"/>
    <x v="8"/>
    <x v="406"/>
    <d v="1998-02-20T00:00:00"/>
    <d v="1998-01-29T00:00:00"/>
    <n v="2"/>
    <n v="38.24"/>
    <x v="13"/>
  </r>
  <r>
    <n v="10849"/>
    <x v="44"/>
    <x v="4"/>
    <x v="406"/>
    <d v="1998-02-20T00:00:00"/>
    <d v="1998-01-30T00:00:00"/>
    <n v="2"/>
    <n v="0.56000000000000005"/>
    <x v="1"/>
  </r>
  <r>
    <n v="10850"/>
    <x v="3"/>
    <x v="5"/>
    <x v="406"/>
    <d v="1998-03-06T00:00:00"/>
    <d v="1998-01-30T00:00:00"/>
    <n v="1"/>
    <n v="49.19"/>
    <x v="0"/>
  </r>
  <r>
    <n v="10851"/>
    <x v="29"/>
    <x v="0"/>
    <x v="407"/>
    <d v="1998-02-23T00:00:00"/>
    <d v="1998-02-02T00:00:00"/>
    <n v="1"/>
    <n v="160.55000000000001"/>
    <x v="2"/>
  </r>
  <r>
    <n v="10852"/>
    <x v="13"/>
    <x v="6"/>
    <x v="407"/>
    <d v="1998-02-09T00:00:00"/>
    <d v="1998-01-30T00:00:00"/>
    <n v="1"/>
    <n v="174.05"/>
    <x v="8"/>
  </r>
  <r>
    <n v="10853"/>
    <x v="76"/>
    <x v="4"/>
    <x v="408"/>
    <d v="1998-02-24T00:00:00"/>
    <d v="1998-02-03T00:00:00"/>
    <n v="2"/>
    <n v="53.83"/>
    <x v="1"/>
  </r>
  <r>
    <n v="10854"/>
    <x v="9"/>
    <x v="3"/>
    <x v="408"/>
    <d v="1998-02-24T00:00:00"/>
    <d v="1998-02-05T00:00:00"/>
    <n v="2"/>
    <n v="100.22"/>
    <x v="6"/>
  </r>
  <r>
    <n v="10855"/>
    <x v="37"/>
    <x v="3"/>
    <x v="408"/>
    <d v="1998-02-24T00:00:00"/>
    <d v="1998-02-04T00:00:00"/>
    <n v="1"/>
    <n v="170.97"/>
    <x v="8"/>
  </r>
  <r>
    <n v="10856"/>
    <x v="59"/>
    <x v="3"/>
    <x v="409"/>
    <d v="1998-02-25T00:00:00"/>
    <d v="1998-02-10T00:00:00"/>
    <n v="2"/>
    <n v="58.43"/>
    <x v="7"/>
  </r>
  <r>
    <n v="10857"/>
    <x v="25"/>
    <x v="6"/>
    <x v="409"/>
    <d v="1998-02-25T00:00:00"/>
    <d v="1998-02-06T00:00:00"/>
    <n v="2"/>
    <n v="188.85"/>
    <x v="9"/>
  </r>
  <r>
    <n v="10858"/>
    <x v="88"/>
    <x v="7"/>
    <x v="410"/>
    <d v="1998-02-26T00:00:00"/>
    <d v="1998-02-03T00:00:00"/>
    <n v="1"/>
    <n v="52.51"/>
    <x v="0"/>
  </r>
  <r>
    <n v="10859"/>
    <x v="17"/>
    <x v="5"/>
    <x v="410"/>
    <d v="1998-02-26T00:00:00"/>
    <d v="1998-02-02T00:00:00"/>
    <n v="2"/>
    <n v="76.099999999999994"/>
    <x v="1"/>
  </r>
  <r>
    <n v="10860"/>
    <x v="86"/>
    <x v="3"/>
    <x v="410"/>
    <d v="1998-02-26T00:00:00"/>
    <d v="1998-02-04T00:00:00"/>
    <n v="3"/>
    <n v="19.260000000000002"/>
    <x v="0"/>
  </r>
  <r>
    <n v="10861"/>
    <x v="19"/>
    <x v="2"/>
    <x v="411"/>
    <d v="1998-02-27T00:00:00"/>
    <d v="1998-02-17T00:00:00"/>
    <n v="2"/>
    <n v="14.93"/>
    <x v="8"/>
  </r>
  <r>
    <n v="10862"/>
    <x v="26"/>
    <x v="6"/>
    <x v="411"/>
    <d v="1998-03-13T00:00:00"/>
    <d v="1998-02-02T00:00:00"/>
    <n v="2"/>
    <n v="53.23"/>
    <x v="1"/>
  </r>
  <r>
    <n v="10863"/>
    <x v="8"/>
    <x v="2"/>
    <x v="412"/>
    <d v="1998-03-02T00:00:00"/>
    <d v="1998-02-17T00:00:00"/>
    <n v="2"/>
    <n v="30.26"/>
    <x v="5"/>
  </r>
  <r>
    <n v="10864"/>
    <x v="55"/>
    <x v="2"/>
    <x v="412"/>
    <d v="1998-03-02T00:00:00"/>
    <d v="1998-02-09T00:00:00"/>
    <n v="2"/>
    <n v="3.04"/>
    <x v="13"/>
  </r>
  <r>
    <n v="10865"/>
    <x v="21"/>
    <x v="7"/>
    <x v="412"/>
    <d v="1998-02-16T00:00:00"/>
    <d v="1998-02-12T00:00:00"/>
    <n v="1"/>
    <n v="348.14"/>
    <x v="1"/>
  </r>
  <r>
    <n v="10866"/>
    <x v="25"/>
    <x v="0"/>
    <x v="413"/>
    <d v="1998-03-03T00:00:00"/>
    <d v="1998-02-12T00:00:00"/>
    <n v="1"/>
    <n v="109.11"/>
    <x v="9"/>
  </r>
  <r>
    <n v="10867"/>
    <x v="38"/>
    <x v="1"/>
    <x v="413"/>
    <d v="1998-03-17T00:00:00"/>
    <d v="1998-02-11T00:00:00"/>
    <n v="1"/>
    <n v="1.93"/>
    <x v="8"/>
  </r>
  <r>
    <n v="10868"/>
    <x v="62"/>
    <x v="8"/>
    <x v="414"/>
    <d v="1998-03-04T00:00:00"/>
    <d v="1998-02-23T00:00:00"/>
    <n v="2"/>
    <n v="191.27"/>
    <x v="2"/>
  </r>
  <r>
    <n v="10869"/>
    <x v="56"/>
    <x v="0"/>
    <x v="414"/>
    <d v="1998-03-04T00:00:00"/>
    <d v="1998-02-09T00:00:00"/>
    <n v="1"/>
    <n v="143.28"/>
    <x v="13"/>
  </r>
  <r>
    <n v="10870"/>
    <x v="63"/>
    <x v="0"/>
    <x v="414"/>
    <d v="1998-03-04T00:00:00"/>
    <d v="1998-02-13T00:00:00"/>
    <n v="3"/>
    <n v="12.04"/>
    <x v="18"/>
  </r>
  <r>
    <n v="10871"/>
    <x v="48"/>
    <x v="4"/>
    <x v="415"/>
    <d v="1998-03-05T00:00:00"/>
    <d v="1998-02-10T00:00:00"/>
    <n v="2"/>
    <n v="112.27"/>
    <x v="0"/>
  </r>
  <r>
    <n v="10872"/>
    <x v="36"/>
    <x v="0"/>
    <x v="415"/>
    <d v="1998-03-05T00:00:00"/>
    <d v="1998-02-09T00:00:00"/>
    <n v="2"/>
    <n v="175.32"/>
    <x v="12"/>
  </r>
  <r>
    <n v="10873"/>
    <x v="83"/>
    <x v="2"/>
    <x v="416"/>
    <d v="1998-03-06T00:00:00"/>
    <d v="1998-02-09T00:00:00"/>
    <n v="1"/>
    <n v="0.82"/>
    <x v="10"/>
  </r>
  <r>
    <n v="10874"/>
    <x v="36"/>
    <x v="0"/>
    <x v="416"/>
    <d v="1998-03-06T00:00:00"/>
    <d v="1998-02-11T00:00:00"/>
    <n v="2"/>
    <n v="19.579999999999998"/>
    <x v="12"/>
  </r>
  <r>
    <n v="10875"/>
    <x v="25"/>
    <x v="2"/>
    <x v="416"/>
    <d v="1998-03-06T00:00:00"/>
    <d v="1998-03-03T00:00:00"/>
    <n v="2"/>
    <n v="32.369999999999997"/>
    <x v="9"/>
  </r>
  <r>
    <n v="10876"/>
    <x v="48"/>
    <x v="8"/>
    <x v="417"/>
    <d v="1998-03-09T00:00:00"/>
    <d v="1998-02-12T00:00:00"/>
    <n v="3"/>
    <n v="60.42"/>
    <x v="0"/>
  </r>
  <r>
    <n v="10877"/>
    <x v="29"/>
    <x v="5"/>
    <x v="417"/>
    <d v="1998-03-09T00:00:00"/>
    <d v="1998-02-19T00:00:00"/>
    <n v="1"/>
    <n v="38.06"/>
    <x v="2"/>
  </r>
  <r>
    <n v="10878"/>
    <x v="21"/>
    <x v="2"/>
    <x v="418"/>
    <d v="1998-03-10T00:00:00"/>
    <d v="1998-02-12T00:00:00"/>
    <n v="1"/>
    <n v="46.69"/>
    <x v="1"/>
  </r>
  <r>
    <n v="10879"/>
    <x v="83"/>
    <x v="3"/>
    <x v="418"/>
    <d v="1998-03-10T00:00:00"/>
    <d v="1998-02-12T00:00:00"/>
    <n v="3"/>
    <n v="8.5"/>
    <x v="10"/>
  </r>
  <r>
    <n v="10880"/>
    <x v="14"/>
    <x v="8"/>
    <x v="418"/>
    <d v="1998-03-24T00:00:00"/>
    <d v="1998-02-18T00:00:00"/>
    <n v="1"/>
    <n v="88.01"/>
    <x v="9"/>
  </r>
  <r>
    <n v="10881"/>
    <x v="78"/>
    <x v="2"/>
    <x v="419"/>
    <d v="1998-03-11T00:00:00"/>
    <d v="1998-02-18T00:00:00"/>
    <n v="1"/>
    <n v="2.84"/>
    <x v="20"/>
  </r>
  <r>
    <n v="10882"/>
    <x v="45"/>
    <x v="2"/>
    <x v="419"/>
    <d v="1998-03-11T00:00:00"/>
    <d v="1998-02-20T00:00:00"/>
    <n v="3"/>
    <n v="23.1"/>
    <x v="8"/>
  </r>
  <r>
    <n v="10883"/>
    <x v="38"/>
    <x v="6"/>
    <x v="420"/>
    <d v="1998-03-12T00:00:00"/>
    <d v="1998-02-20T00:00:00"/>
    <n v="3"/>
    <n v="0.53"/>
    <x v="8"/>
  </r>
  <r>
    <n v="10884"/>
    <x v="82"/>
    <x v="2"/>
    <x v="420"/>
    <d v="1998-03-12T00:00:00"/>
    <d v="1998-02-13T00:00:00"/>
    <n v="2"/>
    <n v="90.97"/>
    <x v="8"/>
  </r>
  <r>
    <n v="10885"/>
    <x v="4"/>
    <x v="1"/>
    <x v="420"/>
    <d v="1998-03-12T00:00:00"/>
    <d v="1998-02-18T00:00:00"/>
    <n v="3"/>
    <n v="5.64"/>
    <x v="3"/>
  </r>
  <r>
    <n v="10886"/>
    <x v="2"/>
    <x v="5"/>
    <x v="421"/>
    <d v="1998-03-13T00:00:00"/>
    <d v="1998-03-02T00:00:00"/>
    <n v="1"/>
    <n v="4.99"/>
    <x v="2"/>
  </r>
  <r>
    <n v="10887"/>
    <x v="60"/>
    <x v="6"/>
    <x v="421"/>
    <d v="1998-03-13T00:00:00"/>
    <d v="1998-02-16T00:00:00"/>
    <n v="3"/>
    <n v="1.25"/>
    <x v="12"/>
  </r>
  <r>
    <n v="10888"/>
    <x v="36"/>
    <x v="5"/>
    <x v="422"/>
    <d v="1998-03-16T00:00:00"/>
    <d v="1998-02-23T00:00:00"/>
    <n v="2"/>
    <n v="51.87"/>
    <x v="12"/>
  </r>
  <r>
    <n v="10889"/>
    <x v="13"/>
    <x v="4"/>
    <x v="422"/>
    <d v="1998-03-16T00:00:00"/>
    <d v="1998-02-23T00:00:00"/>
    <n v="3"/>
    <n v="280.61"/>
    <x v="8"/>
  </r>
  <r>
    <n v="10890"/>
    <x v="41"/>
    <x v="8"/>
    <x v="422"/>
    <d v="1998-03-16T00:00:00"/>
    <d v="1998-02-18T00:00:00"/>
    <n v="1"/>
    <n v="32.76"/>
    <x v="0"/>
  </r>
  <r>
    <n v="10891"/>
    <x v="26"/>
    <x v="8"/>
    <x v="423"/>
    <d v="1998-03-17T00:00:00"/>
    <d v="1998-02-19T00:00:00"/>
    <n v="2"/>
    <n v="20.37"/>
    <x v="1"/>
  </r>
  <r>
    <n v="10892"/>
    <x v="80"/>
    <x v="2"/>
    <x v="423"/>
    <d v="1998-03-17T00:00:00"/>
    <d v="1998-02-19T00:00:00"/>
    <n v="2"/>
    <n v="120.27"/>
    <x v="3"/>
  </r>
  <r>
    <n v="10893"/>
    <x v="44"/>
    <x v="4"/>
    <x v="424"/>
    <d v="1998-03-18T00:00:00"/>
    <d v="1998-02-20T00:00:00"/>
    <n v="2"/>
    <n v="77.78"/>
    <x v="1"/>
  </r>
  <r>
    <n v="10894"/>
    <x v="45"/>
    <x v="5"/>
    <x v="424"/>
    <d v="1998-03-18T00:00:00"/>
    <d v="1998-02-20T00:00:00"/>
    <n v="1"/>
    <n v="116.13"/>
    <x v="8"/>
  </r>
  <r>
    <n v="10895"/>
    <x v="9"/>
    <x v="3"/>
    <x v="424"/>
    <d v="1998-03-18T00:00:00"/>
    <d v="1998-02-23T00:00:00"/>
    <n v="1"/>
    <n v="162.75"/>
    <x v="6"/>
  </r>
  <r>
    <n v="10896"/>
    <x v="80"/>
    <x v="8"/>
    <x v="425"/>
    <d v="1998-03-19T00:00:00"/>
    <d v="1998-02-27T00:00:00"/>
    <n v="3"/>
    <n v="32.450000000000003"/>
    <x v="3"/>
  </r>
  <r>
    <n v="10897"/>
    <x v="34"/>
    <x v="3"/>
    <x v="425"/>
    <d v="1998-03-19T00:00:00"/>
    <d v="1998-02-25T00:00:00"/>
    <n v="2"/>
    <n v="603.54"/>
    <x v="14"/>
  </r>
  <r>
    <n v="10898"/>
    <x v="69"/>
    <x v="2"/>
    <x v="426"/>
    <d v="1998-03-20T00:00:00"/>
    <d v="1998-03-06T00:00:00"/>
    <n v="2"/>
    <n v="1.27"/>
    <x v="20"/>
  </r>
  <r>
    <n v="10899"/>
    <x v="28"/>
    <x v="0"/>
    <x v="426"/>
    <d v="1998-03-20T00:00:00"/>
    <d v="1998-02-26T00:00:00"/>
    <n v="3"/>
    <n v="1.21"/>
    <x v="5"/>
  </r>
  <r>
    <n v="10900"/>
    <x v="7"/>
    <x v="5"/>
    <x v="426"/>
    <d v="1998-03-20T00:00:00"/>
    <d v="1998-03-04T00:00:00"/>
    <n v="2"/>
    <n v="1.66"/>
    <x v="2"/>
  </r>
  <r>
    <n v="10901"/>
    <x v="8"/>
    <x v="2"/>
    <x v="427"/>
    <d v="1998-03-23T00:00:00"/>
    <d v="1998-02-26T00:00:00"/>
    <n v="1"/>
    <n v="62.09"/>
    <x v="5"/>
  </r>
  <r>
    <n v="10902"/>
    <x v="14"/>
    <x v="5"/>
    <x v="427"/>
    <d v="1998-03-23T00:00:00"/>
    <d v="1998-03-03T00:00:00"/>
    <n v="1"/>
    <n v="44.15"/>
    <x v="9"/>
  </r>
  <r>
    <n v="10903"/>
    <x v="2"/>
    <x v="3"/>
    <x v="428"/>
    <d v="1998-03-24T00:00:00"/>
    <d v="1998-03-04T00:00:00"/>
    <n v="3"/>
    <n v="36.71"/>
    <x v="2"/>
  </r>
  <r>
    <n v="10904"/>
    <x v="19"/>
    <x v="3"/>
    <x v="428"/>
    <d v="1998-03-24T00:00:00"/>
    <d v="1998-02-27T00:00:00"/>
    <n v="3"/>
    <n v="162.94999999999999"/>
    <x v="8"/>
  </r>
  <r>
    <n v="10905"/>
    <x v="7"/>
    <x v="4"/>
    <x v="428"/>
    <d v="1998-03-24T00:00:00"/>
    <d v="1998-03-06T00:00:00"/>
    <n v="2"/>
    <n v="13.72"/>
    <x v="2"/>
  </r>
  <r>
    <n v="10906"/>
    <x v="63"/>
    <x v="2"/>
    <x v="429"/>
    <d v="1998-03-11T00:00:00"/>
    <d v="1998-03-03T00:00:00"/>
    <n v="3"/>
    <n v="26.29"/>
    <x v="18"/>
  </r>
  <r>
    <n v="10907"/>
    <x v="87"/>
    <x v="1"/>
    <x v="429"/>
    <d v="1998-03-25T00:00:00"/>
    <d v="1998-02-27T00:00:00"/>
    <n v="3"/>
    <n v="9.19"/>
    <x v="0"/>
  </r>
  <r>
    <n v="10908"/>
    <x v="30"/>
    <x v="2"/>
    <x v="430"/>
    <d v="1998-03-26T00:00:00"/>
    <d v="1998-03-06T00:00:00"/>
    <n v="2"/>
    <n v="32.96"/>
    <x v="11"/>
  </r>
  <r>
    <n v="10909"/>
    <x v="65"/>
    <x v="5"/>
    <x v="430"/>
    <d v="1998-03-26T00:00:00"/>
    <d v="1998-03-10T00:00:00"/>
    <n v="2"/>
    <n v="53.05"/>
    <x v="19"/>
  </r>
  <r>
    <n v="10910"/>
    <x v="83"/>
    <x v="5"/>
    <x v="430"/>
    <d v="1998-03-26T00:00:00"/>
    <d v="1998-03-04T00:00:00"/>
    <n v="3"/>
    <n v="38.11"/>
    <x v="10"/>
  </r>
  <r>
    <n v="10911"/>
    <x v="36"/>
    <x v="3"/>
    <x v="430"/>
    <d v="1998-03-26T00:00:00"/>
    <d v="1998-03-05T00:00:00"/>
    <n v="1"/>
    <n v="38.19"/>
    <x v="12"/>
  </r>
  <r>
    <n v="10912"/>
    <x v="34"/>
    <x v="7"/>
    <x v="430"/>
    <d v="1998-03-26T00:00:00"/>
    <d v="1998-03-18T00:00:00"/>
    <n v="2"/>
    <n v="580.91"/>
    <x v="14"/>
  </r>
  <r>
    <n v="10913"/>
    <x v="62"/>
    <x v="2"/>
    <x v="430"/>
    <d v="1998-03-26T00:00:00"/>
    <d v="1998-03-04T00:00:00"/>
    <n v="1"/>
    <n v="33.049999999999997"/>
    <x v="2"/>
  </r>
  <r>
    <n v="10914"/>
    <x v="62"/>
    <x v="1"/>
    <x v="431"/>
    <d v="1998-03-27T00:00:00"/>
    <d v="1998-03-02T00:00:00"/>
    <n v="1"/>
    <n v="21.19"/>
    <x v="2"/>
  </r>
  <r>
    <n v="10915"/>
    <x v="23"/>
    <x v="7"/>
    <x v="431"/>
    <d v="1998-03-27T00:00:00"/>
    <d v="1998-03-02T00:00:00"/>
    <n v="2"/>
    <n v="3.51"/>
    <x v="7"/>
  </r>
  <r>
    <n v="10916"/>
    <x v="73"/>
    <x v="5"/>
    <x v="431"/>
    <d v="1998-03-27T00:00:00"/>
    <d v="1998-03-09T00:00:00"/>
    <n v="2"/>
    <n v="63.77"/>
    <x v="20"/>
  </r>
  <r>
    <n v="10917"/>
    <x v="27"/>
    <x v="2"/>
    <x v="432"/>
    <d v="1998-03-30T00:00:00"/>
    <d v="1998-03-11T00:00:00"/>
    <n v="2"/>
    <n v="8.2899999999999991"/>
    <x v="12"/>
  </r>
  <r>
    <n v="10918"/>
    <x v="66"/>
    <x v="3"/>
    <x v="432"/>
    <d v="1998-03-30T00:00:00"/>
    <d v="1998-03-11T00:00:00"/>
    <n v="3"/>
    <n v="48.83"/>
    <x v="16"/>
  </r>
  <r>
    <n v="10919"/>
    <x v="67"/>
    <x v="7"/>
    <x v="432"/>
    <d v="1998-03-30T00:00:00"/>
    <d v="1998-03-04T00:00:00"/>
    <n v="2"/>
    <n v="19.8"/>
    <x v="5"/>
  </r>
  <r>
    <n v="10920"/>
    <x v="55"/>
    <x v="2"/>
    <x v="433"/>
    <d v="1998-03-31T00:00:00"/>
    <d v="1998-03-09T00:00:00"/>
    <n v="2"/>
    <n v="29.61"/>
    <x v="13"/>
  </r>
  <r>
    <n v="10921"/>
    <x v="61"/>
    <x v="5"/>
    <x v="433"/>
    <d v="1998-04-14T00:00:00"/>
    <d v="1998-03-09T00:00:00"/>
    <n v="1"/>
    <n v="176.48"/>
    <x v="17"/>
  </r>
  <r>
    <n v="10922"/>
    <x v="2"/>
    <x v="0"/>
    <x v="433"/>
    <d v="1998-03-31T00:00:00"/>
    <d v="1998-03-05T00:00:00"/>
    <n v="3"/>
    <n v="62.74"/>
    <x v="2"/>
  </r>
  <r>
    <n v="10923"/>
    <x v="53"/>
    <x v="8"/>
    <x v="433"/>
    <d v="1998-04-14T00:00:00"/>
    <d v="1998-03-13T00:00:00"/>
    <n v="3"/>
    <n v="68.260000000000005"/>
    <x v="0"/>
  </r>
  <r>
    <n v="10924"/>
    <x v="25"/>
    <x v="3"/>
    <x v="434"/>
    <d v="1998-04-01T00:00:00"/>
    <d v="1998-04-08T00:00:00"/>
    <n v="2"/>
    <n v="151.52000000000001"/>
    <x v="9"/>
  </r>
  <r>
    <n v="10925"/>
    <x v="2"/>
    <x v="3"/>
    <x v="434"/>
    <d v="1998-04-01T00:00:00"/>
    <d v="1998-03-13T00:00:00"/>
    <n v="1"/>
    <n v="2.27"/>
    <x v="2"/>
  </r>
  <r>
    <n v="10926"/>
    <x v="39"/>
    <x v="2"/>
    <x v="434"/>
    <d v="1998-04-01T00:00:00"/>
    <d v="1998-03-11T00:00:00"/>
    <n v="3"/>
    <n v="39.92"/>
    <x v="7"/>
  </r>
  <r>
    <n v="10927"/>
    <x v="88"/>
    <x v="2"/>
    <x v="435"/>
    <d v="1998-04-02T00:00:00"/>
    <d v="1998-04-08T00:00:00"/>
    <n v="1"/>
    <n v="19.79"/>
    <x v="0"/>
  </r>
  <r>
    <n v="10928"/>
    <x v="60"/>
    <x v="5"/>
    <x v="435"/>
    <d v="1998-04-02T00:00:00"/>
    <d v="1998-03-18T00:00:00"/>
    <n v="1"/>
    <n v="1.36"/>
    <x v="12"/>
  </r>
  <r>
    <n v="10929"/>
    <x v="17"/>
    <x v="1"/>
    <x v="435"/>
    <d v="1998-04-02T00:00:00"/>
    <d v="1998-03-12T00:00:00"/>
    <n v="1"/>
    <n v="33.93"/>
    <x v="1"/>
  </r>
  <r>
    <n v="10930"/>
    <x v="4"/>
    <x v="2"/>
    <x v="436"/>
    <d v="1998-04-17T00:00:00"/>
    <d v="1998-03-18T00:00:00"/>
    <n v="3"/>
    <n v="15.55"/>
    <x v="3"/>
  </r>
  <r>
    <n v="10931"/>
    <x v="6"/>
    <x v="2"/>
    <x v="436"/>
    <d v="1998-03-20T00:00:00"/>
    <d v="1998-03-19T00:00:00"/>
    <n v="2"/>
    <n v="13.6"/>
    <x v="4"/>
  </r>
  <r>
    <n v="10932"/>
    <x v="48"/>
    <x v="6"/>
    <x v="436"/>
    <d v="1998-04-03T00:00:00"/>
    <d v="1998-03-24T00:00:00"/>
    <n v="1"/>
    <n v="134.63999999999999"/>
    <x v="0"/>
  </r>
  <r>
    <n v="10933"/>
    <x v="42"/>
    <x v="1"/>
    <x v="436"/>
    <d v="1998-04-03T00:00:00"/>
    <d v="1998-03-16T00:00:00"/>
    <n v="3"/>
    <n v="54.15"/>
    <x v="13"/>
  </r>
  <r>
    <n v="10934"/>
    <x v="26"/>
    <x v="3"/>
    <x v="437"/>
    <d v="1998-04-06T00:00:00"/>
    <d v="1998-03-12T00:00:00"/>
    <n v="3"/>
    <n v="32.01"/>
    <x v="1"/>
  </r>
  <r>
    <n v="10935"/>
    <x v="7"/>
    <x v="2"/>
    <x v="437"/>
    <d v="1998-04-06T00:00:00"/>
    <d v="1998-03-18T00:00:00"/>
    <n v="3"/>
    <n v="47.59"/>
    <x v="2"/>
  </r>
  <r>
    <n v="10936"/>
    <x v="79"/>
    <x v="3"/>
    <x v="437"/>
    <d v="1998-04-06T00:00:00"/>
    <d v="1998-03-18T00:00:00"/>
    <n v="2"/>
    <n v="33.68"/>
    <x v="8"/>
  </r>
  <r>
    <n v="10937"/>
    <x v="78"/>
    <x v="8"/>
    <x v="438"/>
    <d v="1998-03-24T00:00:00"/>
    <d v="1998-03-13T00:00:00"/>
    <n v="3"/>
    <n v="31.51"/>
    <x v="20"/>
  </r>
  <r>
    <n v="10938"/>
    <x v="21"/>
    <x v="3"/>
    <x v="438"/>
    <d v="1998-04-07T00:00:00"/>
    <d v="1998-03-16T00:00:00"/>
    <n v="2"/>
    <n v="31.89"/>
    <x v="1"/>
  </r>
  <r>
    <n v="10939"/>
    <x v="22"/>
    <x v="7"/>
    <x v="438"/>
    <d v="1998-04-07T00:00:00"/>
    <d v="1998-03-13T00:00:00"/>
    <n v="2"/>
    <n v="76.33"/>
    <x v="11"/>
  </r>
  <r>
    <n v="10940"/>
    <x v="48"/>
    <x v="6"/>
    <x v="439"/>
    <d v="1998-04-08T00:00:00"/>
    <d v="1998-03-23T00:00:00"/>
    <n v="3"/>
    <n v="19.77"/>
    <x v="0"/>
  </r>
  <r>
    <n v="10941"/>
    <x v="45"/>
    <x v="8"/>
    <x v="439"/>
    <d v="1998-04-08T00:00:00"/>
    <d v="1998-03-20T00:00:00"/>
    <n v="2"/>
    <n v="400.81"/>
    <x v="8"/>
  </r>
  <r>
    <n v="10942"/>
    <x v="30"/>
    <x v="4"/>
    <x v="439"/>
    <d v="1998-04-08T00:00:00"/>
    <d v="1998-03-18T00:00:00"/>
    <n v="3"/>
    <n v="17.95"/>
    <x v="11"/>
  </r>
  <r>
    <n v="10943"/>
    <x v="31"/>
    <x v="2"/>
    <x v="439"/>
    <d v="1998-04-08T00:00:00"/>
    <d v="1998-03-19T00:00:00"/>
    <n v="2"/>
    <n v="2.17"/>
    <x v="13"/>
  </r>
  <r>
    <n v="10944"/>
    <x v="66"/>
    <x v="1"/>
    <x v="440"/>
    <d v="1998-03-26T00:00:00"/>
    <d v="1998-03-13T00:00:00"/>
    <n v="3"/>
    <n v="52.92"/>
    <x v="16"/>
  </r>
  <r>
    <n v="10945"/>
    <x v="24"/>
    <x v="2"/>
    <x v="440"/>
    <d v="1998-04-09T00:00:00"/>
    <d v="1998-03-18T00:00:00"/>
    <n v="1"/>
    <n v="10.220000000000001"/>
    <x v="1"/>
  </r>
  <r>
    <n v="10946"/>
    <x v="61"/>
    <x v="5"/>
    <x v="440"/>
    <d v="1998-04-09T00:00:00"/>
    <d v="1998-03-19T00:00:00"/>
    <n v="2"/>
    <n v="27.2"/>
    <x v="17"/>
  </r>
  <r>
    <n v="10947"/>
    <x v="31"/>
    <x v="3"/>
    <x v="441"/>
    <d v="1998-04-10T00:00:00"/>
    <d v="1998-03-16T00:00:00"/>
    <n v="2"/>
    <n v="3.26"/>
    <x v="13"/>
  </r>
  <r>
    <n v="10948"/>
    <x v="36"/>
    <x v="3"/>
    <x v="441"/>
    <d v="1998-04-10T00:00:00"/>
    <d v="1998-03-19T00:00:00"/>
    <n v="3"/>
    <n v="23.39"/>
    <x v="12"/>
  </r>
  <r>
    <n v="10949"/>
    <x v="66"/>
    <x v="7"/>
    <x v="441"/>
    <d v="1998-04-10T00:00:00"/>
    <d v="1998-03-17T00:00:00"/>
    <n v="3"/>
    <n v="74.44"/>
    <x v="16"/>
  </r>
  <r>
    <n v="10950"/>
    <x v="22"/>
    <x v="5"/>
    <x v="442"/>
    <d v="1998-04-13T00:00:00"/>
    <d v="1998-03-23T00:00:00"/>
    <n v="2"/>
    <n v="2.5"/>
    <x v="11"/>
  </r>
  <r>
    <n v="10951"/>
    <x v="6"/>
    <x v="4"/>
    <x v="442"/>
    <d v="1998-04-27T00:00:00"/>
    <d v="1998-04-07T00:00:00"/>
    <n v="2"/>
    <n v="30.85"/>
    <x v="4"/>
  </r>
  <r>
    <n v="10952"/>
    <x v="85"/>
    <x v="5"/>
    <x v="442"/>
    <d v="1998-04-27T00:00:00"/>
    <d v="1998-03-24T00:00:00"/>
    <n v="1"/>
    <n v="40.42"/>
    <x v="1"/>
  </r>
  <r>
    <n v="10953"/>
    <x v="55"/>
    <x v="4"/>
    <x v="442"/>
    <d v="1998-03-30T00:00:00"/>
    <d v="1998-03-25T00:00:00"/>
    <n v="2"/>
    <n v="23.72"/>
    <x v="13"/>
  </r>
  <r>
    <n v="10954"/>
    <x v="67"/>
    <x v="0"/>
    <x v="443"/>
    <d v="1998-04-28T00:00:00"/>
    <d v="1998-03-20T00:00:00"/>
    <n v="1"/>
    <n v="27.91"/>
    <x v="5"/>
  </r>
  <r>
    <n v="10955"/>
    <x v="14"/>
    <x v="6"/>
    <x v="443"/>
    <d v="1998-04-14T00:00:00"/>
    <d v="1998-03-20T00:00:00"/>
    <n v="2"/>
    <n v="3.26"/>
    <x v="9"/>
  </r>
  <r>
    <n v="10956"/>
    <x v="76"/>
    <x v="1"/>
    <x v="443"/>
    <d v="1998-04-28T00:00:00"/>
    <d v="1998-03-20T00:00:00"/>
    <n v="2"/>
    <n v="44.65"/>
    <x v="1"/>
  </r>
  <r>
    <n v="10957"/>
    <x v="8"/>
    <x v="6"/>
    <x v="444"/>
    <d v="1998-04-15T00:00:00"/>
    <d v="1998-03-27T00:00:00"/>
    <n v="3"/>
    <n v="105.36"/>
    <x v="5"/>
  </r>
  <r>
    <n v="10958"/>
    <x v="69"/>
    <x v="8"/>
    <x v="444"/>
    <d v="1998-04-15T00:00:00"/>
    <d v="1998-03-27T00:00:00"/>
    <n v="2"/>
    <n v="49.56"/>
    <x v="20"/>
  </r>
  <r>
    <n v="10959"/>
    <x v="71"/>
    <x v="1"/>
    <x v="444"/>
    <d v="1998-04-29T00:00:00"/>
    <d v="1998-03-23T00:00:00"/>
    <n v="2"/>
    <n v="4.9800000000000004"/>
    <x v="2"/>
  </r>
  <r>
    <n v="10960"/>
    <x v="8"/>
    <x v="3"/>
    <x v="445"/>
    <d v="1998-04-02T00:00:00"/>
    <d v="1998-04-08T00:00:00"/>
    <n v="1"/>
    <n v="2.08"/>
    <x v="5"/>
  </r>
  <r>
    <n v="10961"/>
    <x v="62"/>
    <x v="6"/>
    <x v="445"/>
    <d v="1998-04-16T00:00:00"/>
    <d v="1998-03-30T00:00:00"/>
    <n v="1"/>
    <n v="104.47"/>
    <x v="2"/>
  </r>
  <r>
    <n v="10962"/>
    <x v="21"/>
    <x v="6"/>
    <x v="445"/>
    <d v="1998-04-16T00:00:00"/>
    <d v="1998-03-23T00:00:00"/>
    <n v="2"/>
    <n v="275.79000000000002"/>
    <x v="1"/>
  </r>
  <r>
    <n v="10963"/>
    <x v="47"/>
    <x v="4"/>
    <x v="445"/>
    <d v="1998-04-16T00:00:00"/>
    <d v="1998-03-26T00:00:00"/>
    <n v="3"/>
    <n v="2.7"/>
    <x v="15"/>
  </r>
  <r>
    <n v="10964"/>
    <x v="87"/>
    <x v="3"/>
    <x v="446"/>
    <d v="1998-04-17T00:00:00"/>
    <d v="1998-03-24T00:00:00"/>
    <n v="2"/>
    <n v="87.38"/>
    <x v="0"/>
  </r>
  <r>
    <n v="10965"/>
    <x v="37"/>
    <x v="1"/>
    <x v="446"/>
    <d v="1998-04-17T00:00:00"/>
    <d v="1998-03-30T00:00:00"/>
    <n v="3"/>
    <n v="144.38"/>
    <x v="8"/>
  </r>
  <r>
    <n v="10966"/>
    <x v="5"/>
    <x v="2"/>
    <x v="446"/>
    <d v="1998-04-17T00:00:00"/>
    <d v="1998-04-08T00:00:00"/>
    <n v="1"/>
    <n v="27.19"/>
    <x v="4"/>
  </r>
  <r>
    <n v="10967"/>
    <x v="1"/>
    <x v="7"/>
    <x v="447"/>
    <d v="1998-04-20T00:00:00"/>
    <d v="1998-04-02T00:00:00"/>
    <n v="2"/>
    <n v="62.22"/>
    <x v="1"/>
  </r>
  <r>
    <n v="10968"/>
    <x v="9"/>
    <x v="5"/>
    <x v="447"/>
    <d v="1998-04-20T00:00:00"/>
    <d v="1998-04-01T00:00:00"/>
    <n v="3"/>
    <n v="74.599999999999994"/>
    <x v="6"/>
  </r>
  <r>
    <n v="10969"/>
    <x v="32"/>
    <x v="5"/>
    <x v="447"/>
    <d v="1998-04-20T00:00:00"/>
    <d v="1998-03-30T00:00:00"/>
    <n v="2"/>
    <n v="0.21"/>
    <x v="2"/>
  </r>
  <r>
    <n v="10970"/>
    <x v="46"/>
    <x v="4"/>
    <x v="448"/>
    <d v="1998-04-07T00:00:00"/>
    <d v="1998-04-24T00:00:00"/>
    <n v="1"/>
    <n v="16.16"/>
    <x v="12"/>
  </r>
  <r>
    <n v="10971"/>
    <x v="86"/>
    <x v="7"/>
    <x v="448"/>
    <d v="1998-04-21T00:00:00"/>
    <d v="1998-04-02T00:00:00"/>
    <n v="2"/>
    <n v="121.82"/>
    <x v="0"/>
  </r>
  <r>
    <n v="10972"/>
    <x v="88"/>
    <x v="2"/>
    <x v="448"/>
    <d v="1998-04-21T00:00:00"/>
    <d v="1998-03-26T00:00:00"/>
    <n v="2"/>
    <n v="0.02"/>
    <x v="0"/>
  </r>
  <r>
    <n v="10973"/>
    <x v="88"/>
    <x v="1"/>
    <x v="448"/>
    <d v="1998-04-21T00:00:00"/>
    <d v="1998-03-27T00:00:00"/>
    <n v="2"/>
    <n v="15.17"/>
    <x v="0"/>
  </r>
  <r>
    <n v="10974"/>
    <x v="20"/>
    <x v="3"/>
    <x v="449"/>
    <d v="1998-04-08T00:00:00"/>
    <d v="1998-04-03T00:00:00"/>
    <n v="3"/>
    <n v="12.96"/>
    <x v="8"/>
  </r>
  <r>
    <n v="10975"/>
    <x v="66"/>
    <x v="5"/>
    <x v="449"/>
    <d v="1998-04-22T00:00:00"/>
    <d v="1998-03-27T00:00:00"/>
    <n v="3"/>
    <n v="32.270000000000003"/>
    <x v="16"/>
  </r>
  <r>
    <n v="10976"/>
    <x v="8"/>
    <x v="5"/>
    <x v="449"/>
    <d v="1998-05-06T00:00:00"/>
    <d v="1998-04-03T00:00:00"/>
    <n v="1"/>
    <n v="37.97"/>
    <x v="5"/>
  </r>
  <r>
    <n v="10977"/>
    <x v="14"/>
    <x v="6"/>
    <x v="450"/>
    <d v="1998-04-23T00:00:00"/>
    <d v="1998-04-10T00:00:00"/>
    <n v="3"/>
    <n v="208.5"/>
    <x v="9"/>
  </r>
  <r>
    <n v="10978"/>
    <x v="80"/>
    <x v="4"/>
    <x v="450"/>
    <d v="1998-04-23T00:00:00"/>
    <d v="1998-04-23T00:00:00"/>
    <n v="2"/>
    <n v="32.82"/>
    <x v="3"/>
  </r>
  <r>
    <n v="10979"/>
    <x v="9"/>
    <x v="6"/>
    <x v="450"/>
    <d v="1998-04-23T00:00:00"/>
    <d v="1998-03-31T00:00:00"/>
    <n v="2"/>
    <n v="353.07"/>
    <x v="6"/>
  </r>
  <r>
    <n v="10980"/>
    <x v="14"/>
    <x v="2"/>
    <x v="451"/>
    <d v="1998-05-08T00:00:00"/>
    <d v="1998-04-17T00:00:00"/>
    <n v="1"/>
    <n v="1.26"/>
    <x v="9"/>
  </r>
  <r>
    <n v="10981"/>
    <x v="2"/>
    <x v="5"/>
    <x v="451"/>
    <d v="1998-04-24T00:00:00"/>
    <d v="1998-04-02T00:00:00"/>
    <n v="2"/>
    <n v="193.37"/>
    <x v="2"/>
  </r>
  <r>
    <n v="10982"/>
    <x v="66"/>
    <x v="7"/>
    <x v="451"/>
    <d v="1998-04-24T00:00:00"/>
    <d v="1998-04-08T00:00:00"/>
    <n v="1"/>
    <n v="14.01"/>
    <x v="16"/>
  </r>
  <r>
    <n v="10983"/>
    <x v="45"/>
    <x v="7"/>
    <x v="451"/>
    <d v="1998-04-24T00:00:00"/>
    <d v="1998-04-06T00:00:00"/>
    <n v="2"/>
    <n v="657.54"/>
    <x v="8"/>
  </r>
  <r>
    <n v="10984"/>
    <x v="45"/>
    <x v="5"/>
    <x v="452"/>
    <d v="1998-04-27T00:00:00"/>
    <d v="1998-04-03T00:00:00"/>
    <n v="3"/>
    <n v="211.22"/>
    <x v="8"/>
  </r>
  <r>
    <n v="10985"/>
    <x v="34"/>
    <x v="7"/>
    <x v="452"/>
    <d v="1998-04-27T00:00:00"/>
    <d v="1998-04-02T00:00:00"/>
    <n v="1"/>
    <n v="91.51"/>
    <x v="14"/>
  </r>
  <r>
    <n v="10986"/>
    <x v="69"/>
    <x v="6"/>
    <x v="452"/>
    <d v="1998-04-27T00:00:00"/>
    <d v="1998-04-21T00:00:00"/>
    <n v="2"/>
    <n v="217.86"/>
    <x v="20"/>
  </r>
  <r>
    <n v="10987"/>
    <x v="58"/>
    <x v="6"/>
    <x v="453"/>
    <d v="1998-04-28T00:00:00"/>
    <d v="1998-04-06T00:00:00"/>
    <n v="1"/>
    <n v="185.48"/>
    <x v="13"/>
  </r>
  <r>
    <n v="10988"/>
    <x v="13"/>
    <x v="3"/>
    <x v="453"/>
    <d v="1998-04-28T00:00:00"/>
    <d v="1998-04-10T00:00:00"/>
    <n v="2"/>
    <n v="61.14"/>
    <x v="8"/>
  </r>
  <r>
    <n v="10989"/>
    <x v="12"/>
    <x v="7"/>
    <x v="453"/>
    <d v="1998-04-28T00:00:00"/>
    <d v="1998-04-02T00:00:00"/>
    <n v="1"/>
    <n v="34.76"/>
    <x v="2"/>
  </r>
  <r>
    <n v="10990"/>
    <x v="9"/>
    <x v="7"/>
    <x v="454"/>
    <d v="1998-05-13T00:00:00"/>
    <d v="1998-04-07T00:00:00"/>
    <n v="3"/>
    <n v="117.61"/>
    <x v="6"/>
  </r>
  <r>
    <n v="10991"/>
    <x v="21"/>
    <x v="5"/>
    <x v="454"/>
    <d v="1998-04-29T00:00:00"/>
    <d v="1998-04-07T00:00:00"/>
    <n v="1"/>
    <n v="38.51"/>
    <x v="1"/>
  </r>
  <r>
    <n v="10992"/>
    <x v="40"/>
    <x v="5"/>
    <x v="454"/>
    <d v="1998-04-29T00:00:00"/>
    <d v="1998-04-03T00:00:00"/>
    <n v="3"/>
    <n v="4.2699999999999996"/>
    <x v="8"/>
  </r>
  <r>
    <n v="10993"/>
    <x v="14"/>
    <x v="8"/>
    <x v="454"/>
    <d v="1998-04-29T00:00:00"/>
    <d v="1998-04-10T00:00:00"/>
    <n v="3"/>
    <n v="8.81"/>
    <x v="9"/>
  </r>
  <r>
    <n v="10994"/>
    <x v="61"/>
    <x v="7"/>
    <x v="455"/>
    <d v="1998-04-16T00:00:00"/>
    <d v="1998-04-09T00:00:00"/>
    <n v="3"/>
    <n v="65.53"/>
    <x v="17"/>
  </r>
  <r>
    <n v="10995"/>
    <x v="43"/>
    <x v="5"/>
    <x v="455"/>
    <d v="1998-04-30T00:00:00"/>
    <d v="1998-04-06T00:00:00"/>
    <n v="3"/>
    <n v="46"/>
    <x v="7"/>
  </r>
  <r>
    <n v="10996"/>
    <x v="21"/>
    <x v="2"/>
    <x v="455"/>
    <d v="1998-04-30T00:00:00"/>
    <d v="1998-04-10T00:00:00"/>
    <n v="2"/>
    <n v="1.1200000000000001"/>
    <x v="1"/>
  </r>
  <r>
    <n v="10997"/>
    <x v="28"/>
    <x v="6"/>
    <x v="456"/>
    <d v="1998-05-15T00:00:00"/>
    <d v="1998-04-13T00:00:00"/>
    <n v="2"/>
    <n v="73.91"/>
    <x v="5"/>
  </r>
  <r>
    <n v="10998"/>
    <x v="63"/>
    <x v="6"/>
    <x v="456"/>
    <d v="1998-04-17T00:00:00"/>
    <d v="1998-04-17T00:00:00"/>
    <n v="2"/>
    <n v="20.309999999999999"/>
    <x v="18"/>
  </r>
  <r>
    <n v="10999"/>
    <x v="11"/>
    <x v="1"/>
    <x v="456"/>
    <d v="1998-05-01T00:00:00"/>
    <d v="1998-04-10T00:00:00"/>
    <n v="2"/>
    <n v="96.35"/>
    <x v="1"/>
  </r>
  <r>
    <n v="11000"/>
    <x v="13"/>
    <x v="7"/>
    <x v="457"/>
    <d v="1998-05-04T00:00:00"/>
    <d v="1998-04-14T00:00:00"/>
    <n v="3"/>
    <n v="55.12"/>
    <x v="8"/>
  </r>
  <r>
    <n v="11001"/>
    <x v="14"/>
    <x v="7"/>
    <x v="457"/>
    <d v="1998-05-04T00:00:00"/>
    <d v="1998-04-14T00:00:00"/>
    <n v="2"/>
    <n v="197.3"/>
    <x v="9"/>
  </r>
  <r>
    <n v="11002"/>
    <x v="45"/>
    <x v="2"/>
    <x v="457"/>
    <d v="1998-05-04T00:00:00"/>
    <d v="1998-04-16T00:00:00"/>
    <n v="1"/>
    <n v="141.16"/>
    <x v="8"/>
  </r>
  <r>
    <n v="11003"/>
    <x v="84"/>
    <x v="3"/>
    <x v="457"/>
    <d v="1998-05-04T00:00:00"/>
    <d v="1998-04-08T00:00:00"/>
    <n v="3"/>
    <n v="14.91"/>
    <x v="8"/>
  </r>
  <r>
    <n v="11004"/>
    <x v="80"/>
    <x v="3"/>
    <x v="458"/>
    <d v="1998-05-05T00:00:00"/>
    <d v="1998-04-20T00:00:00"/>
    <n v="1"/>
    <n v="44.84"/>
    <x v="3"/>
  </r>
  <r>
    <n v="11005"/>
    <x v="83"/>
    <x v="7"/>
    <x v="458"/>
    <d v="1998-05-05T00:00:00"/>
    <d v="1998-04-10T00:00:00"/>
    <n v="1"/>
    <n v="0.75"/>
    <x v="10"/>
  </r>
  <r>
    <n v="11006"/>
    <x v="79"/>
    <x v="3"/>
    <x v="458"/>
    <d v="1998-05-05T00:00:00"/>
    <d v="1998-04-15T00:00:00"/>
    <n v="2"/>
    <n v="25.19"/>
    <x v="8"/>
  </r>
  <r>
    <n v="11007"/>
    <x v="50"/>
    <x v="6"/>
    <x v="459"/>
    <d v="1998-05-06T00:00:00"/>
    <d v="1998-04-13T00:00:00"/>
    <n v="2"/>
    <n v="202.24"/>
    <x v="15"/>
  </r>
  <r>
    <n v="11008"/>
    <x v="9"/>
    <x v="8"/>
    <x v="459"/>
    <d v="1998-05-06T00:00:00"/>
    <s v="NULL"/>
    <n v="3"/>
    <n v="79.459999999999994"/>
    <x v="6"/>
  </r>
  <r>
    <n v="11009"/>
    <x v="36"/>
    <x v="7"/>
    <x v="459"/>
    <d v="1998-05-06T00:00:00"/>
    <d v="1998-04-10T00:00:00"/>
    <n v="1"/>
    <n v="59.11"/>
    <x v="12"/>
  </r>
  <r>
    <n v="11010"/>
    <x v="30"/>
    <x v="7"/>
    <x v="460"/>
    <d v="1998-05-07T00:00:00"/>
    <d v="1998-04-21T00:00:00"/>
    <n v="2"/>
    <n v="28.71"/>
    <x v="11"/>
  </r>
  <r>
    <n v="11011"/>
    <x v="85"/>
    <x v="3"/>
    <x v="460"/>
    <d v="1998-05-07T00:00:00"/>
    <d v="1998-04-13T00:00:00"/>
    <n v="1"/>
    <n v="1.21"/>
    <x v="1"/>
  </r>
  <r>
    <n v="11012"/>
    <x v="17"/>
    <x v="5"/>
    <x v="460"/>
    <d v="1998-04-23T00:00:00"/>
    <d v="1998-04-17T00:00:00"/>
    <n v="3"/>
    <n v="242.95"/>
    <x v="1"/>
  </r>
  <r>
    <n v="11013"/>
    <x v="27"/>
    <x v="7"/>
    <x v="460"/>
    <d v="1998-05-07T00:00:00"/>
    <d v="1998-04-10T00:00:00"/>
    <n v="1"/>
    <n v="32.99"/>
    <x v="12"/>
  </r>
  <r>
    <n v="11014"/>
    <x v="67"/>
    <x v="7"/>
    <x v="461"/>
    <d v="1998-05-08T00:00:00"/>
    <d v="1998-04-15T00:00:00"/>
    <n v="3"/>
    <n v="23.6"/>
    <x v="5"/>
  </r>
  <r>
    <n v="11015"/>
    <x v="65"/>
    <x v="7"/>
    <x v="461"/>
    <d v="1998-04-24T00:00:00"/>
    <d v="1998-04-20T00:00:00"/>
    <n v="2"/>
    <n v="4.62"/>
    <x v="19"/>
  </r>
  <r>
    <n v="11016"/>
    <x v="55"/>
    <x v="4"/>
    <x v="461"/>
    <d v="1998-05-08T00:00:00"/>
    <d v="1998-04-13T00:00:00"/>
    <n v="2"/>
    <n v="33.799999999999997"/>
    <x v="13"/>
  </r>
  <r>
    <n v="11017"/>
    <x v="9"/>
    <x v="4"/>
    <x v="462"/>
    <d v="1998-05-11T00:00:00"/>
    <d v="1998-04-20T00:00:00"/>
    <n v="2"/>
    <n v="754.26"/>
    <x v="6"/>
  </r>
  <r>
    <n v="11018"/>
    <x v="38"/>
    <x v="2"/>
    <x v="462"/>
    <d v="1998-05-11T00:00:00"/>
    <d v="1998-04-16T00:00:00"/>
    <n v="2"/>
    <n v="11.65"/>
    <x v="8"/>
  </r>
  <r>
    <n v="11019"/>
    <x v="73"/>
    <x v="1"/>
    <x v="462"/>
    <d v="1998-05-11T00:00:00"/>
    <s v="NULL"/>
    <n v="3"/>
    <n v="3.17"/>
    <x v="20"/>
  </r>
  <r>
    <n v="11020"/>
    <x v="11"/>
    <x v="7"/>
    <x v="463"/>
    <d v="1998-05-12T00:00:00"/>
    <d v="1998-04-16T00:00:00"/>
    <n v="2"/>
    <n v="43.3"/>
    <x v="1"/>
  </r>
  <r>
    <n v="11021"/>
    <x v="21"/>
    <x v="3"/>
    <x v="463"/>
    <d v="1998-05-12T00:00:00"/>
    <d v="1998-04-21T00:00:00"/>
    <n v="1"/>
    <n v="297.18"/>
    <x v="1"/>
  </r>
  <r>
    <n v="11022"/>
    <x v="2"/>
    <x v="4"/>
    <x v="463"/>
    <d v="1998-05-12T00:00:00"/>
    <d v="1998-05-04T00:00:00"/>
    <n v="2"/>
    <n v="6.27"/>
    <x v="2"/>
  </r>
  <r>
    <n v="11023"/>
    <x v="31"/>
    <x v="5"/>
    <x v="463"/>
    <d v="1998-04-28T00:00:00"/>
    <d v="1998-04-24T00:00:00"/>
    <n v="2"/>
    <n v="123.83"/>
    <x v="13"/>
  </r>
  <r>
    <n v="11024"/>
    <x v="58"/>
    <x v="2"/>
    <x v="464"/>
    <d v="1998-05-13T00:00:00"/>
    <d v="1998-04-20T00:00:00"/>
    <n v="1"/>
    <n v="74.36"/>
    <x v="13"/>
  </r>
  <r>
    <n v="11025"/>
    <x v="16"/>
    <x v="1"/>
    <x v="464"/>
    <d v="1998-05-13T00:00:00"/>
    <d v="1998-04-24T00:00:00"/>
    <n v="3"/>
    <n v="29.17"/>
    <x v="10"/>
  </r>
  <r>
    <n v="11026"/>
    <x v="70"/>
    <x v="2"/>
    <x v="464"/>
    <d v="1998-05-13T00:00:00"/>
    <d v="1998-04-28T00:00:00"/>
    <n v="1"/>
    <n v="47.09"/>
    <x v="11"/>
  </r>
  <r>
    <n v="11027"/>
    <x v="66"/>
    <x v="5"/>
    <x v="465"/>
    <d v="1998-05-14T00:00:00"/>
    <d v="1998-04-20T00:00:00"/>
    <n v="1"/>
    <n v="52.52"/>
    <x v="16"/>
  </r>
  <r>
    <n v="11028"/>
    <x v="44"/>
    <x v="7"/>
    <x v="465"/>
    <d v="1998-05-14T00:00:00"/>
    <d v="1998-04-22T00:00:00"/>
    <n v="1"/>
    <n v="29.59"/>
    <x v="1"/>
  </r>
  <r>
    <n v="11029"/>
    <x v="5"/>
    <x v="2"/>
    <x v="465"/>
    <d v="1998-05-14T00:00:00"/>
    <d v="1998-04-27T00:00:00"/>
    <n v="1"/>
    <n v="47.84"/>
    <x v="4"/>
  </r>
  <r>
    <n v="11030"/>
    <x v="45"/>
    <x v="8"/>
    <x v="466"/>
    <d v="1998-05-15T00:00:00"/>
    <d v="1998-04-27T00:00:00"/>
    <n v="2"/>
    <n v="830.75"/>
    <x v="8"/>
  </r>
  <r>
    <n v="11031"/>
    <x v="45"/>
    <x v="1"/>
    <x v="466"/>
    <d v="1998-05-15T00:00:00"/>
    <d v="1998-04-24T00:00:00"/>
    <n v="2"/>
    <n v="227.22"/>
    <x v="8"/>
  </r>
  <r>
    <n v="11032"/>
    <x v="19"/>
    <x v="7"/>
    <x v="466"/>
    <d v="1998-05-15T00:00:00"/>
    <d v="1998-04-23T00:00:00"/>
    <n v="3"/>
    <n v="606.19000000000005"/>
    <x v="8"/>
  </r>
  <r>
    <n v="11033"/>
    <x v="6"/>
    <x v="8"/>
    <x v="466"/>
    <d v="1998-05-15T00:00:00"/>
    <d v="1998-04-23T00:00:00"/>
    <n v="3"/>
    <n v="84.74"/>
    <x v="4"/>
  </r>
  <r>
    <n v="11034"/>
    <x v="37"/>
    <x v="6"/>
    <x v="467"/>
    <d v="1998-06-01T00:00:00"/>
    <d v="1998-04-27T00:00:00"/>
    <n v="1"/>
    <n v="40.32"/>
    <x v="8"/>
  </r>
  <r>
    <n v="11035"/>
    <x v="4"/>
    <x v="7"/>
    <x v="467"/>
    <d v="1998-05-18T00:00:00"/>
    <d v="1998-04-24T00:00:00"/>
    <n v="2"/>
    <n v="0.17"/>
    <x v="3"/>
  </r>
  <r>
    <n v="11036"/>
    <x v="57"/>
    <x v="6"/>
    <x v="467"/>
    <d v="1998-05-18T00:00:00"/>
    <d v="1998-04-22T00:00:00"/>
    <n v="3"/>
    <n v="149.47"/>
    <x v="1"/>
  </r>
  <r>
    <n v="11037"/>
    <x v="36"/>
    <x v="8"/>
    <x v="468"/>
    <d v="1998-05-19T00:00:00"/>
    <d v="1998-04-27T00:00:00"/>
    <n v="1"/>
    <n v="3.2"/>
    <x v="12"/>
  </r>
  <r>
    <n v="11038"/>
    <x v="4"/>
    <x v="5"/>
    <x v="468"/>
    <d v="1998-05-19T00:00:00"/>
    <d v="1998-04-30T00:00:00"/>
    <n v="2"/>
    <n v="29.59"/>
    <x v="3"/>
  </r>
  <r>
    <n v="11039"/>
    <x v="67"/>
    <x v="5"/>
    <x v="468"/>
    <d v="1998-05-19T00:00:00"/>
    <s v="NULL"/>
    <n v="2"/>
    <n v="65"/>
    <x v="5"/>
  </r>
  <r>
    <n v="11040"/>
    <x v="79"/>
    <x v="2"/>
    <x v="469"/>
    <d v="1998-05-20T00:00:00"/>
    <s v="NULL"/>
    <n v="3"/>
    <n v="18.84"/>
    <x v="8"/>
  </r>
  <r>
    <n v="11041"/>
    <x v="5"/>
    <x v="3"/>
    <x v="469"/>
    <d v="1998-05-20T00:00:00"/>
    <d v="1998-04-28T00:00:00"/>
    <n v="2"/>
    <n v="48.22"/>
    <x v="4"/>
  </r>
  <r>
    <n v="11042"/>
    <x v="32"/>
    <x v="7"/>
    <x v="469"/>
    <d v="1998-05-06T00:00:00"/>
    <d v="1998-05-01T00:00:00"/>
    <n v="1"/>
    <n v="29.99"/>
    <x v="2"/>
  </r>
  <r>
    <n v="11043"/>
    <x v="87"/>
    <x v="0"/>
    <x v="469"/>
    <d v="1998-05-20T00:00:00"/>
    <d v="1998-04-29T00:00:00"/>
    <n v="2"/>
    <n v="8.8000000000000007"/>
    <x v="0"/>
  </r>
  <r>
    <n v="11044"/>
    <x v="63"/>
    <x v="2"/>
    <x v="470"/>
    <d v="1998-05-21T00:00:00"/>
    <d v="1998-05-01T00:00:00"/>
    <n v="1"/>
    <n v="8.7200000000000006"/>
    <x v="18"/>
  </r>
  <r>
    <n v="11045"/>
    <x v="66"/>
    <x v="1"/>
    <x v="470"/>
    <d v="1998-05-21T00:00:00"/>
    <s v="NULL"/>
    <n v="2"/>
    <n v="70.58"/>
    <x v="16"/>
  </r>
  <r>
    <n v="11046"/>
    <x v="35"/>
    <x v="6"/>
    <x v="470"/>
    <d v="1998-05-21T00:00:00"/>
    <d v="1998-04-24T00:00:00"/>
    <n v="2"/>
    <n v="71.64"/>
    <x v="1"/>
  </r>
  <r>
    <n v="11047"/>
    <x v="58"/>
    <x v="8"/>
    <x v="471"/>
    <d v="1998-05-22T00:00:00"/>
    <d v="1998-05-01T00:00:00"/>
    <n v="3"/>
    <n v="46.62"/>
    <x v="13"/>
  </r>
  <r>
    <n v="11048"/>
    <x v="66"/>
    <x v="8"/>
    <x v="471"/>
    <d v="1998-05-22T00:00:00"/>
    <d v="1998-04-30T00:00:00"/>
    <n v="3"/>
    <n v="24.12"/>
    <x v="16"/>
  </r>
  <r>
    <n v="11049"/>
    <x v="71"/>
    <x v="3"/>
    <x v="471"/>
    <d v="1998-05-22T00:00:00"/>
    <d v="1998-05-04T00:00:00"/>
    <n v="1"/>
    <n v="8.34"/>
    <x v="2"/>
  </r>
  <r>
    <n v="11050"/>
    <x v="14"/>
    <x v="6"/>
    <x v="472"/>
    <d v="1998-05-25T00:00:00"/>
    <d v="1998-05-05T00:00:00"/>
    <n v="2"/>
    <n v="59.41"/>
    <x v="9"/>
  </r>
  <r>
    <n v="11051"/>
    <x v="53"/>
    <x v="8"/>
    <x v="472"/>
    <d v="1998-05-25T00:00:00"/>
    <s v="NULL"/>
    <n v="3"/>
    <n v="2.79"/>
    <x v="0"/>
  </r>
  <r>
    <n v="11052"/>
    <x v="2"/>
    <x v="3"/>
    <x v="472"/>
    <d v="1998-05-25T00:00:00"/>
    <d v="1998-05-01T00:00:00"/>
    <n v="1"/>
    <n v="67.260000000000005"/>
    <x v="2"/>
  </r>
  <r>
    <n v="11053"/>
    <x v="54"/>
    <x v="7"/>
    <x v="472"/>
    <d v="1998-05-25T00:00:00"/>
    <d v="1998-04-29T00:00:00"/>
    <n v="2"/>
    <n v="53.05"/>
    <x v="6"/>
  </r>
  <r>
    <n v="11054"/>
    <x v="78"/>
    <x v="6"/>
    <x v="473"/>
    <d v="1998-05-26T00:00:00"/>
    <s v="NULL"/>
    <n v="1"/>
    <n v="0.33"/>
    <x v="20"/>
  </r>
  <r>
    <n v="11055"/>
    <x v="8"/>
    <x v="8"/>
    <x v="473"/>
    <d v="1998-05-26T00:00:00"/>
    <d v="1998-05-05T00:00:00"/>
    <n v="2"/>
    <n v="120.92"/>
    <x v="5"/>
  </r>
  <r>
    <n v="11056"/>
    <x v="58"/>
    <x v="6"/>
    <x v="473"/>
    <d v="1998-05-12T00:00:00"/>
    <d v="1998-05-01T00:00:00"/>
    <n v="2"/>
    <n v="278.95999999999998"/>
    <x v="13"/>
  </r>
  <r>
    <n v="11057"/>
    <x v="77"/>
    <x v="3"/>
    <x v="474"/>
    <d v="1998-05-27T00:00:00"/>
    <d v="1998-05-01T00:00:00"/>
    <n v="3"/>
    <n v="4.13"/>
    <x v="13"/>
  </r>
  <r>
    <n v="11058"/>
    <x v="76"/>
    <x v="4"/>
    <x v="474"/>
    <d v="1998-05-27T00:00:00"/>
    <s v="NULL"/>
    <n v="3"/>
    <n v="31.14"/>
    <x v="1"/>
  </r>
  <r>
    <n v="11059"/>
    <x v="29"/>
    <x v="7"/>
    <x v="474"/>
    <d v="1998-06-10T00:00:00"/>
    <s v="NULL"/>
    <n v="2"/>
    <n v="85.8"/>
    <x v="2"/>
  </r>
  <r>
    <n v="11060"/>
    <x v="70"/>
    <x v="7"/>
    <x v="475"/>
    <d v="1998-05-28T00:00:00"/>
    <d v="1998-05-04T00:00:00"/>
    <n v="2"/>
    <n v="10.98"/>
    <x v="11"/>
  </r>
  <r>
    <n v="11061"/>
    <x v="79"/>
    <x v="2"/>
    <x v="475"/>
    <d v="1998-06-11T00:00:00"/>
    <s v="NULL"/>
    <n v="3"/>
    <n v="14.01"/>
    <x v="8"/>
  </r>
  <r>
    <n v="11062"/>
    <x v="30"/>
    <x v="2"/>
    <x v="475"/>
    <d v="1998-05-28T00:00:00"/>
    <s v="NULL"/>
    <n v="2"/>
    <n v="29.93"/>
    <x v="11"/>
  </r>
  <r>
    <n v="11063"/>
    <x v="34"/>
    <x v="3"/>
    <x v="475"/>
    <d v="1998-05-28T00:00:00"/>
    <d v="1998-05-06T00:00:00"/>
    <n v="2"/>
    <n v="81.73"/>
    <x v="14"/>
  </r>
  <r>
    <n v="11064"/>
    <x v="45"/>
    <x v="5"/>
    <x v="476"/>
    <d v="1998-05-29T00:00:00"/>
    <d v="1998-05-04T00:00:00"/>
    <n v="1"/>
    <n v="30.09"/>
    <x v="8"/>
  </r>
  <r>
    <n v="11065"/>
    <x v="28"/>
    <x v="6"/>
    <x v="476"/>
    <d v="1998-05-29T00:00:00"/>
    <s v="NULL"/>
    <n v="1"/>
    <n v="12.91"/>
    <x v="5"/>
  </r>
  <r>
    <n v="11066"/>
    <x v="19"/>
    <x v="8"/>
    <x v="476"/>
    <d v="1998-05-29T00:00:00"/>
    <d v="1998-05-04T00:00:00"/>
    <n v="2"/>
    <n v="44.72"/>
    <x v="8"/>
  </r>
  <r>
    <n v="11067"/>
    <x v="57"/>
    <x v="5"/>
    <x v="477"/>
    <d v="1998-05-18T00:00:00"/>
    <d v="1998-05-06T00:00:00"/>
    <n v="2"/>
    <n v="7.98"/>
    <x v="1"/>
  </r>
  <r>
    <n v="11068"/>
    <x v="62"/>
    <x v="6"/>
    <x v="477"/>
    <d v="1998-06-01T00:00:00"/>
    <s v="NULL"/>
    <n v="2"/>
    <n v="81.75"/>
    <x v="2"/>
  </r>
  <r>
    <n v="11069"/>
    <x v="23"/>
    <x v="5"/>
    <x v="477"/>
    <d v="1998-06-01T00:00:00"/>
    <d v="1998-05-06T00:00:00"/>
    <n v="2"/>
    <n v="15.67"/>
    <x v="7"/>
  </r>
  <r>
    <n v="11070"/>
    <x v="26"/>
    <x v="7"/>
    <x v="478"/>
    <d v="1998-06-02T00:00:00"/>
    <s v="NULL"/>
    <n v="1"/>
    <n v="136"/>
    <x v="1"/>
  </r>
  <r>
    <n v="11071"/>
    <x v="28"/>
    <x v="5"/>
    <x v="478"/>
    <d v="1998-06-02T00:00:00"/>
    <s v="NULL"/>
    <n v="1"/>
    <n v="0.93"/>
    <x v="5"/>
  </r>
  <r>
    <n v="11072"/>
    <x v="9"/>
    <x v="2"/>
    <x v="478"/>
    <d v="1998-06-02T00:00:00"/>
    <s v="NULL"/>
    <n v="2"/>
    <n v="258.64"/>
    <x v="6"/>
  </r>
  <r>
    <n v="11073"/>
    <x v="43"/>
    <x v="7"/>
    <x v="478"/>
    <d v="1998-06-02T00:00:00"/>
    <s v="NULL"/>
    <n v="2"/>
    <n v="24.95"/>
    <x v="7"/>
  </r>
  <r>
    <n v="11074"/>
    <x v="51"/>
    <x v="8"/>
    <x v="479"/>
    <d v="1998-06-03T00:00:00"/>
    <s v="NULL"/>
    <n v="2"/>
    <n v="18.440000000000001"/>
    <x v="17"/>
  </r>
  <r>
    <n v="11075"/>
    <x v="6"/>
    <x v="6"/>
    <x v="479"/>
    <d v="1998-06-03T00:00:00"/>
    <s v="NULL"/>
    <n v="2"/>
    <n v="6.19"/>
    <x v="4"/>
  </r>
  <r>
    <n v="11076"/>
    <x v="48"/>
    <x v="2"/>
    <x v="479"/>
    <d v="1998-06-03T00:00:00"/>
    <s v="NULL"/>
    <n v="2"/>
    <n v="38.28"/>
    <x v="0"/>
  </r>
  <r>
    <n v="11077"/>
    <x v="13"/>
    <x v="5"/>
    <x v="479"/>
    <d v="1998-06-03T00:00:00"/>
    <s v="NULL"/>
    <n v="2"/>
    <n v="8.5299999999999994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AEB8DC-D894-4341-974D-05F1212164EB}" name="TablaDinámica2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">
  <location ref="A16:B38" firstHeaderRow="1" firstDataRow="1" firstDataCol="1"/>
  <pivotFields count="9">
    <pivotField dataField="1" showAll="0"/>
    <pivotField showAll="0">
      <items count="90">
        <item x="85"/>
        <item x="39"/>
        <item x="59"/>
        <item x="55"/>
        <item x="25"/>
        <item x="76"/>
        <item x="15"/>
        <item x="46"/>
        <item x="48"/>
        <item x="66"/>
        <item x="31"/>
        <item x="78"/>
        <item x="10"/>
        <item x="5"/>
        <item x="32"/>
        <item x="72"/>
        <item x="57"/>
        <item x="41"/>
        <item x="58"/>
        <item x="9"/>
        <item x="52"/>
        <item x="68"/>
        <item x="14"/>
        <item x="17"/>
        <item x="86"/>
        <item x="70"/>
        <item x="47"/>
        <item x="60"/>
        <item x="36"/>
        <item x="71"/>
        <item x="79"/>
        <item x="18"/>
        <item x="2"/>
        <item x="8"/>
        <item x="64"/>
        <item x="34"/>
        <item x="42"/>
        <item x="44"/>
        <item x="88"/>
        <item x="53"/>
        <item x="75"/>
        <item x="74"/>
        <item x="26"/>
        <item x="82"/>
        <item x="28"/>
        <item x="67"/>
        <item x="38"/>
        <item x="22"/>
        <item x="80"/>
        <item x="49"/>
        <item x="24"/>
        <item x="77"/>
        <item x="69"/>
        <item x="37"/>
        <item x="11"/>
        <item x="43"/>
        <item x="54"/>
        <item x="50"/>
        <item x="12"/>
        <item x="62"/>
        <item x="21"/>
        <item x="73"/>
        <item x="13"/>
        <item x="30"/>
        <item x="29"/>
        <item x="6"/>
        <item x="27"/>
        <item x="65"/>
        <item x="45"/>
        <item x="56"/>
        <item x="51"/>
        <item x="87"/>
        <item x="20"/>
        <item x="4"/>
        <item x="40"/>
        <item x="84"/>
        <item x="1"/>
        <item x="23"/>
        <item x="33"/>
        <item x="81"/>
        <item x="61"/>
        <item x="3"/>
        <item x="0"/>
        <item x="35"/>
        <item x="16"/>
        <item x="7"/>
        <item x="19"/>
        <item x="83"/>
        <item x="63"/>
        <item t="default"/>
      </items>
    </pivotField>
    <pivotField axis="axisRow" showAll="0">
      <items count="10">
        <item x="5"/>
        <item x="7"/>
        <item x="3"/>
        <item x="2"/>
        <item x="0"/>
        <item x="1"/>
        <item x="8"/>
        <item x="6"/>
        <item x="4"/>
        <item t="default"/>
      </items>
    </pivotField>
    <pivotField numFmtId="47" showAll="0">
      <items count="4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t="default"/>
      </items>
    </pivotField>
    <pivotField numFmtId="47" showAll="0"/>
    <pivotField showAll="0"/>
    <pivotField showAll="0"/>
    <pivotField showAll="0"/>
    <pivotField axis="axisRow" showAll="0">
      <items count="22">
        <item sd="0" x="20"/>
        <item sd="0" x="6"/>
        <item sd="0" x="3"/>
        <item sd="0" x="2"/>
        <item sd="0" x="16"/>
        <item sd="0" x="17"/>
        <item sd="0" x="10"/>
        <item sd="0" x="0"/>
        <item sd="0" x="1"/>
        <item sd="0" x="14"/>
        <item sd="0" x="11"/>
        <item sd="0" x="7"/>
        <item sd="0" x="19"/>
        <item sd="0" x="18"/>
        <item sd="0" x="15"/>
        <item sd="0" x="12"/>
        <item sd="0" x="9"/>
        <item sd="0" x="4"/>
        <item sd="0" x="13"/>
        <item sd="0" x="8"/>
        <item sd="0" x="5"/>
        <item t="default" sd="0"/>
      </items>
    </pivotField>
  </pivotFields>
  <rowFields count="2">
    <field x="8"/>
    <field x="2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Cuenta de order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8" name="orderDate">
      <autoFilter ref="A1">
        <filterColumn colId="0">
          <customFilters and="1">
            <customFilter operator="greaterThanOrEqual" val="35065"/>
            <customFilter operator="lessThanOrEqual" val="3579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B05B86-4290-7040-BBE3-C8EDA7D9C92B}" name="TablaDiná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B11" firstHeaderRow="1" firstDataRow="1" firstDataCol="1"/>
  <pivotFields count="9">
    <pivotField showAll="0"/>
    <pivotField showAll="0"/>
    <pivotField axis="axisRow" dataField="1" showAll="0">
      <items count="10">
        <item x="5"/>
        <item x="7"/>
        <item x="3"/>
        <item x="2"/>
        <item x="0"/>
        <item x="1"/>
        <item x="8"/>
        <item x="6"/>
        <item x="4"/>
        <item t="default"/>
      </items>
    </pivotField>
    <pivotField numFmtId="47" showAll="0"/>
    <pivotField numFmtId="47" showAll="0"/>
    <pivotField showAll="0"/>
    <pivotField showAll="0"/>
    <pivotField showAll="0"/>
    <pivotField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a de employeeID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D1DE1D-F6FA-3346-ADEC-CA8CE459E62C}" name="Orders" displayName="Orders" ref="A1:I831" totalsRowShown="0">
  <autoFilter ref="A1:I831" xr:uid="{53D1DE1D-F6FA-3346-ADEC-CA8CE459E62C}"/>
  <sortState xmlns:xlrd2="http://schemas.microsoft.com/office/spreadsheetml/2017/richdata2" ref="A2:I831">
    <sortCondition ref="A1:A831"/>
  </sortState>
  <tableColumns count="9">
    <tableColumn id="1" xr3:uid="{DB5B04EE-3501-6B48-9102-65B93348693C}" name="orderID"/>
    <tableColumn id="2" xr3:uid="{59B289CC-78F4-0C44-98D9-5E4BEC04B6FF}" name="customerID"/>
    <tableColumn id="3" xr3:uid="{AF60552A-7DB6-D649-83AF-7D24C7A5C4D0}" name="employeeID"/>
    <tableColumn id="4" xr3:uid="{6C64243E-C51C-FA49-8058-83DFEB3D9E86}" name="orderDate" dataDxfId="2"/>
    <tableColumn id="5" xr3:uid="{58E9252F-7619-AD42-BD69-20FB2284A401}" name="requiredDate" dataDxfId="1"/>
    <tableColumn id="6" xr3:uid="{73C4EDA8-0806-4642-9E30-C62FA70ADC3E}" name="shippedDate" dataDxfId="0"/>
    <tableColumn id="7" xr3:uid="{4383C530-D63F-F248-B7A1-BC403CBE09A8}" name="shipVia"/>
    <tableColumn id="8" xr3:uid="{79675B3E-2D76-604F-A706-E506F8BE7DFD}" name="freight"/>
    <tableColumn id="9" xr3:uid="{2CF6691E-959D-B740-A193-E4E53A9F8772}" name="ship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orderDate" xr10:uid="{ACB83D18-4E05-4745-9500-55DDF4DD9E76}" sourceName="orderDate">
  <pivotTables>
    <pivotTable tabId="3" name="TablaDinámica2"/>
  </pivotTables>
  <state minimalRefreshVersion="6" lastRefreshVersion="6" pivotCacheId="1168502984" filterType="dateBetween">
    <selection startDate="1996-01-01T00:00:00" endDate="1997-12-31T00:00:00"/>
    <bounds startDate="1996-01-01T00:00:00" endDate="1999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Date" xr10:uid="{E3EA8EC0-6986-7A4B-8335-CBCABAC9C2FC}" cache="NativeTimeline_orderDate" caption="orderDate" level="0" selectionLevel="0" scrollPosition="1996-01-01T00:00:00"/>
</timeline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FA086-9410-574A-87B9-E7193A447F4F}">
  <sheetPr codeName="Hoja1"/>
  <dimension ref="A1:Q831"/>
  <sheetViews>
    <sheetView topLeftCell="J1" zoomScale="200" workbookViewId="0">
      <selection activeCell="P1" sqref="P1:P1048576"/>
    </sheetView>
  </sheetViews>
  <sheetFormatPr baseColWidth="10" defaultRowHeight="16" x14ac:dyDescent="0.2"/>
  <cols>
    <col min="15" max="16" width="11" customWidth="1"/>
    <col min="17" max="17" width="10.83203125" customWidth="1"/>
  </cols>
  <sheetData>
    <row r="1" spans="1:1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P1" t="s">
        <v>13</v>
      </c>
      <c r="Q1" t="s">
        <v>13</v>
      </c>
    </row>
    <row r="2" spans="1:17" x14ac:dyDescent="0.2">
      <c r="A2">
        <v>10248</v>
      </c>
      <c r="B2" t="s">
        <v>14</v>
      </c>
      <c r="C2">
        <v>5</v>
      </c>
      <c r="D2" s="1">
        <v>35250</v>
      </c>
      <c r="E2" s="1">
        <v>35278</v>
      </c>
      <c r="F2" s="1">
        <v>35262</v>
      </c>
      <c r="G2">
        <v>3</v>
      </c>
      <c r="H2">
        <v>32.380000000000003</v>
      </c>
      <c r="I2" t="s">
        <v>15</v>
      </c>
      <c r="J2" t="s">
        <v>16</v>
      </c>
      <c r="K2" t="s">
        <v>17</v>
      </c>
      <c r="L2" t="s">
        <v>18</v>
      </c>
      <c r="M2">
        <v>51100</v>
      </c>
      <c r="N2" t="s">
        <v>19</v>
      </c>
      <c r="P2" t="s">
        <v>19</v>
      </c>
      <c r="Q2" t="s">
        <v>19</v>
      </c>
    </row>
    <row r="3" spans="1:17" x14ac:dyDescent="0.2">
      <c r="A3">
        <v>10249</v>
      </c>
      <c r="B3" t="s">
        <v>20</v>
      </c>
      <c r="C3">
        <v>6</v>
      </c>
      <c r="D3" s="1">
        <v>35251</v>
      </c>
      <c r="E3" s="1">
        <v>35293</v>
      </c>
      <c r="F3" s="1">
        <v>35256</v>
      </c>
      <c r="G3">
        <v>1</v>
      </c>
      <c r="H3">
        <v>11.61</v>
      </c>
      <c r="I3" t="s">
        <v>21</v>
      </c>
      <c r="J3" t="s">
        <v>22</v>
      </c>
      <c r="K3" t="s">
        <v>23</v>
      </c>
      <c r="L3" t="s">
        <v>18</v>
      </c>
      <c r="M3">
        <v>44087</v>
      </c>
      <c r="N3" t="s">
        <v>24</v>
      </c>
      <c r="P3" t="s">
        <v>24</v>
      </c>
      <c r="Q3" t="s">
        <v>24</v>
      </c>
    </row>
    <row r="4" spans="1:17" x14ac:dyDescent="0.2">
      <c r="A4">
        <v>10250</v>
      </c>
      <c r="B4" t="s">
        <v>25</v>
      </c>
      <c r="C4">
        <v>4</v>
      </c>
      <c r="D4" s="1">
        <v>35254</v>
      </c>
      <c r="E4" s="1">
        <v>35282</v>
      </c>
      <c r="F4" s="1">
        <v>35258</v>
      </c>
      <c r="G4">
        <v>2</v>
      </c>
      <c r="H4">
        <v>65.83</v>
      </c>
      <c r="I4" t="s">
        <v>26</v>
      </c>
      <c r="J4" t="s">
        <v>27</v>
      </c>
      <c r="K4">
        <v>67</v>
      </c>
      <c r="L4" t="s">
        <v>28</v>
      </c>
      <c r="M4" t="s">
        <v>29</v>
      </c>
      <c r="N4" t="s">
        <v>30</v>
      </c>
      <c r="O4" t="s">
        <v>31</v>
      </c>
      <c r="P4" t="s">
        <v>31</v>
      </c>
      <c r="Q4" t="s">
        <v>31</v>
      </c>
    </row>
    <row r="5" spans="1:17" x14ac:dyDescent="0.2">
      <c r="A5">
        <v>10251</v>
      </c>
      <c r="B5" t="s">
        <v>32</v>
      </c>
      <c r="C5">
        <v>3</v>
      </c>
      <c r="D5" s="1">
        <v>35254</v>
      </c>
      <c r="E5" s="1">
        <v>35282</v>
      </c>
      <c r="F5" s="1">
        <v>35261</v>
      </c>
      <c r="G5">
        <v>1</v>
      </c>
      <c r="H5">
        <v>41.34</v>
      </c>
      <c r="I5" t="s">
        <v>33</v>
      </c>
      <c r="J5">
        <v>2</v>
      </c>
      <c r="K5" t="s">
        <v>34</v>
      </c>
      <c r="L5" t="s">
        <v>35</v>
      </c>
      <c r="M5" t="s">
        <v>18</v>
      </c>
      <c r="N5">
        <v>69004</v>
      </c>
      <c r="O5" t="s">
        <v>19</v>
      </c>
      <c r="P5" t="s">
        <v>19</v>
      </c>
      <c r="Q5" t="s">
        <v>19</v>
      </c>
    </row>
    <row r="6" spans="1:17" x14ac:dyDescent="0.2">
      <c r="A6">
        <v>10252</v>
      </c>
      <c r="B6" t="s">
        <v>36</v>
      </c>
      <c r="C6">
        <v>4</v>
      </c>
      <c r="D6" s="1">
        <v>35255</v>
      </c>
      <c r="E6" s="1">
        <v>35283</v>
      </c>
      <c r="F6" s="1">
        <v>35257</v>
      </c>
      <c r="G6">
        <v>2</v>
      </c>
      <c r="H6">
        <v>51.3</v>
      </c>
      <c r="I6" t="s">
        <v>37</v>
      </c>
      <c r="J6" t="s">
        <v>38</v>
      </c>
      <c r="K6">
        <v>255</v>
      </c>
      <c r="L6" t="s">
        <v>39</v>
      </c>
      <c r="M6" t="s">
        <v>18</v>
      </c>
      <c r="N6" t="s">
        <v>40</v>
      </c>
      <c r="O6" t="s">
        <v>41</v>
      </c>
      <c r="P6" t="s">
        <v>41</v>
      </c>
      <c r="Q6" t="s">
        <v>41</v>
      </c>
    </row>
    <row r="7" spans="1:17" x14ac:dyDescent="0.2">
      <c r="A7">
        <v>10253</v>
      </c>
      <c r="B7" t="s">
        <v>25</v>
      </c>
      <c r="C7">
        <v>3</v>
      </c>
      <c r="D7" s="1">
        <v>35256</v>
      </c>
      <c r="E7" s="1">
        <v>35270</v>
      </c>
      <c r="F7" s="1">
        <v>35262</v>
      </c>
      <c r="G7">
        <v>2</v>
      </c>
      <c r="H7">
        <v>58.17</v>
      </c>
      <c r="I7" t="s">
        <v>26</v>
      </c>
      <c r="J7" t="s">
        <v>27</v>
      </c>
      <c r="K7">
        <v>67</v>
      </c>
      <c r="L7" t="s">
        <v>28</v>
      </c>
      <c r="M7" t="s">
        <v>29</v>
      </c>
      <c r="N7" t="s">
        <v>30</v>
      </c>
      <c r="O7" t="s">
        <v>31</v>
      </c>
      <c r="P7" t="s">
        <v>31</v>
      </c>
      <c r="Q7" t="s">
        <v>31</v>
      </c>
    </row>
    <row r="8" spans="1:17" x14ac:dyDescent="0.2">
      <c r="A8">
        <v>10254</v>
      </c>
      <c r="B8" t="s">
        <v>42</v>
      </c>
      <c r="C8">
        <v>5</v>
      </c>
      <c r="D8" s="1">
        <v>35257</v>
      </c>
      <c r="E8" s="1">
        <v>35285</v>
      </c>
      <c r="F8" s="1">
        <v>35269</v>
      </c>
      <c r="G8">
        <v>2</v>
      </c>
      <c r="H8">
        <v>22.98</v>
      </c>
      <c r="I8" t="s">
        <v>43</v>
      </c>
      <c r="J8" t="s">
        <v>44</v>
      </c>
      <c r="K8" t="s">
        <v>45</v>
      </c>
      <c r="L8" t="s">
        <v>18</v>
      </c>
      <c r="M8">
        <v>3012</v>
      </c>
      <c r="N8" t="s">
        <v>46</v>
      </c>
      <c r="P8" t="s">
        <v>46</v>
      </c>
      <c r="Q8" t="s">
        <v>46</v>
      </c>
    </row>
    <row r="9" spans="1:17" x14ac:dyDescent="0.2">
      <c r="A9">
        <v>10255</v>
      </c>
      <c r="B9" t="s">
        <v>47</v>
      </c>
      <c r="C9">
        <v>9</v>
      </c>
      <c r="D9" s="1">
        <v>35258</v>
      </c>
      <c r="E9" s="1">
        <v>35286</v>
      </c>
      <c r="F9" s="1">
        <v>35261</v>
      </c>
      <c r="G9">
        <v>3</v>
      </c>
      <c r="H9">
        <v>148.33000000000001</v>
      </c>
      <c r="I9" t="s">
        <v>48</v>
      </c>
      <c r="J9" t="s">
        <v>49</v>
      </c>
      <c r="K9" t="s">
        <v>50</v>
      </c>
      <c r="L9" t="s">
        <v>18</v>
      </c>
      <c r="M9">
        <v>1204</v>
      </c>
      <c r="N9" t="s">
        <v>46</v>
      </c>
      <c r="P9" t="s">
        <v>46</v>
      </c>
      <c r="Q9" t="s">
        <v>46</v>
      </c>
    </row>
    <row r="10" spans="1:17" x14ac:dyDescent="0.2">
      <c r="A10">
        <v>10256</v>
      </c>
      <c r="B10" t="s">
        <v>51</v>
      </c>
      <c r="C10">
        <v>3</v>
      </c>
      <c r="D10" s="1">
        <v>35261</v>
      </c>
      <c r="E10" s="1">
        <v>35289</v>
      </c>
      <c r="F10" s="1">
        <v>35263</v>
      </c>
      <c r="G10">
        <v>2</v>
      </c>
      <c r="H10">
        <v>13.97</v>
      </c>
      <c r="I10" t="s">
        <v>52</v>
      </c>
      <c r="J10" t="s">
        <v>53</v>
      </c>
      <c r="K10">
        <v>12</v>
      </c>
      <c r="L10" t="s">
        <v>54</v>
      </c>
      <c r="M10" t="s">
        <v>55</v>
      </c>
      <c r="N10" t="s">
        <v>56</v>
      </c>
      <c r="O10" t="s">
        <v>31</v>
      </c>
      <c r="P10" t="s">
        <v>31</v>
      </c>
      <c r="Q10" t="s">
        <v>31</v>
      </c>
    </row>
    <row r="11" spans="1:17" x14ac:dyDescent="0.2">
      <c r="A11">
        <v>10257</v>
      </c>
      <c r="B11" t="s">
        <v>57</v>
      </c>
      <c r="C11">
        <v>4</v>
      </c>
      <c r="D11" s="1">
        <v>35262</v>
      </c>
      <c r="E11" s="1">
        <v>35290</v>
      </c>
      <c r="F11" s="1">
        <v>35268</v>
      </c>
      <c r="G11">
        <v>3</v>
      </c>
      <c r="H11">
        <v>81.91</v>
      </c>
      <c r="I11" t="s">
        <v>58</v>
      </c>
      <c r="J11" t="s">
        <v>59</v>
      </c>
      <c r="K11" t="s">
        <v>60</v>
      </c>
      <c r="L11" t="s">
        <v>61</v>
      </c>
      <c r="M11">
        <v>5022</v>
      </c>
      <c r="N11" t="s">
        <v>62</v>
      </c>
      <c r="P11" t="s">
        <v>62</v>
      </c>
      <c r="Q11" t="s">
        <v>62</v>
      </c>
    </row>
    <row r="12" spans="1:17" x14ac:dyDescent="0.2">
      <c r="A12">
        <v>10258</v>
      </c>
      <c r="B12" t="s">
        <v>63</v>
      </c>
      <c r="C12">
        <v>1</v>
      </c>
      <c r="D12" s="1">
        <v>35263</v>
      </c>
      <c r="E12" s="1">
        <v>35291</v>
      </c>
      <c r="F12" s="1">
        <v>35269</v>
      </c>
      <c r="G12">
        <v>1</v>
      </c>
      <c r="H12">
        <v>140.51</v>
      </c>
      <c r="I12" t="s">
        <v>64</v>
      </c>
      <c r="J12" t="s">
        <v>65</v>
      </c>
      <c r="K12" t="s">
        <v>66</v>
      </c>
      <c r="L12" t="s">
        <v>18</v>
      </c>
      <c r="M12">
        <v>8010</v>
      </c>
      <c r="N12" t="s">
        <v>67</v>
      </c>
      <c r="P12" t="s">
        <v>67</v>
      </c>
      <c r="Q12" t="s">
        <v>67</v>
      </c>
    </row>
    <row r="13" spans="1:17" x14ac:dyDescent="0.2">
      <c r="A13">
        <v>10259</v>
      </c>
      <c r="B13" t="s">
        <v>68</v>
      </c>
      <c r="C13">
        <v>4</v>
      </c>
      <c r="D13" s="1">
        <v>35264</v>
      </c>
      <c r="E13" s="1">
        <v>35292</v>
      </c>
      <c r="F13" s="1">
        <v>35271</v>
      </c>
      <c r="G13">
        <v>3</v>
      </c>
      <c r="H13">
        <v>3.25</v>
      </c>
      <c r="I13" t="s">
        <v>69</v>
      </c>
      <c r="J13" t="s">
        <v>70</v>
      </c>
      <c r="K13" t="s">
        <v>71</v>
      </c>
      <c r="L13" t="s">
        <v>18</v>
      </c>
      <c r="M13" s="2" t="s">
        <v>72</v>
      </c>
      <c r="N13" t="s">
        <v>73</v>
      </c>
      <c r="P13" t="s">
        <v>73</v>
      </c>
      <c r="Q13" t="s">
        <v>73</v>
      </c>
    </row>
    <row r="14" spans="1:17" x14ac:dyDescent="0.2">
      <c r="A14">
        <v>10260</v>
      </c>
      <c r="B14" t="s">
        <v>74</v>
      </c>
      <c r="C14">
        <v>4</v>
      </c>
      <c r="D14" s="1">
        <v>35265</v>
      </c>
      <c r="E14" s="1">
        <v>35293</v>
      </c>
      <c r="F14" s="1">
        <v>35275</v>
      </c>
      <c r="G14">
        <v>1</v>
      </c>
      <c r="H14">
        <v>55.09</v>
      </c>
      <c r="I14" t="s">
        <v>75</v>
      </c>
      <c r="J14" t="s">
        <v>76</v>
      </c>
      <c r="K14" t="s">
        <v>77</v>
      </c>
      <c r="L14" t="s">
        <v>18</v>
      </c>
      <c r="M14">
        <v>50739</v>
      </c>
      <c r="N14" t="s">
        <v>24</v>
      </c>
      <c r="P14" t="s">
        <v>24</v>
      </c>
      <c r="Q14" t="s">
        <v>24</v>
      </c>
    </row>
    <row r="15" spans="1:17" x14ac:dyDescent="0.2">
      <c r="A15">
        <v>10261</v>
      </c>
      <c r="B15" t="s">
        <v>78</v>
      </c>
      <c r="C15">
        <v>4</v>
      </c>
      <c r="D15" s="1">
        <v>35265</v>
      </c>
      <c r="E15" s="1">
        <v>35293</v>
      </c>
      <c r="F15" s="1">
        <v>35276</v>
      </c>
      <c r="G15">
        <v>2</v>
      </c>
      <c r="H15">
        <v>3.05</v>
      </c>
      <c r="I15" t="s">
        <v>79</v>
      </c>
      <c r="J15" t="s">
        <v>80</v>
      </c>
      <c r="K15">
        <v>12</v>
      </c>
      <c r="L15" t="s">
        <v>28</v>
      </c>
      <c r="M15" t="s">
        <v>29</v>
      </c>
      <c r="N15" t="s">
        <v>81</v>
      </c>
      <c r="O15" t="s">
        <v>31</v>
      </c>
      <c r="P15" t="s">
        <v>31</v>
      </c>
      <c r="Q15" t="s">
        <v>31</v>
      </c>
    </row>
    <row r="16" spans="1:17" x14ac:dyDescent="0.2">
      <c r="A16">
        <v>10262</v>
      </c>
      <c r="B16" t="s">
        <v>82</v>
      </c>
      <c r="C16">
        <v>8</v>
      </c>
      <c r="D16" s="1">
        <v>35268</v>
      </c>
      <c r="E16" s="1">
        <v>35296</v>
      </c>
      <c r="F16" s="1">
        <v>35271</v>
      </c>
      <c r="G16">
        <v>3</v>
      </c>
      <c r="H16">
        <v>48.29</v>
      </c>
      <c r="I16" t="s">
        <v>83</v>
      </c>
      <c r="J16" t="s">
        <v>84</v>
      </c>
      <c r="K16" t="s">
        <v>85</v>
      </c>
      <c r="L16" t="s">
        <v>86</v>
      </c>
      <c r="M16">
        <v>87110</v>
      </c>
      <c r="N16" t="s">
        <v>87</v>
      </c>
      <c r="P16" t="s">
        <v>87</v>
      </c>
      <c r="Q16" t="s">
        <v>87</v>
      </c>
    </row>
    <row r="17" spans="1:17" x14ac:dyDescent="0.2">
      <c r="A17">
        <v>10263</v>
      </c>
      <c r="B17" t="s">
        <v>63</v>
      </c>
      <c r="C17">
        <v>9</v>
      </c>
      <c r="D17" s="1">
        <v>35269</v>
      </c>
      <c r="E17" s="1">
        <v>35297</v>
      </c>
      <c r="F17" s="1">
        <v>35277</v>
      </c>
      <c r="G17">
        <v>3</v>
      </c>
      <c r="H17">
        <v>146.06</v>
      </c>
      <c r="I17" t="s">
        <v>64</v>
      </c>
      <c r="J17" t="s">
        <v>65</v>
      </c>
      <c r="K17" t="s">
        <v>66</v>
      </c>
      <c r="L17" t="s">
        <v>18</v>
      </c>
      <c r="M17">
        <v>8010</v>
      </c>
      <c r="N17" t="s">
        <v>67</v>
      </c>
      <c r="P17" t="s">
        <v>67</v>
      </c>
      <c r="Q17" t="s">
        <v>67</v>
      </c>
    </row>
    <row r="18" spans="1:17" x14ac:dyDescent="0.2">
      <c r="A18">
        <v>10264</v>
      </c>
      <c r="B18" t="s">
        <v>88</v>
      </c>
      <c r="C18">
        <v>6</v>
      </c>
      <c r="D18" s="1">
        <v>35270</v>
      </c>
      <c r="E18" s="1">
        <v>35298</v>
      </c>
      <c r="F18" s="1">
        <v>35300</v>
      </c>
      <c r="G18">
        <v>3</v>
      </c>
      <c r="H18">
        <v>3.67</v>
      </c>
      <c r="I18" t="s">
        <v>89</v>
      </c>
      <c r="J18" t="s">
        <v>90</v>
      </c>
      <c r="K18" t="s">
        <v>91</v>
      </c>
      <c r="L18" t="s">
        <v>18</v>
      </c>
      <c r="M18" t="s">
        <v>92</v>
      </c>
      <c r="N18" t="s">
        <v>93</v>
      </c>
      <c r="P18" t="s">
        <v>93</v>
      </c>
      <c r="Q18" t="s">
        <v>93</v>
      </c>
    </row>
    <row r="19" spans="1:17" x14ac:dyDescent="0.2">
      <c r="A19">
        <v>10265</v>
      </c>
      <c r="B19" t="s">
        <v>94</v>
      </c>
      <c r="C19">
        <v>2</v>
      </c>
      <c r="D19" s="1">
        <v>35271</v>
      </c>
      <c r="E19" s="1">
        <v>35299</v>
      </c>
      <c r="F19" s="1">
        <v>35289</v>
      </c>
      <c r="G19">
        <v>1</v>
      </c>
      <c r="H19">
        <v>55.28</v>
      </c>
      <c r="I19" t="s">
        <v>95</v>
      </c>
      <c r="J19">
        <v>24</v>
      </c>
      <c r="K19" t="s">
        <v>96</v>
      </c>
      <c r="L19" t="s">
        <v>97</v>
      </c>
      <c r="M19" t="s">
        <v>18</v>
      </c>
      <c r="N19">
        <v>67000</v>
      </c>
      <c r="O19" t="s">
        <v>19</v>
      </c>
      <c r="P19" t="s">
        <v>19</v>
      </c>
      <c r="Q19" t="s">
        <v>19</v>
      </c>
    </row>
    <row r="20" spans="1:17" x14ac:dyDescent="0.2">
      <c r="A20">
        <v>10266</v>
      </c>
      <c r="B20" t="s">
        <v>98</v>
      </c>
      <c r="C20">
        <v>3</v>
      </c>
      <c r="D20" s="1">
        <v>35272</v>
      </c>
      <c r="E20" s="1">
        <v>35314</v>
      </c>
      <c r="F20" s="1">
        <v>35277</v>
      </c>
      <c r="G20">
        <v>3</v>
      </c>
      <c r="H20">
        <v>25.73</v>
      </c>
      <c r="I20" t="s">
        <v>99</v>
      </c>
      <c r="J20" t="s">
        <v>100</v>
      </c>
      <c r="K20" t="s">
        <v>101</v>
      </c>
      <c r="L20" t="s">
        <v>18</v>
      </c>
      <c r="M20">
        <v>90110</v>
      </c>
      <c r="N20" t="s">
        <v>102</v>
      </c>
      <c r="P20" t="s">
        <v>102</v>
      </c>
      <c r="Q20" t="s">
        <v>102</v>
      </c>
    </row>
    <row r="21" spans="1:17" x14ac:dyDescent="0.2">
      <c r="A21">
        <v>10267</v>
      </c>
      <c r="B21" t="s">
        <v>103</v>
      </c>
      <c r="C21">
        <v>4</v>
      </c>
      <c r="D21" s="1">
        <v>35275</v>
      </c>
      <c r="E21" s="1">
        <v>35303</v>
      </c>
      <c r="F21" s="1">
        <v>35283</v>
      </c>
      <c r="G21">
        <v>1</v>
      </c>
      <c r="H21">
        <v>208.58</v>
      </c>
      <c r="I21" t="s">
        <v>104</v>
      </c>
      <c r="J21" t="s">
        <v>105</v>
      </c>
      <c r="K21" t="s">
        <v>106</v>
      </c>
      <c r="L21" t="s">
        <v>18</v>
      </c>
      <c r="M21">
        <v>80805</v>
      </c>
      <c r="N21" t="s">
        <v>24</v>
      </c>
      <c r="P21" t="s">
        <v>24</v>
      </c>
      <c r="Q21" t="s">
        <v>24</v>
      </c>
    </row>
    <row r="22" spans="1:17" x14ac:dyDescent="0.2">
      <c r="A22">
        <v>10268</v>
      </c>
      <c r="B22" t="s">
        <v>107</v>
      </c>
      <c r="C22">
        <v>8</v>
      </c>
      <c r="D22" s="1">
        <v>35276</v>
      </c>
      <c r="E22" s="1">
        <v>35304</v>
      </c>
      <c r="F22" s="1">
        <v>35279</v>
      </c>
      <c r="G22">
        <v>3</v>
      </c>
      <c r="H22">
        <v>66.290000000000006</v>
      </c>
      <c r="I22" t="s">
        <v>108</v>
      </c>
      <c r="J22" t="s">
        <v>109</v>
      </c>
      <c r="K22" t="s">
        <v>110</v>
      </c>
      <c r="L22" t="s">
        <v>111</v>
      </c>
      <c r="M22">
        <v>1081</v>
      </c>
      <c r="N22" t="s">
        <v>62</v>
      </c>
      <c r="P22" t="s">
        <v>62</v>
      </c>
      <c r="Q22" t="s">
        <v>62</v>
      </c>
    </row>
    <row r="23" spans="1:17" x14ac:dyDescent="0.2">
      <c r="A23">
        <v>10269</v>
      </c>
      <c r="B23" t="s">
        <v>112</v>
      </c>
      <c r="C23">
        <v>5</v>
      </c>
      <c r="D23" s="1">
        <v>35277</v>
      </c>
      <c r="E23" s="1">
        <v>35291</v>
      </c>
      <c r="F23" s="1">
        <v>35286</v>
      </c>
      <c r="G23">
        <v>1</v>
      </c>
      <c r="H23">
        <v>4.5599999999999996</v>
      </c>
      <c r="I23" t="s">
        <v>113</v>
      </c>
      <c r="J23" t="s">
        <v>114</v>
      </c>
      <c r="K23" t="s">
        <v>115</v>
      </c>
      <c r="L23" t="s">
        <v>116</v>
      </c>
      <c r="M23">
        <v>98124</v>
      </c>
      <c r="N23" t="s">
        <v>87</v>
      </c>
      <c r="P23" t="s">
        <v>87</v>
      </c>
      <c r="Q23" t="s">
        <v>87</v>
      </c>
    </row>
    <row r="24" spans="1:17" x14ac:dyDescent="0.2">
      <c r="A24">
        <v>10270</v>
      </c>
      <c r="B24" t="s">
        <v>98</v>
      </c>
      <c r="C24">
        <v>1</v>
      </c>
      <c r="D24" s="1">
        <v>35278</v>
      </c>
      <c r="E24" s="1">
        <v>35306</v>
      </c>
      <c r="F24" s="1">
        <v>35279</v>
      </c>
      <c r="G24">
        <v>1</v>
      </c>
      <c r="H24">
        <v>136.54</v>
      </c>
      <c r="I24" t="s">
        <v>99</v>
      </c>
      <c r="J24" t="s">
        <v>100</v>
      </c>
      <c r="K24" t="s">
        <v>101</v>
      </c>
      <c r="L24" t="s">
        <v>18</v>
      </c>
      <c r="M24">
        <v>90110</v>
      </c>
      <c r="N24" t="s">
        <v>102</v>
      </c>
      <c r="P24" t="s">
        <v>102</v>
      </c>
      <c r="Q24" t="s">
        <v>102</v>
      </c>
    </row>
    <row r="25" spans="1:17" x14ac:dyDescent="0.2">
      <c r="A25">
        <v>10271</v>
      </c>
      <c r="B25" t="s">
        <v>117</v>
      </c>
      <c r="C25">
        <v>6</v>
      </c>
      <c r="D25" s="1">
        <v>35278</v>
      </c>
      <c r="E25" s="1">
        <v>35306</v>
      </c>
      <c r="F25" s="1">
        <v>35307</v>
      </c>
      <c r="G25">
        <v>2</v>
      </c>
      <c r="H25">
        <v>4.54</v>
      </c>
      <c r="I25" t="s">
        <v>118</v>
      </c>
      <c r="J25" t="s">
        <v>119</v>
      </c>
      <c r="K25" t="s">
        <v>120</v>
      </c>
      <c r="L25" t="s">
        <v>121</v>
      </c>
      <c r="M25">
        <v>82520</v>
      </c>
      <c r="N25" t="s">
        <v>87</v>
      </c>
      <c r="P25" t="s">
        <v>87</v>
      </c>
      <c r="Q25" t="s">
        <v>87</v>
      </c>
    </row>
    <row r="26" spans="1:17" x14ac:dyDescent="0.2">
      <c r="A26">
        <v>10272</v>
      </c>
      <c r="B26" t="s">
        <v>82</v>
      </c>
      <c r="C26">
        <v>6</v>
      </c>
      <c r="D26" s="1">
        <v>35279</v>
      </c>
      <c r="E26" s="1">
        <v>35307</v>
      </c>
      <c r="F26" s="1">
        <v>35283</v>
      </c>
      <c r="G26">
        <v>2</v>
      </c>
      <c r="H26">
        <v>98.03</v>
      </c>
      <c r="I26" t="s">
        <v>83</v>
      </c>
      <c r="J26" t="s">
        <v>84</v>
      </c>
      <c r="K26" t="s">
        <v>85</v>
      </c>
      <c r="L26" t="s">
        <v>86</v>
      </c>
      <c r="M26">
        <v>87110</v>
      </c>
      <c r="N26" t="s">
        <v>87</v>
      </c>
      <c r="P26" t="s">
        <v>87</v>
      </c>
      <c r="Q26" t="s">
        <v>87</v>
      </c>
    </row>
    <row r="27" spans="1:17" x14ac:dyDescent="0.2">
      <c r="A27">
        <v>10273</v>
      </c>
      <c r="B27" t="s">
        <v>122</v>
      </c>
      <c r="C27">
        <v>3</v>
      </c>
      <c r="D27" s="1">
        <v>35282</v>
      </c>
      <c r="E27" s="1">
        <v>35310</v>
      </c>
      <c r="F27" s="1">
        <v>35289</v>
      </c>
      <c r="G27">
        <v>3</v>
      </c>
      <c r="H27">
        <v>76.069999999999993</v>
      </c>
      <c r="I27" t="s">
        <v>123</v>
      </c>
      <c r="J27" t="s">
        <v>124</v>
      </c>
      <c r="K27" t="s">
        <v>125</v>
      </c>
      <c r="L27" t="s">
        <v>18</v>
      </c>
      <c r="M27" s="2" t="s">
        <v>126</v>
      </c>
      <c r="N27" t="s">
        <v>24</v>
      </c>
      <c r="P27" t="s">
        <v>24</v>
      </c>
      <c r="Q27" t="s">
        <v>24</v>
      </c>
    </row>
    <row r="28" spans="1:17" x14ac:dyDescent="0.2">
      <c r="A28">
        <v>10274</v>
      </c>
      <c r="B28" t="s">
        <v>14</v>
      </c>
      <c r="C28">
        <v>6</v>
      </c>
      <c r="D28" s="1">
        <v>35283</v>
      </c>
      <c r="E28" s="1">
        <v>35311</v>
      </c>
      <c r="F28" s="1">
        <v>35293</v>
      </c>
      <c r="G28">
        <v>1</v>
      </c>
      <c r="H28">
        <v>6.01</v>
      </c>
      <c r="I28" t="s">
        <v>15</v>
      </c>
      <c r="J28" t="s">
        <v>16</v>
      </c>
      <c r="K28" t="s">
        <v>17</v>
      </c>
      <c r="L28" t="s">
        <v>18</v>
      </c>
      <c r="M28">
        <v>51100</v>
      </c>
      <c r="N28" t="s">
        <v>19</v>
      </c>
      <c r="P28" t="s">
        <v>19</v>
      </c>
      <c r="Q28" t="s">
        <v>19</v>
      </c>
    </row>
    <row r="29" spans="1:17" x14ac:dyDescent="0.2">
      <c r="A29">
        <v>10275</v>
      </c>
      <c r="B29" t="s">
        <v>127</v>
      </c>
      <c r="C29">
        <v>1</v>
      </c>
      <c r="D29" s="1">
        <v>35284</v>
      </c>
      <c r="E29" s="1">
        <v>35312</v>
      </c>
      <c r="F29" s="1">
        <v>35286</v>
      </c>
      <c r="G29">
        <v>1</v>
      </c>
      <c r="H29">
        <v>26.93</v>
      </c>
      <c r="I29" t="s">
        <v>128</v>
      </c>
      <c r="J29" t="s">
        <v>129</v>
      </c>
      <c r="K29" t="s">
        <v>130</v>
      </c>
      <c r="L29" t="s">
        <v>18</v>
      </c>
      <c r="M29">
        <v>24100</v>
      </c>
      <c r="N29" t="s">
        <v>131</v>
      </c>
      <c r="P29" t="s">
        <v>131</v>
      </c>
      <c r="Q29" t="s">
        <v>131</v>
      </c>
    </row>
    <row r="30" spans="1:17" x14ac:dyDescent="0.2">
      <c r="A30">
        <v>10276</v>
      </c>
      <c r="B30" t="s">
        <v>132</v>
      </c>
      <c r="C30">
        <v>8</v>
      </c>
      <c r="D30" s="1">
        <v>35285</v>
      </c>
      <c r="E30" s="1">
        <v>35299</v>
      </c>
      <c r="F30" s="1">
        <v>35291</v>
      </c>
      <c r="G30">
        <v>3</v>
      </c>
      <c r="H30">
        <v>13.84</v>
      </c>
      <c r="I30" t="s">
        <v>133</v>
      </c>
      <c r="J30" t="s">
        <v>134</v>
      </c>
      <c r="K30" t="s">
        <v>71</v>
      </c>
      <c r="L30" t="s">
        <v>18</v>
      </c>
      <c r="M30" s="2" t="s">
        <v>135</v>
      </c>
      <c r="N30" t="s">
        <v>73</v>
      </c>
      <c r="P30" t="s">
        <v>73</v>
      </c>
      <c r="Q30" t="s">
        <v>73</v>
      </c>
    </row>
    <row r="31" spans="1:17" x14ac:dyDescent="0.2">
      <c r="A31">
        <v>10277</v>
      </c>
      <c r="B31" t="s">
        <v>136</v>
      </c>
      <c r="C31">
        <v>2</v>
      </c>
      <c r="D31" s="1">
        <v>35286</v>
      </c>
      <c r="E31" s="1">
        <v>35314</v>
      </c>
      <c r="F31" s="1">
        <v>35290</v>
      </c>
      <c r="G31">
        <v>3</v>
      </c>
      <c r="H31">
        <v>125.77</v>
      </c>
      <c r="I31" t="s">
        <v>137</v>
      </c>
      <c r="J31" t="s">
        <v>138</v>
      </c>
      <c r="K31" t="s">
        <v>139</v>
      </c>
      <c r="L31" t="s">
        <v>18</v>
      </c>
      <c r="M31" s="2" t="s">
        <v>140</v>
      </c>
      <c r="N31" t="s">
        <v>24</v>
      </c>
      <c r="P31" t="s">
        <v>24</v>
      </c>
      <c r="Q31" t="s">
        <v>24</v>
      </c>
    </row>
    <row r="32" spans="1:17" x14ac:dyDescent="0.2">
      <c r="A32">
        <v>10278</v>
      </c>
      <c r="B32" t="s">
        <v>141</v>
      </c>
      <c r="C32">
        <v>8</v>
      </c>
      <c r="D32" s="1">
        <v>35289</v>
      </c>
      <c r="E32" s="1">
        <v>35317</v>
      </c>
      <c r="F32" s="1">
        <v>35293</v>
      </c>
      <c r="G32">
        <v>2</v>
      </c>
      <c r="H32">
        <v>92.69</v>
      </c>
      <c r="I32" t="s">
        <v>142</v>
      </c>
      <c r="J32" t="s">
        <v>143</v>
      </c>
      <c r="K32" t="s">
        <v>144</v>
      </c>
      <c r="L32" t="s">
        <v>18</v>
      </c>
      <c r="M32" t="s">
        <v>145</v>
      </c>
      <c r="N32" t="s">
        <v>93</v>
      </c>
      <c r="P32" t="s">
        <v>93</v>
      </c>
      <c r="Q32" t="s">
        <v>93</v>
      </c>
    </row>
    <row r="33" spans="1:17" x14ac:dyDescent="0.2">
      <c r="A33">
        <v>10279</v>
      </c>
      <c r="B33" t="s">
        <v>146</v>
      </c>
      <c r="C33">
        <v>8</v>
      </c>
      <c r="D33" s="1">
        <v>35290</v>
      </c>
      <c r="E33" s="1">
        <v>35318</v>
      </c>
      <c r="F33" s="1">
        <v>35293</v>
      </c>
      <c r="G33">
        <v>2</v>
      </c>
      <c r="H33">
        <v>25.83</v>
      </c>
      <c r="I33" t="s">
        <v>147</v>
      </c>
      <c r="J33" t="s">
        <v>148</v>
      </c>
      <c r="K33" t="s">
        <v>149</v>
      </c>
      <c r="L33" t="s">
        <v>18</v>
      </c>
      <c r="M33">
        <v>60528</v>
      </c>
      <c r="N33" t="s">
        <v>24</v>
      </c>
      <c r="P33" t="s">
        <v>24</v>
      </c>
      <c r="Q33" t="s">
        <v>24</v>
      </c>
    </row>
    <row r="34" spans="1:17" x14ac:dyDescent="0.2">
      <c r="A34">
        <v>10280</v>
      </c>
      <c r="B34" t="s">
        <v>141</v>
      </c>
      <c r="C34">
        <v>2</v>
      </c>
      <c r="D34" s="1">
        <v>35291</v>
      </c>
      <c r="E34" s="1">
        <v>35319</v>
      </c>
      <c r="F34" s="1">
        <v>35320</v>
      </c>
      <c r="G34">
        <v>1</v>
      </c>
      <c r="H34">
        <v>8.98</v>
      </c>
      <c r="I34" t="s">
        <v>142</v>
      </c>
      <c r="J34" t="s">
        <v>143</v>
      </c>
      <c r="K34" t="s">
        <v>144</v>
      </c>
      <c r="L34" t="s">
        <v>18</v>
      </c>
      <c r="M34" t="s">
        <v>145</v>
      </c>
      <c r="N34" t="s">
        <v>93</v>
      </c>
      <c r="P34" t="s">
        <v>93</v>
      </c>
      <c r="Q34" t="s">
        <v>93</v>
      </c>
    </row>
    <row r="35" spans="1:17" x14ac:dyDescent="0.2">
      <c r="A35">
        <v>10281</v>
      </c>
      <c r="B35" t="s">
        <v>150</v>
      </c>
      <c r="C35">
        <v>4</v>
      </c>
      <c r="D35" s="1">
        <v>35291</v>
      </c>
      <c r="E35" s="1">
        <v>35305</v>
      </c>
      <c r="F35" s="1">
        <v>35298</v>
      </c>
      <c r="G35">
        <v>1</v>
      </c>
      <c r="H35">
        <v>2.94</v>
      </c>
      <c r="I35" t="s">
        <v>151</v>
      </c>
      <c r="J35" t="s">
        <v>152</v>
      </c>
      <c r="K35">
        <v>1</v>
      </c>
      <c r="L35" t="s">
        <v>153</v>
      </c>
      <c r="M35" t="s">
        <v>18</v>
      </c>
      <c r="N35">
        <v>28001</v>
      </c>
      <c r="O35" t="s">
        <v>154</v>
      </c>
      <c r="P35" t="s">
        <v>154</v>
      </c>
      <c r="Q35" t="s">
        <v>154</v>
      </c>
    </row>
    <row r="36" spans="1:17" x14ac:dyDescent="0.2">
      <c r="A36">
        <v>10282</v>
      </c>
      <c r="B36" t="s">
        <v>150</v>
      </c>
      <c r="C36">
        <v>4</v>
      </c>
      <c r="D36" s="1">
        <v>35292</v>
      </c>
      <c r="E36" s="1">
        <v>35320</v>
      </c>
      <c r="F36" s="1">
        <v>35298</v>
      </c>
      <c r="G36">
        <v>1</v>
      </c>
      <c r="H36">
        <v>12.69</v>
      </c>
      <c r="I36" t="s">
        <v>151</v>
      </c>
      <c r="J36" t="s">
        <v>152</v>
      </c>
      <c r="K36">
        <v>1</v>
      </c>
      <c r="L36" t="s">
        <v>153</v>
      </c>
      <c r="M36" t="s">
        <v>18</v>
      </c>
      <c r="N36">
        <v>28001</v>
      </c>
      <c r="O36" t="s">
        <v>154</v>
      </c>
      <c r="P36" t="s">
        <v>154</v>
      </c>
      <c r="Q36" t="s">
        <v>154</v>
      </c>
    </row>
    <row r="37" spans="1:17" x14ac:dyDescent="0.2">
      <c r="A37">
        <v>10283</v>
      </c>
      <c r="B37" t="s">
        <v>155</v>
      </c>
      <c r="C37">
        <v>3</v>
      </c>
      <c r="D37" s="1">
        <v>35293</v>
      </c>
      <c r="E37" s="1">
        <v>35321</v>
      </c>
      <c r="F37" s="1">
        <v>35300</v>
      </c>
      <c r="G37">
        <v>3</v>
      </c>
      <c r="H37">
        <v>84.81</v>
      </c>
      <c r="I37" t="s">
        <v>156</v>
      </c>
      <c r="J37" t="s">
        <v>157</v>
      </c>
      <c r="K37" t="s">
        <v>158</v>
      </c>
      <c r="L37" t="s">
        <v>159</v>
      </c>
      <c r="M37">
        <v>3508</v>
      </c>
      <c r="N37" t="s">
        <v>62</v>
      </c>
      <c r="P37" t="s">
        <v>62</v>
      </c>
      <c r="Q37" t="s">
        <v>62</v>
      </c>
    </row>
    <row r="38" spans="1:17" x14ac:dyDescent="0.2">
      <c r="A38">
        <v>10284</v>
      </c>
      <c r="B38" t="s">
        <v>146</v>
      </c>
      <c r="C38">
        <v>4</v>
      </c>
      <c r="D38" s="1">
        <v>35296</v>
      </c>
      <c r="E38" s="1">
        <v>35324</v>
      </c>
      <c r="F38" s="1">
        <v>35304</v>
      </c>
      <c r="G38">
        <v>1</v>
      </c>
      <c r="H38">
        <v>76.56</v>
      </c>
      <c r="I38" t="s">
        <v>147</v>
      </c>
      <c r="J38" t="s">
        <v>148</v>
      </c>
      <c r="K38" t="s">
        <v>149</v>
      </c>
      <c r="L38" t="s">
        <v>18</v>
      </c>
      <c r="M38">
        <v>60528</v>
      </c>
      <c r="N38" t="s">
        <v>24</v>
      </c>
      <c r="P38" t="s">
        <v>24</v>
      </c>
      <c r="Q38" t="s">
        <v>24</v>
      </c>
    </row>
    <row r="39" spans="1:17" x14ac:dyDescent="0.2">
      <c r="A39">
        <v>10285</v>
      </c>
      <c r="B39" t="s">
        <v>122</v>
      </c>
      <c r="C39">
        <v>1</v>
      </c>
      <c r="D39" s="1">
        <v>35297</v>
      </c>
      <c r="E39" s="1">
        <v>35325</v>
      </c>
      <c r="F39" s="1">
        <v>35303</v>
      </c>
      <c r="G39">
        <v>2</v>
      </c>
      <c r="H39">
        <v>76.83</v>
      </c>
      <c r="I39" t="s">
        <v>123</v>
      </c>
      <c r="J39" t="s">
        <v>124</v>
      </c>
      <c r="K39" t="s">
        <v>125</v>
      </c>
      <c r="L39" t="s">
        <v>18</v>
      </c>
      <c r="M39" s="2" t="s">
        <v>126</v>
      </c>
      <c r="N39" t="s">
        <v>24</v>
      </c>
      <c r="P39" t="s">
        <v>24</v>
      </c>
      <c r="Q39" t="s">
        <v>24</v>
      </c>
    </row>
    <row r="40" spans="1:17" x14ac:dyDescent="0.2">
      <c r="A40">
        <v>10286</v>
      </c>
      <c r="B40" t="s">
        <v>122</v>
      </c>
      <c r="C40">
        <v>8</v>
      </c>
      <c r="D40" s="1">
        <v>35298</v>
      </c>
      <c r="E40" s="1">
        <v>35326</v>
      </c>
      <c r="F40" s="1">
        <v>35307</v>
      </c>
      <c r="G40">
        <v>3</v>
      </c>
      <c r="H40">
        <v>229.24</v>
      </c>
      <c r="I40" t="s">
        <v>123</v>
      </c>
      <c r="J40" t="s">
        <v>124</v>
      </c>
      <c r="K40" t="s">
        <v>125</v>
      </c>
      <c r="L40" t="s">
        <v>18</v>
      </c>
      <c r="M40" s="2" t="s">
        <v>126</v>
      </c>
      <c r="N40" t="s">
        <v>24</v>
      </c>
      <c r="P40" t="s">
        <v>24</v>
      </c>
      <c r="Q40" t="s">
        <v>24</v>
      </c>
    </row>
    <row r="41" spans="1:17" x14ac:dyDescent="0.2">
      <c r="A41">
        <v>10287</v>
      </c>
      <c r="B41" t="s">
        <v>160</v>
      </c>
      <c r="C41">
        <v>8</v>
      </c>
      <c r="D41" s="1">
        <v>35299</v>
      </c>
      <c r="E41" s="1">
        <v>35327</v>
      </c>
      <c r="F41" s="1">
        <v>35305</v>
      </c>
      <c r="G41">
        <v>3</v>
      </c>
      <c r="H41">
        <v>12.76</v>
      </c>
      <c r="I41" t="s">
        <v>161</v>
      </c>
      <c r="J41" t="s">
        <v>162</v>
      </c>
      <c r="K41">
        <v>267</v>
      </c>
      <c r="L41" t="s">
        <v>28</v>
      </c>
      <c r="M41" t="s">
        <v>29</v>
      </c>
      <c r="N41" t="s">
        <v>163</v>
      </c>
      <c r="O41" t="s">
        <v>31</v>
      </c>
      <c r="P41" t="s">
        <v>31</v>
      </c>
      <c r="Q41" t="s">
        <v>31</v>
      </c>
    </row>
    <row r="42" spans="1:17" x14ac:dyDescent="0.2">
      <c r="A42">
        <v>10288</v>
      </c>
      <c r="B42" t="s">
        <v>164</v>
      </c>
      <c r="C42">
        <v>4</v>
      </c>
      <c r="D42" s="1">
        <v>35300</v>
      </c>
      <c r="E42" s="1">
        <v>35328</v>
      </c>
      <c r="F42" s="1">
        <v>35311</v>
      </c>
      <c r="G42">
        <v>1</v>
      </c>
      <c r="H42">
        <v>7.45</v>
      </c>
      <c r="I42" t="s">
        <v>165</v>
      </c>
      <c r="J42" t="s">
        <v>166</v>
      </c>
      <c r="K42" t="s">
        <v>167</v>
      </c>
      <c r="L42" t="s">
        <v>18</v>
      </c>
      <c r="M42">
        <v>42100</v>
      </c>
      <c r="N42" t="s">
        <v>131</v>
      </c>
      <c r="P42" t="s">
        <v>131</v>
      </c>
      <c r="Q42" t="s">
        <v>131</v>
      </c>
    </row>
    <row r="43" spans="1:17" x14ac:dyDescent="0.2">
      <c r="A43">
        <v>10289</v>
      </c>
      <c r="B43" t="s">
        <v>168</v>
      </c>
      <c r="C43">
        <v>7</v>
      </c>
      <c r="D43" s="1">
        <v>35303</v>
      </c>
      <c r="E43" s="1">
        <v>35331</v>
      </c>
      <c r="F43" s="1">
        <v>35305</v>
      </c>
      <c r="G43">
        <v>3</v>
      </c>
      <c r="H43">
        <v>22.77</v>
      </c>
      <c r="I43" t="s">
        <v>169</v>
      </c>
      <c r="J43" t="s">
        <v>170</v>
      </c>
      <c r="K43" t="s">
        <v>171</v>
      </c>
      <c r="L43" t="s">
        <v>18</v>
      </c>
      <c r="M43" t="s">
        <v>172</v>
      </c>
      <c r="N43" t="s">
        <v>173</v>
      </c>
      <c r="P43" t="s">
        <v>173</v>
      </c>
      <c r="Q43" t="s">
        <v>173</v>
      </c>
    </row>
    <row r="44" spans="1:17" x14ac:dyDescent="0.2">
      <c r="A44">
        <v>10290</v>
      </c>
      <c r="B44" t="s">
        <v>174</v>
      </c>
      <c r="C44">
        <v>8</v>
      </c>
      <c r="D44" s="1">
        <v>35304</v>
      </c>
      <c r="E44" s="1">
        <v>35332</v>
      </c>
      <c r="F44" s="1">
        <v>35311</v>
      </c>
      <c r="G44">
        <v>1</v>
      </c>
      <c r="H44">
        <v>79.7</v>
      </c>
      <c r="I44" t="s">
        <v>175</v>
      </c>
      <c r="J44" t="s">
        <v>176</v>
      </c>
      <c r="K44">
        <v>23</v>
      </c>
      <c r="L44" t="s">
        <v>177</v>
      </c>
      <c r="M44" t="s">
        <v>55</v>
      </c>
      <c r="N44" t="s">
        <v>178</v>
      </c>
      <c r="O44" t="s">
        <v>31</v>
      </c>
      <c r="P44" t="s">
        <v>31</v>
      </c>
      <c r="Q44" t="s">
        <v>31</v>
      </c>
    </row>
    <row r="45" spans="1:17" x14ac:dyDescent="0.2">
      <c r="A45">
        <v>10291</v>
      </c>
      <c r="B45" t="s">
        <v>78</v>
      </c>
      <c r="C45">
        <v>6</v>
      </c>
      <c r="D45" s="1">
        <v>35304</v>
      </c>
      <c r="E45" s="1">
        <v>35332</v>
      </c>
      <c r="F45" s="1">
        <v>35312</v>
      </c>
      <c r="G45">
        <v>2</v>
      </c>
      <c r="H45">
        <v>6.4</v>
      </c>
      <c r="I45" t="s">
        <v>79</v>
      </c>
      <c r="J45" t="s">
        <v>80</v>
      </c>
      <c r="K45">
        <v>12</v>
      </c>
      <c r="L45" t="s">
        <v>28</v>
      </c>
      <c r="M45" t="s">
        <v>29</v>
      </c>
      <c r="N45" t="s">
        <v>81</v>
      </c>
      <c r="O45" t="s">
        <v>31</v>
      </c>
      <c r="P45" t="s">
        <v>31</v>
      </c>
      <c r="Q45" t="s">
        <v>31</v>
      </c>
    </row>
    <row r="46" spans="1:17" x14ac:dyDescent="0.2">
      <c r="A46">
        <v>10292</v>
      </c>
      <c r="B46" t="s">
        <v>179</v>
      </c>
      <c r="C46">
        <v>1</v>
      </c>
      <c r="D46" s="1">
        <v>35305</v>
      </c>
      <c r="E46" s="1">
        <v>35333</v>
      </c>
      <c r="F46" s="1">
        <v>35310</v>
      </c>
      <c r="G46">
        <v>2</v>
      </c>
      <c r="H46">
        <v>1.35</v>
      </c>
      <c r="I46" t="s">
        <v>180</v>
      </c>
      <c r="J46" t="s">
        <v>181</v>
      </c>
      <c r="K46">
        <v>414</v>
      </c>
      <c r="L46" t="s">
        <v>177</v>
      </c>
      <c r="M46" t="s">
        <v>55</v>
      </c>
      <c r="N46" t="s">
        <v>182</v>
      </c>
      <c r="O46" t="s">
        <v>31</v>
      </c>
      <c r="P46" t="s">
        <v>31</v>
      </c>
      <c r="Q46" t="s">
        <v>31</v>
      </c>
    </row>
    <row r="47" spans="1:17" x14ac:dyDescent="0.2">
      <c r="A47">
        <v>10293</v>
      </c>
      <c r="B47" t="s">
        <v>132</v>
      </c>
      <c r="C47">
        <v>1</v>
      </c>
      <c r="D47" s="1">
        <v>35306</v>
      </c>
      <c r="E47" s="1">
        <v>35334</v>
      </c>
      <c r="F47" s="1">
        <v>35319</v>
      </c>
      <c r="G47">
        <v>3</v>
      </c>
      <c r="H47">
        <v>21.18</v>
      </c>
      <c r="I47" t="s">
        <v>133</v>
      </c>
      <c r="J47" t="s">
        <v>134</v>
      </c>
      <c r="K47" t="s">
        <v>71</v>
      </c>
      <c r="L47" t="s">
        <v>18</v>
      </c>
      <c r="M47" s="2" t="s">
        <v>135</v>
      </c>
      <c r="N47" t="s">
        <v>73</v>
      </c>
      <c r="P47" t="s">
        <v>73</v>
      </c>
      <c r="Q47" t="s">
        <v>73</v>
      </c>
    </row>
    <row r="48" spans="1:17" x14ac:dyDescent="0.2">
      <c r="A48">
        <v>10294</v>
      </c>
      <c r="B48" t="s">
        <v>82</v>
      </c>
      <c r="C48">
        <v>4</v>
      </c>
      <c r="D48" s="1">
        <v>35307</v>
      </c>
      <c r="E48" s="1">
        <v>35335</v>
      </c>
      <c r="F48" s="1">
        <v>35313</v>
      </c>
      <c r="G48">
        <v>2</v>
      </c>
      <c r="H48">
        <v>147.26</v>
      </c>
      <c r="I48" t="s">
        <v>83</v>
      </c>
      <c r="J48" t="s">
        <v>84</v>
      </c>
      <c r="K48" t="s">
        <v>85</v>
      </c>
      <c r="L48" t="s">
        <v>86</v>
      </c>
      <c r="M48">
        <v>87110</v>
      </c>
      <c r="N48" t="s">
        <v>87</v>
      </c>
      <c r="P48" t="s">
        <v>87</v>
      </c>
      <c r="Q48" t="s">
        <v>87</v>
      </c>
    </row>
    <row r="49" spans="1:17" x14ac:dyDescent="0.2">
      <c r="A49">
        <v>10295</v>
      </c>
      <c r="B49" t="s">
        <v>14</v>
      </c>
      <c r="C49">
        <v>2</v>
      </c>
      <c r="D49" s="1">
        <v>35310</v>
      </c>
      <c r="E49" s="1">
        <v>35338</v>
      </c>
      <c r="F49" s="1">
        <v>35318</v>
      </c>
      <c r="G49">
        <v>2</v>
      </c>
      <c r="H49">
        <v>1.1499999999999999</v>
      </c>
      <c r="I49" t="s">
        <v>15</v>
      </c>
      <c r="J49" t="s">
        <v>16</v>
      </c>
      <c r="K49" t="s">
        <v>17</v>
      </c>
      <c r="L49" t="s">
        <v>18</v>
      </c>
      <c r="M49">
        <v>51100</v>
      </c>
      <c r="N49" t="s">
        <v>19</v>
      </c>
      <c r="P49" t="s">
        <v>19</v>
      </c>
      <c r="Q49" t="s">
        <v>19</v>
      </c>
    </row>
    <row r="50" spans="1:17" x14ac:dyDescent="0.2">
      <c r="A50">
        <v>10296</v>
      </c>
      <c r="B50" t="s">
        <v>155</v>
      </c>
      <c r="C50">
        <v>6</v>
      </c>
      <c r="D50" s="1">
        <v>35311</v>
      </c>
      <c r="E50" s="1">
        <v>35339</v>
      </c>
      <c r="F50" s="1">
        <v>35319</v>
      </c>
      <c r="G50">
        <v>1</v>
      </c>
      <c r="H50">
        <v>0.12</v>
      </c>
      <c r="I50" t="s">
        <v>156</v>
      </c>
      <c r="J50" t="s">
        <v>157</v>
      </c>
      <c r="K50" t="s">
        <v>158</v>
      </c>
      <c r="L50" t="s">
        <v>159</v>
      </c>
      <c r="M50">
        <v>3508</v>
      </c>
      <c r="N50" t="s">
        <v>62</v>
      </c>
      <c r="P50" t="s">
        <v>62</v>
      </c>
      <c r="Q50" t="s">
        <v>62</v>
      </c>
    </row>
    <row r="51" spans="1:17" x14ac:dyDescent="0.2">
      <c r="A51">
        <v>10297</v>
      </c>
      <c r="B51" t="s">
        <v>94</v>
      </c>
      <c r="C51">
        <v>5</v>
      </c>
      <c r="D51" s="1">
        <v>35312</v>
      </c>
      <c r="E51" s="1">
        <v>35354</v>
      </c>
      <c r="F51" s="1">
        <v>35318</v>
      </c>
      <c r="G51">
        <v>2</v>
      </c>
      <c r="H51">
        <v>5.74</v>
      </c>
      <c r="I51" t="s">
        <v>95</v>
      </c>
      <c r="J51">
        <v>24</v>
      </c>
      <c r="K51" t="s">
        <v>96</v>
      </c>
      <c r="L51" t="s">
        <v>97</v>
      </c>
      <c r="M51" t="s">
        <v>18</v>
      </c>
      <c r="N51">
        <v>67000</v>
      </c>
      <c r="O51" t="s">
        <v>19</v>
      </c>
      <c r="P51" t="s">
        <v>19</v>
      </c>
      <c r="Q51" t="s">
        <v>19</v>
      </c>
    </row>
    <row r="52" spans="1:17" x14ac:dyDescent="0.2">
      <c r="A52">
        <v>10298</v>
      </c>
      <c r="B52" t="s">
        <v>183</v>
      </c>
      <c r="C52">
        <v>6</v>
      </c>
      <c r="D52" s="1">
        <v>35313</v>
      </c>
      <c r="E52" s="1">
        <v>35341</v>
      </c>
      <c r="F52" s="1">
        <v>35319</v>
      </c>
      <c r="G52">
        <v>2</v>
      </c>
      <c r="H52">
        <v>168.22</v>
      </c>
      <c r="I52" t="s">
        <v>184</v>
      </c>
      <c r="J52" t="s">
        <v>185</v>
      </c>
      <c r="K52" t="s">
        <v>186</v>
      </c>
      <c r="L52" t="s">
        <v>187</v>
      </c>
      <c r="M52" t="s">
        <v>18</v>
      </c>
      <c r="N52" t="s">
        <v>188</v>
      </c>
      <c r="P52" t="s">
        <v>188</v>
      </c>
      <c r="Q52" t="s">
        <v>188</v>
      </c>
    </row>
    <row r="53" spans="1:17" x14ac:dyDescent="0.2">
      <c r="A53">
        <v>10299</v>
      </c>
      <c r="B53" t="s">
        <v>160</v>
      </c>
      <c r="C53">
        <v>4</v>
      </c>
      <c r="D53" s="1">
        <v>35314</v>
      </c>
      <c r="E53" s="1">
        <v>35342</v>
      </c>
      <c r="F53" s="1">
        <v>35321</v>
      </c>
      <c r="G53">
        <v>2</v>
      </c>
      <c r="H53">
        <v>29.76</v>
      </c>
      <c r="I53" t="s">
        <v>161</v>
      </c>
      <c r="J53" t="s">
        <v>162</v>
      </c>
      <c r="K53">
        <v>267</v>
      </c>
      <c r="L53" t="s">
        <v>28</v>
      </c>
      <c r="M53" t="s">
        <v>29</v>
      </c>
      <c r="N53" t="s">
        <v>163</v>
      </c>
      <c r="O53" t="s">
        <v>31</v>
      </c>
      <c r="P53" t="s">
        <v>31</v>
      </c>
      <c r="Q53" t="s">
        <v>31</v>
      </c>
    </row>
    <row r="54" spans="1:17" x14ac:dyDescent="0.2">
      <c r="A54">
        <v>10300</v>
      </c>
      <c r="B54" t="s">
        <v>127</v>
      </c>
      <c r="C54">
        <v>2</v>
      </c>
      <c r="D54" s="1">
        <v>35317</v>
      </c>
      <c r="E54" s="1">
        <v>35345</v>
      </c>
      <c r="F54" s="1">
        <v>35326</v>
      </c>
      <c r="G54">
        <v>2</v>
      </c>
      <c r="H54">
        <v>17.68</v>
      </c>
      <c r="I54" t="s">
        <v>128</v>
      </c>
      <c r="J54" t="s">
        <v>129</v>
      </c>
      <c r="K54" t="s">
        <v>130</v>
      </c>
      <c r="L54" t="s">
        <v>18</v>
      </c>
      <c r="M54">
        <v>24100</v>
      </c>
      <c r="N54" t="s">
        <v>131</v>
      </c>
      <c r="P54" t="s">
        <v>131</v>
      </c>
      <c r="Q54" t="s">
        <v>131</v>
      </c>
    </row>
    <row r="55" spans="1:17" x14ac:dyDescent="0.2">
      <c r="A55">
        <v>10301</v>
      </c>
      <c r="B55" t="s">
        <v>189</v>
      </c>
      <c r="C55">
        <v>8</v>
      </c>
      <c r="D55" s="1">
        <v>35317</v>
      </c>
      <c r="E55" s="1">
        <v>35345</v>
      </c>
      <c r="F55" s="1">
        <v>35325</v>
      </c>
      <c r="G55">
        <v>2</v>
      </c>
      <c r="H55">
        <v>45.08</v>
      </c>
      <c r="I55" t="s">
        <v>190</v>
      </c>
      <c r="J55" t="s">
        <v>191</v>
      </c>
      <c r="K55" t="s">
        <v>192</v>
      </c>
      <c r="L55" t="s">
        <v>18</v>
      </c>
      <c r="M55">
        <v>70563</v>
      </c>
      <c r="N55" t="s">
        <v>24</v>
      </c>
      <c r="P55" t="s">
        <v>24</v>
      </c>
      <c r="Q55" t="s">
        <v>24</v>
      </c>
    </row>
    <row r="56" spans="1:17" x14ac:dyDescent="0.2">
      <c r="A56">
        <v>10302</v>
      </c>
      <c r="B56" t="s">
        <v>36</v>
      </c>
      <c r="C56">
        <v>4</v>
      </c>
      <c r="D56" s="1">
        <v>35318</v>
      </c>
      <c r="E56" s="1">
        <v>35346</v>
      </c>
      <c r="F56" s="1">
        <v>35347</v>
      </c>
      <c r="G56">
        <v>2</v>
      </c>
      <c r="H56">
        <v>6.27</v>
      </c>
      <c r="I56" t="s">
        <v>37</v>
      </c>
      <c r="J56" t="s">
        <v>38</v>
      </c>
      <c r="K56">
        <v>255</v>
      </c>
      <c r="L56" t="s">
        <v>39</v>
      </c>
      <c r="M56" t="s">
        <v>18</v>
      </c>
      <c r="N56" t="s">
        <v>40</v>
      </c>
      <c r="O56" t="s">
        <v>41</v>
      </c>
      <c r="P56" t="s">
        <v>41</v>
      </c>
      <c r="Q56" t="s">
        <v>41</v>
      </c>
    </row>
    <row r="57" spans="1:17" x14ac:dyDescent="0.2">
      <c r="A57">
        <v>10303</v>
      </c>
      <c r="B57" t="s">
        <v>193</v>
      </c>
      <c r="C57">
        <v>7</v>
      </c>
      <c r="D57" s="1">
        <v>35319</v>
      </c>
      <c r="E57" s="1">
        <v>35347</v>
      </c>
      <c r="F57" s="1">
        <v>35326</v>
      </c>
      <c r="G57">
        <v>2</v>
      </c>
      <c r="H57">
        <v>107.83</v>
      </c>
      <c r="I57" t="s">
        <v>194</v>
      </c>
      <c r="J57" t="s">
        <v>195</v>
      </c>
      <c r="K57">
        <v>33</v>
      </c>
      <c r="L57" t="s">
        <v>196</v>
      </c>
      <c r="M57" t="s">
        <v>18</v>
      </c>
      <c r="N57">
        <v>41101</v>
      </c>
      <c r="O57" t="s">
        <v>154</v>
      </c>
      <c r="P57" t="s">
        <v>154</v>
      </c>
      <c r="Q57" t="s">
        <v>154</v>
      </c>
    </row>
    <row r="58" spans="1:17" x14ac:dyDescent="0.2">
      <c r="A58">
        <v>10304</v>
      </c>
      <c r="B58" t="s">
        <v>132</v>
      </c>
      <c r="C58">
        <v>1</v>
      </c>
      <c r="D58" s="1">
        <v>35320</v>
      </c>
      <c r="E58" s="1">
        <v>35348</v>
      </c>
      <c r="F58" s="1">
        <v>35325</v>
      </c>
      <c r="G58">
        <v>2</v>
      </c>
      <c r="H58">
        <v>63.79</v>
      </c>
      <c r="I58" t="s">
        <v>133</v>
      </c>
      <c r="J58" t="s">
        <v>134</v>
      </c>
      <c r="K58" t="s">
        <v>71</v>
      </c>
      <c r="L58" t="s">
        <v>18</v>
      </c>
      <c r="M58" s="2" t="s">
        <v>135</v>
      </c>
      <c r="N58" t="s">
        <v>73</v>
      </c>
      <c r="P58" t="s">
        <v>73</v>
      </c>
      <c r="Q58" t="s">
        <v>73</v>
      </c>
    </row>
    <row r="59" spans="1:17" x14ac:dyDescent="0.2">
      <c r="A59">
        <v>10305</v>
      </c>
      <c r="B59" t="s">
        <v>197</v>
      </c>
      <c r="C59">
        <v>8</v>
      </c>
      <c r="D59" s="1">
        <v>35321</v>
      </c>
      <c r="E59" s="1">
        <v>35349</v>
      </c>
      <c r="F59" s="1">
        <v>35347</v>
      </c>
      <c r="G59">
        <v>3</v>
      </c>
      <c r="H59">
        <v>257.62</v>
      </c>
      <c r="I59" t="s">
        <v>198</v>
      </c>
      <c r="J59" t="s">
        <v>199</v>
      </c>
      <c r="K59" t="s">
        <v>200</v>
      </c>
      <c r="L59" t="s">
        <v>201</v>
      </c>
      <c r="M59">
        <v>99508</v>
      </c>
      <c r="N59" t="s">
        <v>87</v>
      </c>
      <c r="P59" t="s">
        <v>87</v>
      </c>
      <c r="Q59" t="s">
        <v>87</v>
      </c>
    </row>
    <row r="60" spans="1:17" x14ac:dyDescent="0.2">
      <c r="A60">
        <v>10306</v>
      </c>
      <c r="B60" t="s">
        <v>150</v>
      </c>
      <c r="C60">
        <v>1</v>
      </c>
      <c r="D60" s="1">
        <v>35324</v>
      </c>
      <c r="E60" s="1">
        <v>35352</v>
      </c>
      <c r="F60" s="1">
        <v>35331</v>
      </c>
      <c r="G60">
        <v>3</v>
      </c>
      <c r="H60">
        <v>7.56</v>
      </c>
      <c r="I60" t="s">
        <v>151</v>
      </c>
      <c r="J60" t="s">
        <v>152</v>
      </c>
      <c r="K60">
        <v>1</v>
      </c>
      <c r="L60" t="s">
        <v>153</v>
      </c>
      <c r="M60" t="s">
        <v>18</v>
      </c>
      <c r="N60">
        <v>28001</v>
      </c>
      <c r="O60" t="s">
        <v>154</v>
      </c>
      <c r="P60" t="s">
        <v>154</v>
      </c>
      <c r="Q60" t="s">
        <v>154</v>
      </c>
    </row>
    <row r="61" spans="1:17" x14ac:dyDescent="0.2">
      <c r="A61">
        <v>10307</v>
      </c>
      <c r="B61" t="s">
        <v>202</v>
      </c>
      <c r="C61">
        <v>2</v>
      </c>
      <c r="D61" s="1">
        <v>35325</v>
      </c>
      <c r="E61" s="1">
        <v>35353</v>
      </c>
      <c r="F61" s="1">
        <v>35333</v>
      </c>
      <c r="G61">
        <v>2</v>
      </c>
      <c r="H61">
        <v>0.56000000000000005</v>
      </c>
      <c r="I61" t="s">
        <v>203</v>
      </c>
      <c r="J61" t="s">
        <v>204</v>
      </c>
      <c r="K61" t="s">
        <v>205</v>
      </c>
      <c r="L61" t="s">
        <v>206</v>
      </c>
      <c r="M61">
        <v>97219</v>
      </c>
      <c r="N61" t="s">
        <v>87</v>
      </c>
      <c r="P61" t="s">
        <v>87</v>
      </c>
      <c r="Q61" t="s">
        <v>87</v>
      </c>
    </row>
    <row r="62" spans="1:17" x14ac:dyDescent="0.2">
      <c r="A62">
        <v>10308</v>
      </c>
      <c r="B62" t="s">
        <v>207</v>
      </c>
      <c r="C62">
        <v>7</v>
      </c>
      <c r="D62" s="1">
        <v>35326</v>
      </c>
      <c r="E62" s="1">
        <v>35354</v>
      </c>
      <c r="F62" s="1">
        <v>35332</v>
      </c>
      <c r="G62">
        <v>3</v>
      </c>
      <c r="H62">
        <v>1.61</v>
      </c>
      <c r="I62" t="s">
        <v>208</v>
      </c>
      <c r="J62" t="s">
        <v>209</v>
      </c>
      <c r="K62" t="s">
        <v>71</v>
      </c>
      <c r="L62" t="s">
        <v>18</v>
      </c>
      <c r="M62" s="2" t="s">
        <v>210</v>
      </c>
      <c r="N62" t="s">
        <v>73</v>
      </c>
      <c r="P62" t="s">
        <v>73</v>
      </c>
      <c r="Q62" t="s">
        <v>73</v>
      </c>
    </row>
    <row r="63" spans="1:17" x14ac:dyDescent="0.2">
      <c r="A63">
        <v>10309</v>
      </c>
      <c r="B63" t="s">
        <v>183</v>
      </c>
      <c r="C63">
        <v>3</v>
      </c>
      <c r="D63" s="1">
        <v>35327</v>
      </c>
      <c r="E63" s="1">
        <v>35355</v>
      </c>
      <c r="F63" s="1">
        <v>35361</v>
      </c>
      <c r="G63">
        <v>1</v>
      </c>
      <c r="H63">
        <v>47.3</v>
      </c>
      <c r="I63" t="s">
        <v>184</v>
      </c>
      <c r="J63" t="s">
        <v>185</v>
      </c>
      <c r="K63" t="s">
        <v>186</v>
      </c>
      <c r="L63" t="s">
        <v>187</v>
      </c>
      <c r="M63" t="s">
        <v>18</v>
      </c>
      <c r="N63" t="s">
        <v>188</v>
      </c>
      <c r="P63" t="s">
        <v>188</v>
      </c>
      <c r="Q63" t="s">
        <v>188</v>
      </c>
    </row>
    <row r="64" spans="1:17" x14ac:dyDescent="0.2">
      <c r="A64">
        <v>10310</v>
      </c>
      <c r="B64" t="s">
        <v>211</v>
      </c>
      <c r="C64">
        <v>8</v>
      </c>
      <c r="D64" s="1">
        <v>35328</v>
      </c>
      <c r="E64" s="1">
        <v>35356</v>
      </c>
      <c r="F64" s="1">
        <v>35335</v>
      </c>
      <c r="G64">
        <v>2</v>
      </c>
      <c r="H64">
        <v>17.52</v>
      </c>
      <c r="I64" t="s">
        <v>212</v>
      </c>
      <c r="J64" t="s">
        <v>213</v>
      </c>
      <c r="K64" t="s">
        <v>205</v>
      </c>
      <c r="L64" t="s">
        <v>206</v>
      </c>
      <c r="M64">
        <v>97201</v>
      </c>
      <c r="N64" t="s">
        <v>87</v>
      </c>
      <c r="P64" t="s">
        <v>87</v>
      </c>
      <c r="Q64" t="s">
        <v>87</v>
      </c>
    </row>
    <row r="65" spans="1:17" x14ac:dyDescent="0.2">
      <c r="A65">
        <v>10311</v>
      </c>
      <c r="B65" t="s">
        <v>214</v>
      </c>
      <c r="C65">
        <v>1</v>
      </c>
      <c r="D65" s="1">
        <v>35328</v>
      </c>
      <c r="E65" s="1">
        <v>35342</v>
      </c>
      <c r="F65" s="1">
        <v>35334</v>
      </c>
      <c r="G65">
        <v>3</v>
      </c>
      <c r="H65">
        <v>24.69</v>
      </c>
      <c r="I65" t="s">
        <v>215</v>
      </c>
      <c r="J65">
        <v>67</v>
      </c>
      <c r="K65" t="s">
        <v>216</v>
      </c>
      <c r="L65" t="s">
        <v>217</v>
      </c>
      <c r="M65" t="s">
        <v>18</v>
      </c>
      <c r="N65">
        <v>44000</v>
      </c>
      <c r="O65" t="s">
        <v>19</v>
      </c>
      <c r="P65" t="s">
        <v>19</v>
      </c>
      <c r="Q65" t="s">
        <v>19</v>
      </c>
    </row>
    <row r="66" spans="1:17" x14ac:dyDescent="0.2">
      <c r="A66">
        <v>10312</v>
      </c>
      <c r="B66" t="s">
        <v>189</v>
      </c>
      <c r="C66">
        <v>2</v>
      </c>
      <c r="D66" s="1">
        <v>35331</v>
      </c>
      <c r="E66" s="1">
        <v>35359</v>
      </c>
      <c r="F66" s="1">
        <v>35341</v>
      </c>
      <c r="G66">
        <v>2</v>
      </c>
      <c r="H66">
        <v>40.26</v>
      </c>
      <c r="I66" t="s">
        <v>190</v>
      </c>
      <c r="J66" t="s">
        <v>191</v>
      </c>
      <c r="K66" t="s">
        <v>192</v>
      </c>
      <c r="L66" t="s">
        <v>18</v>
      </c>
      <c r="M66">
        <v>70563</v>
      </c>
      <c r="N66" t="s">
        <v>24</v>
      </c>
      <c r="P66" t="s">
        <v>24</v>
      </c>
      <c r="Q66" t="s">
        <v>24</v>
      </c>
    </row>
    <row r="67" spans="1:17" x14ac:dyDescent="0.2">
      <c r="A67">
        <v>10313</v>
      </c>
      <c r="B67" t="s">
        <v>122</v>
      </c>
      <c r="C67">
        <v>2</v>
      </c>
      <c r="D67" s="1">
        <v>35332</v>
      </c>
      <c r="E67" s="1">
        <v>35360</v>
      </c>
      <c r="F67" s="1">
        <v>35342</v>
      </c>
      <c r="G67">
        <v>2</v>
      </c>
      <c r="H67">
        <v>1.96</v>
      </c>
      <c r="I67" t="s">
        <v>123</v>
      </c>
      <c r="J67" t="s">
        <v>124</v>
      </c>
      <c r="K67" t="s">
        <v>125</v>
      </c>
      <c r="L67" t="s">
        <v>18</v>
      </c>
      <c r="M67" s="2" t="s">
        <v>126</v>
      </c>
      <c r="N67" t="s">
        <v>24</v>
      </c>
      <c r="P67" t="s">
        <v>24</v>
      </c>
      <c r="Q67" t="s">
        <v>24</v>
      </c>
    </row>
    <row r="68" spans="1:17" x14ac:dyDescent="0.2">
      <c r="A68">
        <v>10314</v>
      </c>
      <c r="B68" t="s">
        <v>82</v>
      </c>
      <c r="C68">
        <v>1</v>
      </c>
      <c r="D68" s="1">
        <v>35333</v>
      </c>
      <c r="E68" s="1">
        <v>35361</v>
      </c>
      <c r="F68" s="1">
        <v>35342</v>
      </c>
      <c r="G68">
        <v>2</v>
      </c>
      <c r="H68">
        <v>74.16</v>
      </c>
      <c r="I68" t="s">
        <v>83</v>
      </c>
      <c r="J68" t="s">
        <v>84</v>
      </c>
      <c r="K68" t="s">
        <v>85</v>
      </c>
      <c r="L68" t="s">
        <v>86</v>
      </c>
      <c r="M68">
        <v>87110</v>
      </c>
      <c r="N68" t="s">
        <v>87</v>
      </c>
      <c r="P68" t="s">
        <v>87</v>
      </c>
      <c r="Q68" t="s">
        <v>87</v>
      </c>
    </row>
    <row r="69" spans="1:17" x14ac:dyDescent="0.2">
      <c r="A69">
        <v>10315</v>
      </c>
      <c r="B69" t="s">
        <v>218</v>
      </c>
      <c r="C69">
        <v>4</v>
      </c>
      <c r="D69" s="1">
        <v>35334</v>
      </c>
      <c r="E69" s="1">
        <v>35362</v>
      </c>
      <c r="F69" s="1">
        <v>35341</v>
      </c>
      <c r="G69">
        <v>2</v>
      </c>
      <c r="H69">
        <v>41.76</v>
      </c>
      <c r="I69" t="s">
        <v>219</v>
      </c>
      <c r="J69" t="s">
        <v>220</v>
      </c>
      <c r="K69" t="s">
        <v>221</v>
      </c>
      <c r="L69" t="s">
        <v>222</v>
      </c>
      <c r="M69" t="s">
        <v>223</v>
      </c>
      <c r="N69" t="s">
        <v>173</v>
      </c>
      <c r="P69" t="s">
        <v>173</v>
      </c>
      <c r="Q69" t="s">
        <v>173</v>
      </c>
    </row>
    <row r="70" spans="1:17" x14ac:dyDescent="0.2">
      <c r="A70">
        <v>10316</v>
      </c>
      <c r="B70" t="s">
        <v>82</v>
      </c>
      <c r="C70">
        <v>1</v>
      </c>
      <c r="D70" s="1">
        <v>35335</v>
      </c>
      <c r="E70" s="1">
        <v>35363</v>
      </c>
      <c r="F70" s="1">
        <v>35346</v>
      </c>
      <c r="G70">
        <v>3</v>
      </c>
      <c r="H70">
        <v>150.15</v>
      </c>
      <c r="I70" t="s">
        <v>83</v>
      </c>
      <c r="J70" t="s">
        <v>84</v>
      </c>
      <c r="K70" t="s">
        <v>85</v>
      </c>
      <c r="L70" t="s">
        <v>86</v>
      </c>
      <c r="M70">
        <v>87110</v>
      </c>
      <c r="N70" t="s">
        <v>87</v>
      </c>
      <c r="P70" t="s">
        <v>87</v>
      </c>
      <c r="Q70" t="s">
        <v>87</v>
      </c>
    </row>
    <row r="71" spans="1:17" x14ac:dyDescent="0.2">
      <c r="A71">
        <v>10317</v>
      </c>
      <c r="B71" t="s">
        <v>202</v>
      </c>
      <c r="C71">
        <v>6</v>
      </c>
      <c r="D71" s="1">
        <v>35338</v>
      </c>
      <c r="E71" s="1">
        <v>35366</v>
      </c>
      <c r="F71" s="1">
        <v>35348</v>
      </c>
      <c r="G71">
        <v>1</v>
      </c>
      <c r="H71">
        <v>12.69</v>
      </c>
      <c r="I71" t="s">
        <v>203</v>
      </c>
      <c r="J71" t="s">
        <v>204</v>
      </c>
      <c r="K71" t="s">
        <v>205</v>
      </c>
      <c r="L71" t="s">
        <v>206</v>
      </c>
      <c r="M71">
        <v>97219</v>
      </c>
      <c r="N71" t="s">
        <v>87</v>
      </c>
      <c r="P71" t="s">
        <v>87</v>
      </c>
      <c r="Q71" t="s">
        <v>87</v>
      </c>
    </row>
    <row r="72" spans="1:17" x14ac:dyDescent="0.2">
      <c r="A72">
        <v>10318</v>
      </c>
      <c r="B72" t="s">
        <v>218</v>
      </c>
      <c r="C72">
        <v>8</v>
      </c>
      <c r="D72" s="1">
        <v>35339</v>
      </c>
      <c r="E72" s="1">
        <v>35367</v>
      </c>
      <c r="F72" s="1">
        <v>35342</v>
      </c>
      <c r="G72">
        <v>2</v>
      </c>
      <c r="H72">
        <v>4.7300000000000004</v>
      </c>
      <c r="I72" t="s">
        <v>219</v>
      </c>
      <c r="J72" t="s">
        <v>220</v>
      </c>
      <c r="K72" t="s">
        <v>221</v>
      </c>
      <c r="L72" t="s">
        <v>222</v>
      </c>
      <c r="M72" t="s">
        <v>223</v>
      </c>
      <c r="N72" t="s">
        <v>173</v>
      </c>
      <c r="P72" t="s">
        <v>173</v>
      </c>
      <c r="Q72" t="s">
        <v>173</v>
      </c>
    </row>
    <row r="73" spans="1:17" x14ac:dyDescent="0.2">
      <c r="A73">
        <v>10319</v>
      </c>
      <c r="B73" t="s">
        <v>132</v>
      </c>
      <c r="C73">
        <v>7</v>
      </c>
      <c r="D73" s="1">
        <v>35340</v>
      </c>
      <c r="E73" s="1">
        <v>35368</v>
      </c>
      <c r="F73" s="1">
        <v>35349</v>
      </c>
      <c r="G73">
        <v>3</v>
      </c>
      <c r="H73">
        <v>64.5</v>
      </c>
      <c r="I73" t="s">
        <v>133</v>
      </c>
      <c r="J73" t="s">
        <v>134</v>
      </c>
      <c r="K73" t="s">
        <v>71</v>
      </c>
      <c r="L73" t="s">
        <v>18</v>
      </c>
      <c r="M73" s="2" t="s">
        <v>135</v>
      </c>
      <c r="N73" t="s">
        <v>73</v>
      </c>
      <c r="P73" t="s">
        <v>73</v>
      </c>
      <c r="Q73" t="s">
        <v>73</v>
      </c>
    </row>
    <row r="74" spans="1:17" x14ac:dyDescent="0.2">
      <c r="A74">
        <v>10320</v>
      </c>
      <c r="B74" t="s">
        <v>98</v>
      </c>
      <c r="C74">
        <v>5</v>
      </c>
      <c r="D74" s="1">
        <v>35341</v>
      </c>
      <c r="E74" s="1">
        <v>35355</v>
      </c>
      <c r="F74" s="1">
        <v>35356</v>
      </c>
      <c r="G74">
        <v>3</v>
      </c>
      <c r="H74">
        <v>34.57</v>
      </c>
      <c r="I74" t="s">
        <v>99</v>
      </c>
      <c r="J74" t="s">
        <v>100</v>
      </c>
      <c r="K74" t="s">
        <v>101</v>
      </c>
      <c r="L74" t="s">
        <v>18</v>
      </c>
      <c r="M74">
        <v>90110</v>
      </c>
      <c r="N74" t="s">
        <v>102</v>
      </c>
      <c r="P74" t="s">
        <v>102</v>
      </c>
      <c r="Q74" t="s">
        <v>102</v>
      </c>
    </row>
    <row r="75" spans="1:17" x14ac:dyDescent="0.2">
      <c r="A75">
        <v>10321</v>
      </c>
      <c r="B75" t="s">
        <v>218</v>
      </c>
      <c r="C75">
        <v>3</v>
      </c>
      <c r="D75" s="1">
        <v>35341</v>
      </c>
      <c r="E75" s="1">
        <v>35369</v>
      </c>
      <c r="F75" s="1">
        <v>35349</v>
      </c>
      <c r="G75">
        <v>2</v>
      </c>
      <c r="H75">
        <v>3.43</v>
      </c>
      <c r="I75" t="s">
        <v>219</v>
      </c>
      <c r="J75" t="s">
        <v>220</v>
      </c>
      <c r="K75" t="s">
        <v>221</v>
      </c>
      <c r="L75" t="s">
        <v>222</v>
      </c>
      <c r="M75" t="s">
        <v>223</v>
      </c>
      <c r="N75" t="s">
        <v>173</v>
      </c>
      <c r="P75" t="s">
        <v>173</v>
      </c>
      <c r="Q75" t="s">
        <v>173</v>
      </c>
    </row>
    <row r="76" spans="1:17" x14ac:dyDescent="0.2">
      <c r="A76">
        <v>10322</v>
      </c>
      <c r="B76" t="s">
        <v>224</v>
      </c>
      <c r="C76">
        <v>7</v>
      </c>
      <c r="D76" s="1">
        <v>35342</v>
      </c>
      <c r="E76" s="1">
        <v>35370</v>
      </c>
      <c r="F76" s="1">
        <v>35361</v>
      </c>
      <c r="G76">
        <v>3</v>
      </c>
      <c r="H76">
        <v>0.4</v>
      </c>
      <c r="I76" t="s">
        <v>225</v>
      </c>
      <c r="J76" t="s">
        <v>226</v>
      </c>
      <c r="K76" t="s">
        <v>71</v>
      </c>
      <c r="L76" t="s">
        <v>18</v>
      </c>
      <c r="M76" s="2" t="s">
        <v>135</v>
      </c>
      <c r="N76" t="s">
        <v>73</v>
      </c>
      <c r="P76" t="s">
        <v>73</v>
      </c>
      <c r="Q76" t="s">
        <v>73</v>
      </c>
    </row>
    <row r="77" spans="1:17" x14ac:dyDescent="0.2">
      <c r="A77">
        <v>10323</v>
      </c>
      <c r="B77" t="s">
        <v>227</v>
      </c>
      <c r="C77">
        <v>4</v>
      </c>
      <c r="D77" s="1">
        <v>35345</v>
      </c>
      <c r="E77" s="1">
        <v>35373</v>
      </c>
      <c r="F77" s="1">
        <v>35352</v>
      </c>
      <c r="G77">
        <v>1</v>
      </c>
      <c r="H77">
        <v>4.88</v>
      </c>
      <c r="I77" t="s">
        <v>228</v>
      </c>
      <c r="J77" t="s">
        <v>229</v>
      </c>
      <c r="K77" t="s">
        <v>230</v>
      </c>
      <c r="L77" t="s">
        <v>18</v>
      </c>
      <c r="M77">
        <v>14776</v>
      </c>
      <c r="N77" t="s">
        <v>24</v>
      </c>
      <c r="P77" t="s">
        <v>24</v>
      </c>
      <c r="Q77" t="s">
        <v>24</v>
      </c>
    </row>
    <row r="78" spans="1:17" x14ac:dyDescent="0.2">
      <c r="A78">
        <v>10324</v>
      </c>
      <c r="B78" t="s">
        <v>231</v>
      </c>
      <c r="C78">
        <v>9</v>
      </c>
      <c r="D78" s="1">
        <v>35346</v>
      </c>
      <c r="E78" s="1">
        <v>35374</v>
      </c>
      <c r="F78" s="1">
        <v>35348</v>
      </c>
      <c r="G78">
        <v>1</v>
      </c>
      <c r="H78">
        <v>214.27</v>
      </c>
      <c r="I78" t="s">
        <v>232</v>
      </c>
      <c r="J78" t="s">
        <v>233</v>
      </c>
      <c r="K78" t="s">
        <v>234</v>
      </c>
      <c r="L78" t="s">
        <v>235</v>
      </c>
      <c r="M78">
        <v>83720</v>
      </c>
      <c r="N78" t="s">
        <v>87</v>
      </c>
      <c r="P78" t="s">
        <v>87</v>
      </c>
      <c r="Q78" t="s">
        <v>87</v>
      </c>
    </row>
    <row r="79" spans="1:17" x14ac:dyDescent="0.2">
      <c r="A79">
        <v>10325</v>
      </c>
      <c r="B79" t="s">
        <v>227</v>
      </c>
      <c r="C79">
        <v>1</v>
      </c>
      <c r="D79" s="1">
        <v>35347</v>
      </c>
      <c r="E79" s="1">
        <v>35361</v>
      </c>
      <c r="F79" s="1">
        <v>35352</v>
      </c>
      <c r="G79">
        <v>3</v>
      </c>
      <c r="H79">
        <v>64.86</v>
      </c>
      <c r="I79" t="s">
        <v>228</v>
      </c>
      <c r="J79" t="s">
        <v>229</v>
      </c>
      <c r="K79" t="s">
        <v>230</v>
      </c>
      <c r="L79" t="s">
        <v>18</v>
      </c>
      <c r="M79">
        <v>14776</v>
      </c>
      <c r="N79" t="s">
        <v>24</v>
      </c>
      <c r="P79" t="s">
        <v>24</v>
      </c>
      <c r="Q79" t="s">
        <v>24</v>
      </c>
    </row>
    <row r="80" spans="1:17" x14ac:dyDescent="0.2">
      <c r="A80">
        <v>10326</v>
      </c>
      <c r="B80" t="s">
        <v>236</v>
      </c>
      <c r="C80">
        <v>4</v>
      </c>
      <c r="D80" s="1">
        <v>35348</v>
      </c>
      <c r="E80" s="1">
        <v>35376</v>
      </c>
      <c r="F80" s="1">
        <v>35352</v>
      </c>
      <c r="G80">
        <v>2</v>
      </c>
      <c r="H80">
        <v>77.92</v>
      </c>
      <c r="I80" t="s">
        <v>237</v>
      </c>
      <c r="J80" t="s">
        <v>238</v>
      </c>
      <c r="K80">
        <v>67</v>
      </c>
      <c r="L80" t="s">
        <v>153</v>
      </c>
      <c r="M80" t="s">
        <v>18</v>
      </c>
      <c r="N80">
        <v>28023</v>
      </c>
      <c r="O80" t="s">
        <v>154</v>
      </c>
      <c r="P80" t="s">
        <v>154</v>
      </c>
      <c r="Q80" t="s">
        <v>154</v>
      </c>
    </row>
    <row r="81" spans="1:17" x14ac:dyDescent="0.2">
      <c r="A81">
        <v>10327</v>
      </c>
      <c r="B81" t="s">
        <v>88</v>
      </c>
      <c r="C81">
        <v>2</v>
      </c>
      <c r="D81" s="1">
        <v>35349</v>
      </c>
      <c r="E81" s="1">
        <v>35377</v>
      </c>
      <c r="F81" s="1">
        <v>35352</v>
      </c>
      <c r="G81">
        <v>1</v>
      </c>
      <c r="H81">
        <v>63.36</v>
      </c>
      <c r="I81" t="s">
        <v>89</v>
      </c>
      <c r="J81" t="s">
        <v>90</v>
      </c>
      <c r="K81" t="s">
        <v>91</v>
      </c>
      <c r="L81" t="s">
        <v>18</v>
      </c>
      <c r="M81" t="s">
        <v>92</v>
      </c>
      <c r="N81" t="s">
        <v>93</v>
      </c>
      <c r="P81" t="s">
        <v>93</v>
      </c>
      <c r="Q81" t="s">
        <v>93</v>
      </c>
    </row>
    <row r="82" spans="1:17" x14ac:dyDescent="0.2">
      <c r="A82">
        <v>10328</v>
      </c>
      <c r="B82" t="s">
        <v>239</v>
      </c>
      <c r="C82">
        <v>4</v>
      </c>
      <c r="D82" s="1">
        <v>35352</v>
      </c>
      <c r="E82" s="1">
        <v>35380</v>
      </c>
      <c r="F82" s="1">
        <v>35355</v>
      </c>
      <c r="G82">
        <v>3</v>
      </c>
      <c r="H82">
        <v>87.03</v>
      </c>
      <c r="I82" t="s">
        <v>240</v>
      </c>
      <c r="J82" t="s">
        <v>241</v>
      </c>
      <c r="K82" t="s">
        <v>242</v>
      </c>
      <c r="L82" t="s">
        <v>18</v>
      </c>
      <c r="M82">
        <v>1675</v>
      </c>
      <c r="N82" t="s">
        <v>243</v>
      </c>
      <c r="P82" t="s">
        <v>243</v>
      </c>
      <c r="Q82" t="s">
        <v>243</v>
      </c>
    </row>
    <row r="83" spans="1:17" x14ac:dyDescent="0.2">
      <c r="A83">
        <v>10329</v>
      </c>
      <c r="B83" t="s">
        <v>117</v>
      </c>
      <c r="C83">
        <v>4</v>
      </c>
      <c r="D83" s="1">
        <v>35353</v>
      </c>
      <c r="E83" s="1">
        <v>35395</v>
      </c>
      <c r="F83" s="1">
        <v>35361</v>
      </c>
      <c r="G83">
        <v>2</v>
      </c>
      <c r="H83">
        <v>191.67</v>
      </c>
      <c r="I83" t="s">
        <v>118</v>
      </c>
      <c r="J83" t="s">
        <v>119</v>
      </c>
      <c r="K83" t="s">
        <v>120</v>
      </c>
      <c r="L83" t="s">
        <v>121</v>
      </c>
      <c r="M83">
        <v>82520</v>
      </c>
      <c r="N83" t="s">
        <v>87</v>
      </c>
      <c r="P83" t="s">
        <v>87</v>
      </c>
      <c r="Q83" t="s">
        <v>87</v>
      </c>
    </row>
    <row r="84" spans="1:17" x14ac:dyDescent="0.2">
      <c r="A84">
        <v>10330</v>
      </c>
      <c r="B84" t="s">
        <v>155</v>
      </c>
      <c r="C84">
        <v>3</v>
      </c>
      <c r="D84" s="1">
        <v>35354</v>
      </c>
      <c r="E84" s="1">
        <v>35382</v>
      </c>
      <c r="F84" s="1">
        <v>35366</v>
      </c>
      <c r="G84">
        <v>1</v>
      </c>
      <c r="H84">
        <v>12.75</v>
      </c>
      <c r="I84" t="s">
        <v>156</v>
      </c>
      <c r="J84" t="s">
        <v>157</v>
      </c>
      <c r="K84" t="s">
        <v>158</v>
      </c>
      <c r="L84" t="s">
        <v>159</v>
      </c>
      <c r="M84">
        <v>3508</v>
      </c>
      <c r="N84" t="s">
        <v>62</v>
      </c>
      <c r="P84" t="s">
        <v>62</v>
      </c>
      <c r="Q84" t="s">
        <v>62</v>
      </c>
    </row>
    <row r="85" spans="1:17" x14ac:dyDescent="0.2">
      <c r="A85">
        <v>10331</v>
      </c>
      <c r="B85" t="s">
        <v>244</v>
      </c>
      <c r="C85">
        <v>9</v>
      </c>
      <c r="D85" s="1">
        <v>35354</v>
      </c>
      <c r="E85" s="1">
        <v>35396</v>
      </c>
      <c r="F85" s="1">
        <v>35359</v>
      </c>
      <c r="G85">
        <v>1</v>
      </c>
      <c r="H85">
        <v>10.19</v>
      </c>
      <c r="I85" t="s">
        <v>245</v>
      </c>
      <c r="J85">
        <v>12</v>
      </c>
      <c r="K85" t="s">
        <v>246</v>
      </c>
      <c r="L85" t="s">
        <v>247</v>
      </c>
      <c r="M85" t="s">
        <v>18</v>
      </c>
      <c r="N85">
        <v>13008</v>
      </c>
      <c r="O85" t="s">
        <v>19</v>
      </c>
      <c r="P85" t="s">
        <v>19</v>
      </c>
      <c r="Q85" t="s">
        <v>19</v>
      </c>
    </row>
    <row r="86" spans="1:17" x14ac:dyDescent="0.2">
      <c r="A86">
        <v>10332</v>
      </c>
      <c r="B86" t="s">
        <v>248</v>
      </c>
      <c r="C86">
        <v>3</v>
      </c>
      <c r="D86" s="1">
        <v>35355</v>
      </c>
      <c r="E86" s="1">
        <v>35397</v>
      </c>
      <c r="F86" s="1">
        <v>35359</v>
      </c>
      <c r="G86">
        <v>2</v>
      </c>
      <c r="H86">
        <v>52.84</v>
      </c>
      <c r="I86" t="s">
        <v>249</v>
      </c>
      <c r="J86" t="s">
        <v>250</v>
      </c>
      <c r="K86" t="s">
        <v>251</v>
      </c>
      <c r="L86" t="s">
        <v>252</v>
      </c>
      <c r="M86" t="s">
        <v>253</v>
      </c>
      <c r="N86" t="s">
        <v>254</v>
      </c>
      <c r="P86" t="s">
        <v>254</v>
      </c>
      <c r="Q86" t="s">
        <v>254</v>
      </c>
    </row>
    <row r="87" spans="1:17" x14ac:dyDescent="0.2">
      <c r="A87">
        <v>10333</v>
      </c>
      <c r="B87" t="s">
        <v>98</v>
      </c>
      <c r="C87">
        <v>5</v>
      </c>
      <c r="D87" s="1">
        <v>35356</v>
      </c>
      <c r="E87" s="1">
        <v>35384</v>
      </c>
      <c r="F87" s="1">
        <v>35363</v>
      </c>
      <c r="G87">
        <v>3</v>
      </c>
      <c r="H87">
        <v>0.59</v>
      </c>
      <c r="I87" t="s">
        <v>99</v>
      </c>
      <c r="J87" t="s">
        <v>100</v>
      </c>
      <c r="K87" t="s">
        <v>101</v>
      </c>
      <c r="L87" t="s">
        <v>18</v>
      </c>
      <c r="M87">
        <v>90110</v>
      </c>
      <c r="N87" t="s">
        <v>102</v>
      </c>
      <c r="P87" t="s">
        <v>102</v>
      </c>
      <c r="Q87" t="s">
        <v>102</v>
      </c>
    </row>
    <row r="88" spans="1:17" x14ac:dyDescent="0.2">
      <c r="A88">
        <v>10334</v>
      </c>
      <c r="B88" t="s">
        <v>32</v>
      </c>
      <c r="C88">
        <v>8</v>
      </c>
      <c r="D88" s="1">
        <v>35359</v>
      </c>
      <c r="E88" s="1">
        <v>35387</v>
      </c>
      <c r="F88" s="1">
        <v>35366</v>
      </c>
      <c r="G88">
        <v>2</v>
      </c>
      <c r="H88">
        <v>8.56</v>
      </c>
      <c r="I88" t="s">
        <v>33</v>
      </c>
      <c r="J88">
        <v>2</v>
      </c>
      <c r="K88" t="s">
        <v>34</v>
      </c>
      <c r="L88" t="s">
        <v>35</v>
      </c>
      <c r="M88" t="s">
        <v>18</v>
      </c>
      <c r="N88">
        <v>69004</v>
      </c>
      <c r="O88" t="s">
        <v>19</v>
      </c>
      <c r="P88" t="s">
        <v>19</v>
      </c>
      <c r="Q88" t="s">
        <v>19</v>
      </c>
    </row>
    <row r="89" spans="1:17" x14ac:dyDescent="0.2">
      <c r="A89">
        <v>10335</v>
      </c>
      <c r="B89" t="s">
        <v>183</v>
      </c>
      <c r="C89">
        <v>7</v>
      </c>
      <c r="D89" s="1">
        <v>35360</v>
      </c>
      <c r="E89" s="1">
        <v>35388</v>
      </c>
      <c r="F89" s="1">
        <v>35362</v>
      </c>
      <c r="G89">
        <v>2</v>
      </c>
      <c r="H89">
        <v>42.11</v>
      </c>
      <c r="I89" t="s">
        <v>184</v>
      </c>
      <c r="J89" t="s">
        <v>185</v>
      </c>
      <c r="K89" t="s">
        <v>186</v>
      </c>
      <c r="L89" t="s">
        <v>187</v>
      </c>
      <c r="M89" t="s">
        <v>18</v>
      </c>
      <c r="N89" t="s">
        <v>188</v>
      </c>
      <c r="P89" t="s">
        <v>188</v>
      </c>
      <c r="Q89" t="s">
        <v>188</v>
      </c>
    </row>
    <row r="90" spans="1:17" x14ac:dyDescent="0.2">
      <c r="A90">
        <v>10336</v>
      </c>
      <c r="B90" t="s">
        <v>255</v>
      </c>
      <c r="C90">
        <v>7</v>
      </c>
      <c r="D90" s="1">
        <v>35361</v>
      </c>
      <c r="E90" s="1">
        <v>35389</v>
      </c>
      <c r="F90" s="1">
        <v>35363</v>
      </c>
      <c r="G90">
        <v>2</v>
      </c>
      <c r="H90">
        <v>15.51</v>
      </c>
      <c r="I90" t="s">
        <v>256</v>
      </c>
      <c r="J90" t="s">
        <v>257</v>
      </c>
      <c r="K90" t="s">
        <v>242</v>
      </c>
      <c r="L90" t="s">
        <v>18</v>
      </c>
      <c r="M90">
        <v>1756</v>
      </c>
      <c r="N90" t="s">
        <v>243</v>
      </c>
      <c r="P90" t="s">
        <v>243</v>
      </c>
      <c r="Q90" t="s">
        <v>243</v>
      </c>
    </row>
    <row r="91" spans="1:17" x14ac:dyDescent="0.2">
      <c r="A91">
        <v>10337</v>
      </c>
      <c r="B91" t="s">
        <v>103</v>
      </c>
      <c r="C91">
        <v>4</v>
      </c>
      <c r="D91" s="1">
        <v>35362</v>
      </c>
      <c r="E91" s="1">
        <v>35390</v>
      </c>
      <c r="F91" s="1">
        <v>35367</v>
      </c>
      <c r="G91">
        <v>3</v>
      </c>
      <c r="H91">
        <v>108.26</v>
      </c>
      <c r="I91" t="s">
        <v>104</v>
      </c>
      <c r="J91" t="s">
        <v>105</v>
      </c>
      <c r="K91" t="s">
        <v>106</v>
      </c>
      <c r="L91" t="s">
        <v>18</v>
      </c>
      <c r="M91">
        <v>80805</v>
      </c>
      <c r="N91" t="s">
        <v>24</v>
      </c>
      <c r="P91" t="s">
        <v>24</v>
      </c>
      <c r="Q91" t="s">
        <v>24</v>
      </c>
    </row>
    <row r="92" spans="1:17" x14ac:dyDescent="0.2">
      <c r="A92">
        <v>10338</v>
      </c>
      <c r="B92" t="s">
        <v>197</v>
      </c>
      <c r="C92">
        <v>4</v>
      </c>
      <c r="D92" s="1">
        <v>35363</v>
      </c>
      <c r="E92" s="1">
        <v>35391</v>
      </c>
      <c r="F92" s="1">
        <v>35367</v>
      </c>
      <c r="G92">
        <v>3</v>
      </c>
      <c r="H92">
        <v>84.21</v>
      </c>
      <c r="I92" t="s">
        <v>198</v>
      </c>
      <c r="J92" t="s">
        <v>199</v>
      </c>
      <c r="K92" t="s">
        <v>200</v>
      </c>
      <c r="L92" t="s">
        <v>201</v>
      </c>
      <c r="M92">
        <v>99508</v>
      </c>
      <c r="N92" t="s">
        <v>87</v>
      </c>
      <c r="P92" t="s">
        <v>87</v>
      </c>
      <c r="Q92" t="s">
        <v>87</v>
      </c>
    </row>
    <row r="93" spans="1:17" x14ac:dyDescent="0.2">
      <c r="A93">
        <v>10339</v>
      </c>
      <c r="B93" t="s">
        <v>248</v>
      </c>
      <c r="C93">
        <v>2</v>
      </c>
      <c r="D93" s="1">
        <v>35366</v>
      </c>
      <c r="E93" s="1">
        <v>35394</v>
      </c>
      <c r="F93" s="1">
        <v>35373</v>
      </c>
      <c r="G93">
        <v>2</v>
      </c>
      <c r="H93">
        <v>15.66</v>
      </c>
      <c r="I93" t="s">
        <v>249</v>
      </c>
      <c r="J93" t="s">
        <v>250</v>
      </c>
      <c r="K93" t="s">
        <v>251</v>
      </c>
      <c r="L93" t="s">
        <v>252</v>
      </c>
      <c r="M93" t="s">
        <v>253</v>
      </c>
      <c r="N93" t="s">
        <v>254</v>
      </c>
      <c r="P93" t="s">
        <v>254</v>
      </c>
      <c r="Q93" t="s">
        <v>254</v>
      </c>
    </row>
    <row r="94" spans="1:17" x14ac:dyDescent="0.2">
      <c r="A94">
        <v>10340</v>
      </c>
      <c r="B94" t="s">
        <v>244</v>
      </c>
      <c r="C94">
        <v>1</v>
      </c>
      <c r="D94" s="1">
        <v>35367</v>
      </c>
      <c r="E94" s="1">
        <v>35395</v>
      </c>
      <c r="F94" s="1">
        <v>35377</v>
      </c>
      <c r="G94">
        <v>3</v>
      </c>
      <c r="H94">
        <v>166.31</v>
      </c>
      <c r="I94" t="s">
        <v>245</v>
      </c>
      <c r="J94">
        <v>12</v>
      </c>
      <c r="K94" t="s">
        <v>246</v>
      </c>
      <c r="L94" t="s">
        <v>247</v>
      </c>
      <c r="M94" t="s">
        <v>18</v>
      </c>
      <c r="N94">
        <v>13008</v>
      </c>
      <c r="O94" t="s">
        <v>19</v>
      </c>
      <c r="P94" t="s">
        <v>19</v>
      </c>
      <c r="Q94" t="s">
        <v>19</v>
      </c>
    </row>
    <row r="95" spans="1:17" x14ac:dyDescent="0.2">
      <c r="A95">
        <v>10341</v>
      </c>
      <c r="B95" t="s">
        <v>258</v>
      </c>
      <c r="C95">
        <v>7</v>
      </c>
      <c r="D95" s="1">
        <v>35367</v>
      </c>
      <c r="E95" s="1">
        <v>35395</v>
      </c>
      <c r="F95" s="1">
        <v>35374</v>
      </c>
      <c r="G95">
        <v>3</v>
      </c>
      <c r="H95">
        <v>26.78</v>
      </c>
      <c r="I95" t="s">
        <v>259</v>
      </c>
      <c r="J95" t="s">
        <v>260</v>
      </c>
      <c r="K95" t="s">
        <v>261</v>
      </c>
      <c r="L95" t="s">
        <v>18</v>
      </c>
      <c r="M95">
        <v>1734</v>
      </c>
      <c r="N95" t="s">
        <v>262</v>
      </c>
      <c r="P95" t="s">
        <v>262</v>
      </c>
      <c r="Q95" t="s">
        <v>262</v>
      </c>
    </row>
    <row r="96" spans="1:17" x14ac:dyDescent="0.2">
      <c r="A96">
        <v>10342</v>
      </c>
      <c r="B96" t="s">
        <v>103</v>
      </c>
      <c r="C96">
        <v>4</v>
      </c>
      <c r="D96" s="1">
        <v>35368</v>
      </c>
      <c r="E96" s="1">
        <v>35382</v>
      </c>
      <c r="F96" s="1">
        <v>35373</v>
      </c>
      <c r="G96">
        <v>2</v>
      </c>
      <c r="H96">
        <v>54.83</v>
      </c>
      <c r="I96" t="s">
        <v>104</v>
      </c>
      <c r="J96" t="s">
        <v>105</v>
      </c>
      <c r="K96" t="s">
        <v>106</v>
      </c>
      <c r="L96" t="s">
        <v>18</v>
      </c>
      <c r="M96">
        <v>80805</v>
      </c>
      <c r="N96" t="s">
        <v>24</v>
      </c>
      <c r="P96" t="s">
        <v>24</v>
      </c>
      <c r="Q96" t="s">
        <v>24</v>
      </c>
    </row>
    <row r="97" spans="1:17" x14ac:dyDescent="0.2">
      <c r="A97">
        <v>10343</v>
      </c>
      <c r="B97" t="s">
        <v>146</v>
      </c>
      <c r="C97">
        <v>4</v>
      </c>
      <c r="D97" s="1">
        <v>35369</v>
      </c>
      <c r="E97" s="1">
        <v>35397</v>
      </c>
      <c r="F97" s="1">
        <v>35375</v>
      </c>
      <c r="G97">
        <v>1</v>
      </c>
      <c r="H97">
        <v>110.37</v>
      </c>
      <c r="I97" t="s">
        <v>147</v>
      </c>
      <c r="J97" t="s">
        <v>148</v>
      </c>
      <c r="K97" t="s">
        <v>149</v>
      </c>
      <c r="L97" t="s">
        <v>18</v>
      </c>
      <c r="M97">
        <v>60528</v>
      </c>
      <c r="N97" t="s">
        <v>24</v>
      </c>
      <c r="P97" t="s">
        <v>24</v>
      </c>
      <c r="Q97" t="s">
        <v>24</v>
      </c>
    </row>
    <row r="98" spans="1:17" x14ac:dyDescent="0.2">
      <c r="A98">
        <v>10344</v>
      </c>
      <c r="B98" t="s">
        <v>112</v>
      </c>
      <c r="C98">
        <v>4</v>
      </c>
      <c r="D98" s="1">
        <v>35370</v>
      </c>
      <c r="E98" s="1">
        <v>35398</v>
      </c>
      <c r="F98" s="1">
        <v>35374</v>
      </c>
      <c r="G98">
        <v>2</v>
      </c>
      <c r="H98">
        <v>23.29</v>
      </c>
      <c r="I98" t="s">
        <v>113</v>
      </c>
      <c r="J98" t="s">
        <v>114</v>
      </c>
      <c r="K98" t="s">
        <v>115</v>
      </c>
      <c r="L98" t="s">
        <v>116</v>
      </c>
      <c r="M98">
        <v>98124</v>
      </c>
      <c r="N98" t="s">
        <v>87</v>
      </c>
      <c r="P98" t="s">
        <v>87</v>
      </c>
      <c r="Q98" t="s">
        <v>87</v>
      </c>
    </row>
    <row r="99" spans="1:17" x14ac:dyDescent="0.2">
      <c r="A99">
        <v>10345</v>
      </c>
      <c r="B99" t="s">
        <v>122</v>
      </c>
      <c r="C99">
        <v>2</v>
      </c>
      <c r="D99" s="1">
        <v>35373</v>
      </c>
      <c r="E99" s="1">
        <v>35401</v>
      </c>
      <c r="F99" s="1">
        <v>35380</v>
      </c>
      <c r="G99">
        <v>2</v>
      </c>
      <c r="H99">
        <v>249.06</v>
      </c>
      <c r="I99" t="s">
        <v>123</v>
      </c>
      <c r="J99" t="s">
        <v>124</v>
      </c>
      <c r="K99" t="s">
        <v>125</v>
      </c>
      <c r="L99" t="s">
        <v>18</v>
      </c>
      <c r="M99" s="2" t="s">
        <v>126</v>
      </c>
      <c r="N99" t="s">
        <v>24</v>
      </c>
      <c r="P99" t="s">
        <v>24</v>
      </c>
      <c r="Q99" t="s">
        <v>24</v>
      </c>
    </row>
    <row r="100" spans="1:17" x14ac:dyDescent="0.2">
      <c r="A100">
        <v>10346</v>
      </c>
      <c r="B100" t="s">
        <v>82</v>
      </c>
      <c r="C100">
        <v>3</v>
      </c>
      <c r="D100" s="1">
        <v>35374</v>
      </c>
      <c r="E100" s="1">
        <v>35416</v>
      </c>
      <c r="F100" s="1">
        <v>35377</v>
      </c>
      <c r="G100">
        <v>3</v>
      </c>
      <c r="H100">
        <v>142.08000000000001</v>
      </c>
      <c r="I100" t="s">
        <v>83</v>
      </c>
      <c r="J100" t="s">
        <v>84</v>
      </c>
      <c r="K100" t="s">
        <v>85</v>
      </c>
      <c r="L100" t="s">
        <v>86</v>
      </c>
      <c r="M100">
        <v>87110</v>
      </c>
      <c r="N100" t="s">
        <v>87</v>
      </c>
      <c r="P100" t="s">
        <v>87</v>
      </c>
      <c r="Q100" t="s">
        <v>87</v>
      </c>
    </row>
    <row r="101" spans="1:17" x14ac:dyDescent="0.2">
      <c r="A101">
        <v>10347</v>
      </c>
      <c r="B101" t="s">
        <v>263</v>
      </c>
      <c r="C101">
        <v>4</v>
      </c>
      <c r="D101" s="1">
        <v>35375</v>
      </c>
      <c r="E101" s="1">
        <v>35403</v>
      </c>
      <c r="F101" s="1">
        <v>35377</v>
      </c>
      <c r="G101">
        <v>3</v>
      </c>
      <c r="H101">
        <v>3.1</v>
      </c>
      <c r="I101" t="s">
        <v>264</v>
      </c>
      <c r="J101" t="s">
        <v>265</v>
      </c>
      <c r="K101">
        <v>92</v>
      </c>
      <c r="L101" t="s">
        <v>177</v>
      </c>
      <c r="M101" t="s">
        <v>55</v>
      </c>
      <c r="N101" t="s">
        <v>266</v>
      </c>
      <c r="O101" t="s">
        <v>31</v>
      </c>
      <c r="P101" t="s">
        <v>31</v>
      </c>
      <c r="Q101" t="s">
        <v>31</v>
      </c>
    </row>
    <row r="102" spans="1:17" x14ac:dyDescent="0.2">
      <c r="A102">
        <v>10348</v>
      </c>
      <c r="B102" t="s">
        <v>189</v>
      </c>
      <c r="C102">
        <v>4</v>
      </c>
      <c r="D102" s="1">
        <v>35376</v>
      </c>
      <c r="E102" s="1">
        <v>35404</v>
      </c>
      <c r="F102" s="1">
        <v>35384</v>
      </c>
      <c r="G102">
        <v>2</v>
      </c>
      <c r="H102">
        <v>0.78</v>
      </c>
      <c r="I102" t="s">
        <v>190</v>
      </c>
      <c r="J102" t="s">
        <v>191</v>
      </c>
      <c r="K102" t="s">
        <v>192</v>
      </c>
      <c r="L102" t="s">
        <v>18</v>
      </c>
      <c r="M102">
        <v>70563</v>
      </c>
      <c r="N102" t="s">
        <v>24</v>
      </c>
      <c r="P102" t="s">
        <v>24</v>
      </c>
      <c r="Q102" t="s">
        <v>24</v>
      </c>
    </row>
    <row r="103" spans="1:17" x14ac:dyDescent="0.2">
      <c r="A103">
        <v>10349</v>
      </c>
      <c r="B103" t="s">
        <v>117</v>
      </c>
      <c r="C103">
        <v>7</v>
      </c>
      <c r="D103" s="1">
        <v>35377</v>
      </c>
      <c r="E103" s="1">
        <v>35405</v>
      </c>
      <c r="F103" s="1">
        <v>35384</v>
      </c>
      <c r="G103">
        <v>1</v>
      </c>
      <c r="H103">
        <v>8.6300000000000008</v>
      </c>
      <c r="I103" t="s">
        <v>118</v>
      </c>
      <c r="J103" t="s">
        <v>119</v>
      </c>
      <c r="K103" t="s">
        <v>120</v>
      </c>
      <c r="L103" t="s">
        <v>121</v>
      </c>
      <c r="M103">
        <v>82520</v>
      </c>
      <c r="N103" t="s">
        <v>87</v>
      </c>
      <c r="P103" t="s">
        <v>87</v>
      </c>
      <c r="Q103" t="s">
        <v>87</v>
      </c>
    </row>
    <row r="104" spans="1:17" x14ac:dyDescent="0.2">
      <c r="A104">
        <v>10350</v>
      </c>
      <c r="B104" t="s">
        <v>267</v>
      </c>
      <c r="C104">
        <v>6</v>
      </c>
      <c r="D104" s="1">
        <v>35380</v>
      </c>
      <c r="E104" s="1">
        <v>35408</v>
      </c>
      <c r="F104" s="1">
        <v>35402</v>
      </c>
      <c r="G104">
        <v>2</v>
      </c>
      <c r="H104">
        <v>64.19</v>
      </c>
      <c r="I104" t="s">
        <v>268</v>
      </c>
      <c r="J104" t="s">
        <v>269</v>
      </c>
      <c r="K104" t="s">
        <v>270</v>
      </c>
      <c r="L104" t="s">
        <v>18</v>
      </c>
      <c r="M104">
        <v>31000</v>
      </c>
      <c r="N104" t="s">
        <v>19</v>
      </c>
      <c r="P104" t="s">
        <v>19</v>
      </c>
      <c r="Q104" t="s">
        <v>19</v>
      </c>
    </row>
    <row r="105" spans="1:17" x14ac:dyDescent="0.2">
      <c r="A105">
        <v>10351</v>
      </c>
      <c r="B105" t="s">
        <v>63</v>
      </c>
      <c r="C105">
        <v>1</v>
      </c>
      <c r="D105" s="1">
        <v>35380</v>
      </c>
      <c r="E105" s="1">
        <v>35408</v>
      </c>
      <c r="F105" s="1">
        <v>35389</v>
      </c>
      <c r="G105">
        <v>1</v>
      </c>
      <c r="H105">
        <v>162.33000000000001</v>
      </c>
      <c r="I105" t="s">
        <v>64</v>
      </c>
      <c r="J105" t="s">
        <v>65</v>
      </c>
      <c r="K105" t="s">
        <v>66</v>
      </c>
      <c r="L105" t="s">
        <v>18</v>
      </c>
      <c r="M105">
        <v>8010</v>
      </c>
      <c r="N105" t="s">
        <v>67</v>
      </c>
      <c r="P105" t="s">
        <v>67</v>
      </c>
      <c r="Q105" t="s">
        <v>67</v>
      </c>
    </row>
    <row r="106" spans="1:17" x14ac:dyDescent="0.2">
      <c r="A106">
        <v>10352</v>
      </c>
      <c r="B106" t="s">
        <v>239</v>
      </c>
      <c r="C106">
        <v>3</v>
      </c>
      <c r="D106" s="1">
        <v>35381</v>
      </c>
      <c r="E106" s="1">
        <v>35395</v>
      </c>
      <c r="F106" s="1">
        <v>35387</v>
      </c>
      <c r="G106">
        <v>3</v>
      </c>
      <c r="H106">
        <v>1.3</v>
      </c>
      <c r="I106" t="s">
        <v>240</v>
      </c>
      <c r="J106" t="s">
        <v>241</v>
      </c>
      <c r="K106" t="s">
        <v>242</v>
      </c>
      <c r="L106" t="s">
        <v>18</v>
      </c>
      <c r="M106">
        <v>1675</v>
      </c>
      <c r="N106" t="s">
        <v>243</v>
      </c>
      <c r="P106" t="s">
        <v>243</v>
      </c>
      <c r="Q106" t="s">
        <v>243</v>
      </c>
    </row>
    <row r="107" spans="1:17" x14ac:dyDescent="0.2">
      <c r="A107">
        <v>10353</v>
      </c>
      <c r="B107" t="s">
        <v>271</v>
      </c>
      <c r="C107">
        <v>7</v>
      </c>
      <c r="D107" s="1">
        <v>35382</v>
      </c>
      <c r="E107" s="1">
        <v>35410</v>
      </c>
      <c r="F107" s="1">
        <v>35394</v>
      </c>
      <c r="G107">
        <v>3</v>
      </c>
      <c r="H107">
        <v>360.63</v>
      </c>
      <c r="I107" t="s">
        <v>272</v>
      </c>
      <c r="J107" t="s">
        <v>273</v>
      </c>
      <c r="K107" t="s">
        <v>274</v>
      </c>
      <c r="L107" t="s">
        <v>18</v>
      </c>
      <c r="M107">
        <v>5020</v>
      </c>
      <c r="N107" t="s">
        <v>67</v>
      </c>
      <c r="P107" t="s">
        <v>67</v>
      </c>
      <c r="Q107" t="s">
        <v>67</v>
      </c>
    </row>
    <row r="108" spans="1:17" x14ac:dyDescent="0.2">
      <c r="A108">
        <v>10354</v>
      </c>
      <c r="B108" t="s">
        <v>224</v>
      </c>
      <c r="C108">
        <v>8</v>
      </c>
      <c r="D108" s="1">
        <v>35383</v>
      </c>
      <c r="E108" s="1">
        <v>35411</v>
      </c>
      <c r="F108" s="1">
        <v>35389</v>
      </c>
      <c r="G108">
        <v>3</v>
      </c>
      <c r="H108">
        <v>53.8</v>
      </c>
      <c r="I108" t="s">
        <v>225</v>
      </c>
      <c r="J108" t="s">
        <v>226</v>
      </c>
      <c r="K108" t="s">
        <v>71</v>
      </c>
      <c r="L108" t="s">
        <v>18</v>
      </c>
      <c r="M108" s="2" t="s">
        <v>135</v>
      </c>
      <c r="N108" t="s">
        <v>73</v>
      </c>
      <c r="P108" t="s">
        <v>73</v>
      </c>
      <c r="Q108" t="s">
        <v>73</v>
      </c>
    </row>
    <row r="109" spans="1:17" x14ac:dyDescent="0.2">
      <c r="A109">
        <v>10355</v>
      </c>
      <c r="B109" t="s">
        <v>275</v>
      </c>
      <c r="C109">
        <v>6</v>
      </c>
      <c r="D109" s="1">
        <v>35384</v>
      </c>
      <c r="E109" s="1">
        <v>35412</v>
      </c>
      <c r="F109" s="1">
        <v>35389</v>
      </c>
      <c r="G109">
        <v>1</v>
      </c>
      <c r="H109">
        <v>41.95</v>
      </c>
      <c r="I109" t="s">
        <v>276</v>
      </c>
      <c r="J109" t="s">
        <v>277</v>
      </c>
      <c r="K109" t="s">
        <v>278</v>
      </c>
      <c r="L109" t="s">
        <v>279</v>
      </c>
      <c r="M109" t="s">
        <v>280</v>
      </c>
      <c r="N109" t="s">
        <v>173</v>
      </c>
      <c r="P109" t="s">
        <v>173</v>
      </c>
      <c r="Q109" t="s">
        <v>173</v>
      </c>
    </row>
    <row r="110" spans="1:17" x14ac:dyDescent="0.2">
      <c r="A110">
        <v>10356</v>
      </c>
      <c r="B110" t="s">
        <v>189</v>
      </c>
      <c r="C110">
        <v>6</v>
      </c>
      <c r="D110" s="1">
        <v>35387</v>
      </c>
      <c r="E110" s="1">
        <v>35415</v>
      </c>
      <c r="F110" s="1">
        <v>35396</v>
      </c>
      <c r="G110">
        <v>2</v>
      </c>
      <c r="H110">
        <v>36.71</v>
      </c>
      <c r="I110" t="s">
        <v>190</v>
      </c>
      <c r="J110" t="s">
        <v>191</v>
      </c>
      <c r="K110" t="s">
        <v>192</v>
      </c>
      <c r="L110" t="s">
        <v>18</v>
      </c>
      <c r="M110">
        <v>70563</v>
      </c>
      <c r="N110" t="s">
        <v>24</v>
      </c>
      <c r="P110" t="s">
        <v>24</v>
      </c>
      <c r="Q110" t="s">
        <v>24</v>
      </c>
    </row>
    <row r="111" spans="1:17" x14ac:dyDescent="0.2">
      <c r="A111">
        <v>10357</v>
      </c>
      <c r="B111" t="s">
        <v>155</v>
      </c>
      <c r="C111">
        <v>1</v>
      </c>
      <c r="D111" s="1">
        <v>35388</v>
      </c>
      <c r="E111" s="1">
        <v>35416</v>
      </c>
      <c r="F111" s="1">
        <v>35401</v>
      </c>
      <c r="G111">
        <v>3</v>
      </c>
      <c r="H111">
        <v>34.880000000000003</v>
      </c>
      <c r="I111" t="s">
        <v>156</v>
      </c>
      <c r="J111" t="s">
        <v>157</v>
      </c>
      <c r="K111" t="s">
        <v>158</v>
      </c>
      <c r="L111" t="s">
        <v>159</v>
      </c>
      <c r="M111">
        <v>3508</v>
      </c>
      <c r="N111" t="s">
        <v>62</v>
      </c>
      <c r="P111" t="s">
        <v>62</v>
      </c>
      <c r="Q111" t="s">
        <v>62</v>
      </c>
    </row>
    <row r="112" spans="1:17" x14ac:dyDescent="0.2">
      <c r="A112">
        <v>10358</v>
      </c>
      <c r="B112" t="s">
        <v>267</v>
      </c>
      <c r="C112">
        <v>5</v>
      </c>
      <c r="D112" s="1">
        <v>35389</v>
      </c>
      <c r="E112" s="1">
        <v>35417</v>
      </c>
      <c r="F112" s="1">
        <v>35396</v>
      </c>
      <c r="G112">
        <v>1</v>
      </c>
      <c r="H112">
        <v>19.64</v>
      </c>
      <c r="I112" t="s">
        <v>268</v>
      </c>
      <c r="J112" t="s">
        <v>269</v>
      </c>
      <c r="K112" t="s">
        <v>270</v>
      </c>
      <c r="L112" t="s">
        <v>18</v>
      </c>
      <c r="M112">
        <v>31000</v>
      </c>
      <c r="N112" t="s">
        <v>19</v>
      </c>
      <c r="P112" t="s">
        <v>19</v>
      </c>
      <c r="Q112" t="s">
        <v>19</v>
      </c>
    </row>
    <row r="113" spans="1:17" x14ac:dyDescent="0.2">
      <c r="A113">
        <v>10359</v>
      </c>
      <c r="B113" t="s">
        <v>281</v>
      </c>
      <c r="C113">
        <v>5</v>
      </c>
      <c r="D113" s="1">
        <v>35390</v>
      </c>
      <c r="E113" s="1">
        <v>35418</v>
      </c>
      <c r="F113" s="1">
        <v>35395</v>
      </c>
      <c r="G113">
        <v>3</v>
      </c>
      <c r="H113">
        <v>288.43</v>
      </c>
      <c r="I113" t="s">
        <v>282</v>
      </c>
      <c r="J113" t="s">
        <v>283</v>
      </c>
      <c r="K113" t="s">
        <v>171</v>
      </c>
      <c r="L113" t="s">
        <v>18</v>
      </c>
      <c r="M113" t="s">
        <v>284</v>
      </c>
      <c r="N113" t="s">
        <v>173</v>
      </c>
      <c r="P113" t="s">
        <v>173</v>
      </c>
      <c r="Q113" t="s">
        <v>173</v>
      </c>
    </row>
    <row r="114" spans="1:17" x14ac:dyDescent="0.2">
      <c r="A114">
        <v>10360</v>
      </c>
      <c r="B114" t="s">
        <v>94</v>
      </c>
      <c r="C114">
        <v>4</v>
      </c>
      <c r="D114" s="1">
        <v>35391</v>
      </c>
      <c r="E114" s="1">
        <v>35419</v>
      </c>
      <c r="F114" s="1">
        <v>35401</v>
      </c>
      <c r="G114">
        <v>3</v>
      </c>
      <c r="H114">
        <v>131.69999999999999</v>
      </c>
      <c r="I114" t="s">
        <v>95</v>
      </c>
      <c r="J114">
        <v>24</v>
      </c>
      <c r="K114" t="s">
        <v>96</v>
      </c>
      <c r="L114" t="s">
        <v>97</v>
      </c>
      <c r="M114" t="s">
        <v>18</v>
      </c>
      <c r="N114">
        <v>67000</v>
      </c>
      <c r="O114" t="s">
        <v>19</v>
      </c>
      <c r="P114" t="s">
        <v>19</v>
      </c>
      <c r="Q114" t="s">
        <v>19</v>
      </c>
    </row>
    <row r="115" spans="1:17" x14ac:dyDescent="0.2">
      <c r="A115">
        <v>10361</v>
      </c>
      <c r="B115" t="s">
        <v>122</v>
      </c>
      <c r="C115">
        <v>1</v>
      </c>
      <c r="D115" s="1">
        <v>35391</v>
      </c>
      <c r="E115" s="1">
        <v>35419</v>
      </c>
      <c r="F115" s="1">
        <v>35402</v>
      </c>
      <c r="G115">
        <v>2</v>
      </c>
      <c r="H115">
        <v>183.17</v>
      </c>
      <c r="I115" t="s">
        <v>123</v>
      </c>
      <c r="J115" t="s">
        <v>124</v>
      </c>
      <c r="K115" t="s">
        <v>125</v>
      </c>
      <c r="L115" t="s">
        <v>18</v>
      </c>
      <c r="M115" s="2" t="s">
        <v>126</v>
      </c>
      <c r="N115" t="s">
        <v>24</v>
      </c>
      <c r="P115" t="s">
        <v>24</v>
      </c>
      <c r="Q115" t="s">
        <v>24</v>
      </c>
    </row>
    <row r="116" spans="1:17" x14ac:dyDescent="0.2">
      <c r="A116">
        <v>10362</v>
      </c>
      <c r="B116" t="s">
        <v>244</v>
      </c>
      <c r="C116">
        <v>3</v>
      </c>
      <c r="D116" s="1">
        <v>35394</v>
      </c>
      <c r="E116" s="1">
        <v>35422</v>
      </c>
      <c r="F116" s="1">
        <v>35397</v>
      </c>
      <c r="G116">
        <v>1</v>
      </c>
      <c r="H116">
        <v>96.04</v>
      </c>
      <c r="I116" t="s">
        <v>245</v>
      </c>
      <c r="J116">
        <v>12</v>
      </c>
      <c r="K116" t="s">
        <v>246</v>
      </c>
      <c r="L116" t="s">
        <v>247</v>
      </c>
      <c r="M116" t="s">
        <v>18</v>
      </c>
      <c r="N116">
        <v>13008</v>
      </c>
      <c r="O116" t="s">
        <v>19</v>
      </c>
      <c r="P116" t="s">
        <v>19</v>
      </c>
      <c r="Q116" t="s">
        <v>19</v>
      </c>
    </row>
    <row r="117" spans="1:17" x14ac:dyDescent="0.2">
      <c r="A117">
        <v>10363</v>
      </c>
      <c r="B117" t="s">
        <v>285</v>
      </c>
      <c r="C117">
        <v>4</v>
      </c>
      <c r="D117" s="1">
        <v>35395</v>
      </c>
      <c r="E117" s="1">
        <v>35423</v>
      </c>
      <c r="F117" s="1">
        <v>35403</v>
      </c>
      <c r="G117">
        <v>3</v>
      </c>
      <c r="H117">
        <v>30.54</v>
      </c>
      <c r="I117" t="s">
        <v>286</v>
      </c>
      <c r="J117" t="s">
        <v>287</v>
      </c>
      <c r="K117" t="s">
        <v>288</v>
      </c>
      <c r="L117" t="s">
        <v>18</v>
      </c>
      <c r="M117">
        <v>52066</v>
      </c>
      <c r="N117" t="s">
        <v>24</v>
      </c>
      <c r="P117" t="s">
        <v>24</v>
      </c>
      <c r="Q117" t="s">
        <v>24</v>
      </c>
    </row>
    <row r="118" spans="1:17" x14ac:dyDescent="0.2">
      <c r="A118">
        <v>10364</v>
      </c>
      <c r="B118" t="s">
        <v>289</v>
      </c>
      <c r="C118">
        <v>1</v>
      </c>
      <c r="D118" s="1">
        <v>35395</v>
      </c>
      <c r="E118" s="1">
        <v>35437</v>
      </c>
      <c r="F118" s="1">
        <v>35403</v>
      </c>
      <c r="G118">
        <v>1</v>
      </c>
      <c r="H118">
        <v>71.97</v>
      </c>
      <c r="I118" t="s">
        <v>290</v>
      </c>
      <c r="J118" t="s">
        <v>291</v>
      </c>
      <c r="K118" t="s">
        <v>171</v>
      </c>
      <c r="L118" t="s">
        <v>18</v>
      </c>
      <c r="M118" t="s">
        <v>292</v>
      </c>
      <c r="N118" t="s">
        <v>173</v>
      </c>
      <c r="P118" t="s">
        <v>173</v>
      </c>
      <c r="Q118" t="s">
        <v>173</v>
      </c>
    </row>
    <row r="119" spans="1:17" x14ac:dyDescent="0.2">
      <c r="A119">
        <v>10365</v>
      </c>
      <c r="B119" t="s">
        <v>293</v>
      </c>
      <c r="C119">
        <v>3</v>
      </c>
      <c r="D119" s="1">
        <v>35396</v>
      </c>
      <c r="E119" s="1">
        <v>35424</v>
      </c>
      <c r="F119" s="1">
        <v>35401</v>
      </c>
      <c r="G119">
        <v>2</v>
      </c>
      <c r="H119">
        <v>22</v>
      </c>
      <c r="I119" t="s">
        <v>294</v>
      </c>
      <c r="J119" t="s">
        <v>295</v>
      </c>
      <c r="K119" t="s">
        <v>71</v>
      </c>
      <c r="L119" t="s">
        <v>18</v>
      </c>
      <c r="M119" s="2" t="s">
        <v>296</v>
      </c>
      <c r="N119" t="s">
        <v>73</v>
      </c>
      <c r="P119" t="s">
        <v>73</v>
      </c>
      <c r="Q119" t="s">
        <v>73</v>
      </c>
    </row>
    <row r="120" spans="1:17" x14ac:dyDescent="0.2">
      <c r="A120">
        <v>10366</v>
      </c>
      <c r="B120" t="s">
        <v>297</v>
      </c>
      <c r="C120">
        <v>8</v>
      </c>
      <c r="D120" s="1">
        <v>35397</v>
      </c>
      <c r="E120" s="1">
        <v>35439</v>
      </c>
      <c r="F120" s="1">
        <v>35429</v>
      </c>
      <c r="G120">
        <v>2</v>
      </c>
      <c r="H120">
        <v>10.14</v>
      </c>
      <c r="I120" t="s">
        <v>298</v>
      </c>
      <c r="J120" t="s">
        <v>299</v>
      </c>
      <c r="K120">
        <v>23</v>
      </c>
      <c r="L120" t="s">
        <v>300</v>
      </c>
      <c r="M120" t="s">
        <v>18</v>
      </c>
      <c r="N120">
        <v>8022</v>
      </c>
      <c r="O120" t="s">
        <v>154</v>
      </c>
      <c r="P120" t="s">
        <v>154</v>
      </c>
      <c r="Q120" t="s">
        <v>154</v>
      </c>
    </row>
    <row r="121" spans="1:17" x14ac:dyDescent="0.2">
      <c r="A121">
        <v>10367</v>
      </c>
      <c r="B121" t="s">
        <v>301</v>
      </c>
      <c r="C121">
        <v>7</v>
      </c>
      <c r="D121" s="1">
        <v>35397</v>
      </c>
      <c r="E121" s="1">
        <v>35425</v>
      </c>
      <c r="F121" s="1">
        <v>35401</v>
      </c>
      <c r="G121">
        <v>3</v>
      </c>
      <c r="H121">
        <v>13.55</v>
      </c>
      <c r="I121" t="s">
        <v>302</v>
      </c>
      <c r="J121" t="s">
        <v>303</v>
      </c>
      <c r="K121" t="s">
        <v>304</v>
      </c>
      <c r="L121" t="s">
        <v>18</v>
      </c>
      <c r="M121">
        <v>8200</v>
      </c>
      <c r="N121" t="s">
        <v>262</v>
      </c>
      <c r="P121" t="s">
        <v>262</v>
      </c>
      <c r="Q121" t="s">
        <v>262</v>
      </c>
    </row>
    <row r="122" spans="1:17" x14ac:dyDescent="0.2">
      <c r="A122">
        <v>10368</v>
      </c>
      <c r="B122" t="s">
        <v>63</v>
      </c>
      <c r="C122">
        <v>2</v>
      </c>
      <c r="D122" s="1">
        <v>35398</v>
      </c>
      <c r="E122" s="1">
        <v>35426</v>
      </c>
      <c r="F122" s="1">
        <v>35401</v>
      </c>
      <c r="G122">
        <v>2</v>
      </c>
      <c r="H122">
        <v>101.95</v>
      </c>
      <c r="I122" t="s">
        <v>64</v>
      </c>
      <c r="J122" t="s">
        <v>65</v>
      </c>
      <c r="K122" t="s">
        <v>66</v>
      </c>
      <c r="L122" t="s">
        <v>18</v>
      </c>
      <c r="M122">
        <v>8010</v>
      </c>
      <c r="N122" t="s">
        <v>67</v>
      </c>
      <c r="P122" t="s">
        <v>67</v>
      </c>
      <c r="Q122" t="s">
        <v>67</v>
      </c>
    </row>
    <row r="123" spans="1:17" x14ac:dyDescent="0.2">
      <c r="A123">
        <v>10369</v>
      </c>
      <c r="B123" t="s">
        <v>117</v>
      </c>
      <c r="C123">
        <v>8</v>
      </c>
      <c r="D123" s="1">
        <v>35401</v>
      </c>
      <c r="E123" s="1">
        <v>35429</v>
      </c>
      <c r="F123" s="1">
        <v>35408</v>
      </c>
      <c r="G123">
        <v>2</v>
      </c>
      <c r="H123">
        <v>195.68</v>
      </c>
      <c r="I123" t="s">
        <v>118</v>
      </c>
      <c r="J123" t="s">
        <v>119</v>
      </c>
      <c r="K123" t="s">
        <v>120</v>
      </c>
      <c r="L123" t="s">
        <v>121</v>
      </c>
      <c r="M123">
        <v>82520</v>
      </c>
      <c r="N123" t="s">
        <v>87</v>
      </c>
      <c r="P123" t="s">
        <v>87</v>
      </c>
      <c r="Q123" t="s">
        <v>87</v>
      </c>
    </row>
    <row r="124" spans="1:17" x14ac:dyDescent="0.2">
      <c r="A124">
        <v>10370</v>
      </c>
      <c r="B124" t="s">
        <v>42</v>
      </c>
      <c r="C124">
        <v>6</v>
      </c>
      <c r="D124" s="1">
        <v>35402</v>
      </c>
      <c r="E124" s="1">
        <v>35430</v>
      </c>
      <c r="F124" s="1">
        <v>35426</v>
      </c>
      <c r="G124">
        <v>2</v>
      </c>
      <c r="H124">
        <v>1.17</v>
      </c>
      <c r="I124" t="s">
        <v>43</v>
      </c>
      <c r="J124" t="s">
        <v>44</v>
      </c>
      <c r="K124" t="s">
        <v>45</v>
      </c>
      <c r="L124" t="s">
        <v>18</v>
      </c>
      <c r="M124">
        <v>3012</v>
      </c>
      <c r="N124" t="s">
        <v>46</v>
      </c>
      <c r="P124" t="s">
        <v>46</v>
      </c>
      <c r="Q124" t="s">
        <v>46</v>
      </c>
    </row>
    <row r="125" spans="1:17" x14ac:dyDescent="0.2">
      <c r="A125">
        <v>10371</v>
      </c>
      <c r="B125" t="s">
        <v>267</v>
      </c>
      <c r="C125">
        <v>1</v>
      </c>
      <c r="D125" s="1">
        <v>35402</v>
      </c>
      <c r="E125" s="1">
        <v>35430</v>
      </c>
      <c r="F125" s="1">
        <v>35423</v>
      </c>
      <c r="G125">
        <v>1</v>
      </c>
      <c r="H125">
        <v>0.45</v>
      </c>
      <c r="I125" t="s">
        <v>268</v>
      </c>
      <c r="J125" t="s">
        <v>269</v>
      </c>
      <c r="K125" t="s">
        <v>270</v>
      </c>
      <c r="L125" t="s">
        <v>18</v>
      </c>
      <c r="M125">
        <v>31000</v>
      </c>
      <c r="N125" t="s">
        <v>19</v>
      </c>
      <c r="P125" t="s">
        <v>19</v>
      </c>
      <c r="Q125" t="s">
        <v>19</v>
      </c>
    </row>
    <row r="126" spans="1:17" x14ac:dyDescent="0.2">
      <c r="A126">
        <v>10372</v>
      </c>
      <c r="B126" t="s">
        <v>305</v>
      </c>
      <c r="C126">
        <v>5</v>
      </c>
      <c r="D126" s="1">
        <v>35403</v>
      </c>
      <c r="E126" s="1">
        <v>35431</v>
      </c>
      <c r="F126" s="1">
        <v>35408</v>
      </c>
      <c r="G126">
        <v>2</v>
      </c>
      <c r="H126">
        <v>890.78</v>
      </c>
      <c r="I126" t="s">
        <v>306</v>
      </c>
      <c r="J126" t="s">
        <v>307</v>
      </c>
      <c r="K126">
        <v>891</v>
      </c>
      <c r="L126" t="s">
        <v>177</v>
      </c>
      <c r="M126" t="s">
        <v>55</v>
      </c>
      <c r="N126" t="s">
        <v>308</v>
      </c>
      <c r="O126" t="s">
        <v>31</v>
      </c>
      <c r="P126" t="s">
        <v>31</v>
      </c>
      <c r="Q126" t="s">
        <v>31</v>
      </c>
    </row>
    <row r="127" spans="1:17" x14ac:dyDescent="0.2">
      <c r="A127">
        <v>10373</v>
      </c>
      <c r="B127" t="s">
        <v>183</v>
      </c>
      <c r="C127">
        <v>4</v>
      </c>
      <c r="D127" s="1">
        <v>35404</v>
      </c>
      <c r="E127" s="1">
        <v>35432</v>
      </c>
      <c r="F127" s="1">
        <v>35410</v>
      </c>
      <c r="G127">
        <v>3</v>
      </c>
      <c r="H127">
        <v>124.12</v>
      </c>
      <c r="I127" t="s">
        <v>184</v>
      </c>
      <c r="J127" t="s">
        <v>185</v>
      </c>
      <c r="K127" t="s">
        <v>186</v>
      </c>
      <c r="L127" t="s">
        <v>187</v>
      </c>
      <c r="M127" t="s">
        <v>18</v>
      </c>
      <c r="N127" t="s">
        <v>188</v>
      </c>
      <c r="P127" t="s">
        <v>188</v>
      </c>
      <c r="Q127" t="s">
        <v>188</v>
      </c>
    </row>
    <row r="128" spans="1:17" x14ac:dyDescent="0.2">
      <c r="A128">
        <v>10374</v>
      </c>
      <c r="B128" t="s">
        <v>309</v>
      </c>
      <c r="C128">
        <v>1</v>
      </c>
      <c r="D128" s="1">
        <v>35404</v>
      </c>
      <c r="E128" s="1">
        <v>35432</v>
      </c>
      <c r="F128" s="1">
        <v>35408</v>
      </c>
      <c r="G128">
        <v>3</v>
      </c>
      <c r="H128">
        <v>3.94</v>
      </c>
      <c r="I128" t="s">
        <v>310</v>
      </c>
      <c r="J128" t="s">
        <v>311</v>
      </c>
      <c r="K128" t="s">
        <v>312</v>
      </c>
      <c r="L128" t="s">
        <v>18</v>
      </c>
      <c r="M128" t="s">
        <v>313</v>
      </c>
      <c r="N128" t="s">
        <v>314</v>
      </c>
      <c r="P128" t="s">
        <v>314</v>
      </c>
      <c r="Q128" t="s">
        <v>314</v>
      </c>
    </row>
    <row r="129" spans="1:17" x14ac:dyDescent="0.2">
      <c r="A129">
        <v>10375</v>
      </c>
      <c r="B129" t="s">
        <v>315</v>
      </c>
      <c r="C129">
        <v>3</v>
      </c>
      <c r="D129" s="1">
        <v>35405</v>
      </c>
      <c r="E129" s="1">
        <v>35433</v>
      </c>
      <c r="F129" s="1">
        <v>35408</v>
      </c>
      <c r="G129">
        <v>2</v>
      </c>
      <c r="H129">
        <v>20.12</v>
      </c>
      <c r="I129" t="s">
        <v>316</v>
      </c>
      <c r="J129" t="s">
        <v>317</v>
      </c>
      <c r="K129" t="s">
        <v>318</v>
      </c>
      <c r="L129" t="s">
        <v>206</v>
      </c>
      <c r="M129">
        <v>97827</v>
      </c>
      <c r="N129" t="s">
        <v>87</v>
      </c>
      <c r="P129" t="s">
        <v>87</v>
      </c>
      <c r="Q129" t="s">
        <v>87</v>
      </c>
    </row>
    <row r="130" spans="1:17" x14ac:dyDescent="0.2">
      <c r="A130">
        <v>10376</v>
      </c>
      <c r="B130" t="s">
        <v>248</v>
      </c>
      <c r="C130">
        <v>1</v>
      </c>
      <c r="D130" s="1">
        <v>35408</v>
      </c>
      <c r="E130" s="1">
        <v>35436</v>
      </c>
      <c r="F130" s="1">
        <v>35412</v>
      </c>
      <c r="G130">
        <v>2</v>
      </c>
      <c r="H130">
        <v>20.39</v>
      </c>
      <c r="I130" t="s">
        <v>249</v>
      </c>
      <c r="J130" t="s">
        <v>250</v>
      </c>
      <c r="K130" t="s">
        <v>251</v>
      </c>
      <c r="L130" t="s">
        <v>252</v>
      </c>
      <c r="M130" t="s">
        <v>253</v>
      </c>
      <c r="N130" t="s">
        <v>254</v>
      </c>
      <c r="P130" t="s">
        <v>254</v>
      </c>
      <c r="Q130" t="s">
        <v>254</v>
      </c>
    </row>
    <row r="131" spans="1:17" x14ac:dyDescent="0.2">
      <c r="A131">
        <v>10377</v>
      </c>
      <c r="B131" t="s">
        <v>281</v>
      </c>
      <c r="C131">
        <v>1</v>
      </c>
      <c r="D131" s="1">
        <v>35408</v>
      </c>
      <c r="E131" s="1">
        <v>35436</v>
      </c>
      <c r="F131" s="1">
        <v>35412</v>
      </c>
      <c r="G131">
        <v>3</v>
      </c>
      <c r="H131">
        <v>22.21</v>
      </c>
      <c r="I131" t="s">
        <v>282</v>
      </c>
      <c r="J131" t="s">
        <v>283</v>
      </c>
      <c r="K131" t="s">
        <v>171</v>
      </c>
      <c r="L131" t="s">
        <v>18</v>
      </c>
      <c r="M131" t="s">
        <v>284</v>
      </c>
      <c r="N131" t="s">
        <v>173</v>
      </c>
      <c r="P131" t="s">
        <v>173</v>
      </c>
      <c r="Q131" t="s">
        <v>173</v>
      </c>
    </row>
    <row r="132" spans="1:17" x14ac:dyDescent="0.2">
      <c r="A132">
        <v>10378</v>
      </c>
      <c r="B132" t="s">
        <v>88</v>
      </c>
      <c r="C132">
        <v>5</v>
      </c>
      <c r="D132" s="1">
        <v>35409</v>
      </c>
      <c r="E132" s="1">
        <v>35437</v>
      </c>
      <c r="F132" s="1">
        <v>35418</v>
      </c>
      <c r="G132">
        <v>3</v>
      </c>
      <c r="H132">
        <v>5.44</v>
      </c>
      <c r="I132" t="s">
        <v>89</v>
      </c>
      <c r="J132" t="s">
        <v>90</v>
      </c>
      <c r="K132" t="s">
        <v>91</v>
      </c>
      <c r="L132" t="s">
        <v>18</v>
      </c>
      <c r="M132" t="s">
        <v>92</v>
      </c>
      <c r="N132" t="s">
        <v>93</v>
      </c>
      <c r="P132" t="s">
        <v>93</v>
      </c>
      <c r="Q132" t="s">
        <v>93</v>
      </c>
    </row>
    <row r="133" spans="1:17" x14ac:dyDescent="0.2">
      <c r="A133">
        <v>10379</v>
      </c>
      <c r="B133" t="s">
        <v>78</v>
      </c>
      <c r="C133">
        <v>2</v>
      </c>
      <c r="D133" s="1">
        <v>35410</v>
      </c>
      <c r="E133" s="1">
        <v>35438</v>
      </c>
      <c r="F133" s="1">
        <v>35412</v>
      </c>
      <c r="G133">
        <v>1</v>
      </c>
      <c r="H133">
        <v>45.03</v>
      </c>
      <c r="I133" t="s">
        <v>79</v>
      </c>
      <c r="J133" t="s">
        <v>80</v>
      </c>
      <c r="K133">
        <v>12</v>
      </c>
      <c r="L133" t="s">
        <v>28</v>
      </c>
      <c r="M133" t="s">
        <v>29</v>
      </c>
      <c r="N133" t="s">
        <v>81</v>
      </c>
      <c r="O133" t="s">
        <v>31</v>
      </c>
      <c r="P133" t="s">
        <v>31</v>
      </c>
      <c r="Q133" t="s">
        <v>31</v>
      </c>
    </row>
    <row r="134" spans="1:17" x14ac:dyDescent="0.2">
      <c r="A134">
        <v>10380</v>
      </c>
      <c r="B134" t="s">
        <v>183</v>
      </c>
      <c r="C134">
        <v>8</v>
      </c>
      <c r="D134" s="1">
        <v>35411</v>
      </c>
      <c r="E134" s="1">
        <v>35439</v>
      </c>
      <c r="F134" s="1">
        <v>35446</v>
      </c>
      <c r="G134">
        <v>3</v>
      </c>
      <c r="H134">
        <v>35.03</v>
      </c>
      <c r="I134" t="s">
        <v>184</v>
      </c>
      <c r="J134" t="s">
        <v>185</v>
      </c>
      <c r="K134" t="s">
        <v>186</v>
      </c>
      <c r="L134" t="s">
        <v>187</v>
      </c>
      <c r="M134" t="s">
        <v>18</v>
      </c>
      <c r="N134" t="s">
        <v>188</v>
      </c>
      <c r="P134" t="s">
        <v>188</v>
      </c>
      <c r="Q134" t="s">
        <v>188</v>
      </c>
    </row>
    <row r="135" spans="1:17" x14ac:dyDescent="0.2">
      <c r="A135">
        <v>10381</v>
      </c>
      <c r="B135" t="s">
        <v>155</v>
      </c>
      <c r="C135">
        <v>3</v>
      </c>
      <c r="D135" s="1">
        <v>35411</v>
      </c>
      <c r="E135" s="1">
        <v>35439</v>
      </c>
      <c r="F135" s="1">
        <v>35412</v>
      </c>
      <c r="G135">
        <v>3</v>
      </c>
      <c r="H135">
        <v>7.99</v>
      </c>
      <c r="I135" t="s">
        <v>156</v>
      </c>
      <c r="J135" t="s">
        <v>157</v>
      </c>
      <c r="K135" t="s">
        <v>158</v>
      </c>
      <c r="L135" t="s">
        <v>159</v>
      </c>
      <c r="M135">
        <v>3508</v>
      </c>
      <c r="N135" t="s">
        <v>62</v>
      </c>
      <c r="P135" t="s">
        <v>62</v>
      </c>
      <c r="Q135" t="s">
        <v>62</v>
      </c>
    </row>
    <row r="136" spans="1:17" x14ac:dyDescent="0.2">
      <c r="A136">
        <v>10382</v>
      </c>
      <c r="B136" t="s">
        <v>63</v>
      </c>
      <c r="C136">
        <v>4</v>
      </c>
      <c r="D136" s="1">
        <v>35412</v>
      </c>
      <c r="E136" s="1">
        <v>35440</v>
      </c>
      <c r="F136" s="1">
        <v>35415</v>
      </c>
      <c r="G136">
        <v>1</v>
      </c>
      <c r="H136">
        <v>94.77</v>
      </c>
      <c r="I136" t="s">
        <v>64</v>
      </c>
      <c r="J136" t="s">
        <v>65</v>
      </c>
      <c r="K136" t="s">
        <v>66</v>
      </c>
      <c r="L136" t="s">
        <v>18</v>
      </c>
      <c r="M136">
        <v>8010</v>
      </c>
      <c r="N136" t="s">
        <v>67</v>
      </c>
      <c r="P136" t="s">
        <v>67</v>
      </c>
      <c r="Q136" t="s">
        <v>67</v>
      </c>
    </row>
    <row r="137" spans="1:17" x14ac:dyDescent="0.2">
      <c r="A137">
        <v>10383</v>
      </c>
      <c r="B137" t="s">
        <v>275</v>
      </c>
      <c r="C137">
        <v>8</v>
      </c>
      <c r="D137" s="1">
        <v>35415</v>
      </c>
      <c r="E137" s="1">
        <v>35443</v>
      </c>
      <c r="F137" s="1">
        <v>35417</v>
      </c>
      <c r="G137">
        <v>3</v>
      </c>
      <c r="H137">
        <v>34.24</v>
      </c>
      <c r="I137" t="s">
        <v>276</v>
      </c>
      <c r="J137" t="s">
        <v>277</v>
      </c>
      <c r="K137" t="s">
        <v>278</v>
      </c>
      <c r="L137" t="s">
        <v>279</v>
      </c>
      <c r="M137" t="s">
        <v>280</v>
      </c>
      <c r="N137" t="s">
        <v>173</v>
      </c>
      <c r="P137" t="s">
        <v>173</v>
      </c>
      <c r="Q137" t="s">
        <v>173</v>
      </c>
    </row>
    <row r="138" spans="1:17" x14ac:dyDescent="0.2">
      <c r="A138">
        <v>10384</v>
      </c>
      <c r="B138" t="s">
        <v>141</v>
      </c>
      <c r="C138">
        <v>3</v>
      </c>
      <c r="D138" s="1">
        <v>35415</v>
      </c>
      <c r="E138" s="1">
        <v>35443</v>
      </c>
      <c r="F138" s="1">
        <v>35419</v>
      </c>
      <c r="G138">
        <v>3</v>
      </c>
      <c r="H138">
        <v>168.64</v>
      </c>
      <c r="I138" t="s">
        <v>142</v>
      </c>
      <c r="J138" t="s">
        <v>143</v>
      </c>
      <c r="K138" t="s">
        <v>144</v>
      </c>
      <c r="L138" t="s">
        <v>18</v>
      </c>
      <c r="M138" t="s">
        <v>145</v>
      </c>
      <c r="N138" t="s">
        <v>93</v>
      </c>
      <c r="P138" t="s">
        <v>93</v>
      </c>
      <c r="Q138" t="s">
        <v>93</v>
      </c>
    </row>
    <row r="139" spans="1:17" x14ac:dyDescent="0.2">
      <c r="A139">
        <v>10385</v>
      </c>
      <c r="B139" t="s">
        <v>117</v>
      </c>
      <c r="C139">
        <v>1</v>
      </c>
      <c r="D139" s="1">
        <v>35416</v>
      </c>
      <c r="E139" s="1">
        <v>35444</v>
      </c>
      <c r="F139" s="1">
        <v>35422</v>
      </c>
      <c r="G139">
        <v>2</v>
      </c>
      <c r="H139">
        <v>30.96</v>
      </c>
      <c r="I139" t="s">
        <v>118</v>
      </c>
      <c r="J139" t="s">
        <v>119</v>
      </c>
      <c r="K139" t="s">
        <v>120</v>
      </c>
      <c r="L139" t="s">
        <v>121</v>
      </c>
      <c r="M139">
        <v>82520</v>
      </c>
      <c r="N139" t="s">
        <v>87</v>
      </c>
      <c r="P139" t="s">
        <v>87</v>
      </c>
      <c r="Q139" t="s">
        <v>87</v>
      </c>
    </row>
    <row r="140" spans="1:17" x14ac:dyDescent="0.2">
      <c r="A140">
        <v>10386</v>
      </c>
      <c r="B140" t="s">
        <v>263</v>
      </c>
      <c r="C140">
        <v>9</v>
      </c>
      <c r="D140" s="1">
        <v>35417</v>
      </c>
      <c r="E140" s="1">
        <v>35431</v>
      </c>
      <c r="F140" s="1">
        <v>35424</v>
      </c>
      <c r="G140">
        <v>3</v>
      </c>
      <c r="H140">
        <v>13.99</v>
      </c>
      <c r="I140" t="s">
        <v>264</v>
      </c>
      <c r="J140" t="s">
        <v>265</v>
      </c>
      <c r="K140">
        <v>92</v>
      </c>
      <c r="L140" t="s">
        <v>177</v>
      </c>
      <c r="M140" t="s">
        <v>55</v>
      </c>
      <c r="N140" t="s">
        <v>266</v>
      </c>
      <c r="O140" t="s">
        <v>31</v>
      </c>
      <c r="P140" t="s">
        <v>31</v>
      </c>
      <c r="Q140" t="s">
        <v>31</v>
      </c>
    </row>
    <row r="141" spans="1:17" x14ac:dyDescent="0.2">
      <c r="A141">
        <v>10387</v>
      </c>
      <c r="B141" t="s">
        <v>319</v>
      </c>
      <c r="C141">
        <v>1</v>
      </c>
      <c r="D141" s="1">
        <v>35417</v>
      </c>
      <c r="E141" s="1">
        <v>35445</v>
      </c>
      <c r="F141" s="1">
        <v>35419</v>
      </c>
      <c r="G141">
        <v>2</v>
      </c>
      <c r="H141">
        <v>93.63</v>
      </c>
      <c r="I141" t="s">
        <v>320</v>
      </c>
      <c r="J141" t="s">
        <v>321</v>
      </c>
      <c r="K141" t="s">
        <v>322</v>
      </c>
      <c r="L141" t="s">
        <v>18</v>
      </c>
      <c r="M141">
        <v>4110</v>
      </c>
      <c r="N141" t="s">
        <v>323</v>
      </c>
      <c r="P141" t="s">
        <v>323</v>
      </c>
      <c r="Q141" t="s">
        <v>323</v>
      </c>
    </row>
    <row r="142" spans="1:17" x14ac:dyDescent="0.2">
      <c r="A142">
        <v>10388</v>
      </c>
      <c r="B142" t="s">
        <v>281</v>
      </c>
      <c r="C142">
        <v>2</v>
      </c>
      <c r="D142" s="1">
        <v>35418</v>
      </c>
      <c r="E142" s="1">
        <v>35446</v>
      </c>
      <c r="F142" s="1">
        <v>35419</v>
      </c>
      <c r="G142">
        <v>1</v>
      </c>
      <c r="H142">
        <v>34.86</v>
      </c>
      <c r="I142" t="s">
        <v>282</v>
      </c>
      <c r="J142" t="s">
        <v>283</v>
      </c>
      <c r="K142" t="s">
        <v>171</v>
      </c>
      <c r="L142" t="s">
        <v>18</v>
      </c>
      <c r="M142" t="s">
        <v>284</v>
      </c>
      <c r="N142" t="s">
        <v>173</v>
      </c>
      <c r="P142" t="s">
        <v>173</v>
      </c>
      <c r="Q142" t="s">
        <v>173</v>
      </c>
    </row>
    <row r="143" spans="1:17" x14ac:dyDescent="0.2">
      <c r="A143">
        <v>10389</v>
      </c>
      <c r="B143" t="s">
        <v>324</v>
      </c>
      <c r="C143">
        <v>4</v>
      </c>
      <c r="D143" s="1">
        <v>35419</v>
      </c>
      <c r="E143" s="1">
        <v>35447</v>
      </c>
      <c r="F143" s="1">
        <v>35423</v>
      </c>
      <c r="G143">
        <v>2</v>
      </c>
      <c r="H143">
        <v>47.42</v>
      </c>
      <c r="I143" t="s">
        <v>325</v>
      </c>
      <c r="J143" t="s">
        <v>326</v>
      </c>
      <c r="K143" t="s">
        <v>327</v>
      </c>
      <c r="L143" t="s">
        <v>328</v>
      </c>
      <c r="M143" t="s">
        <v>329</v>
      </c>
      <c r="N143" t="s">
        <v>254</v>
      </c>
      <c r="P143" t="s">
        <v>254</v>
      </c>
      <c r="Q143" t="s">
        <v>254</v>
      </c>
    </row>
    <row r="144" spans="1:17" x14ac:dyDescent="0.2">
      <c r="A144">
        <v>10390</v>
      </c>
      <c r="B144" t="s">
        <v>63</v>
      </c>
      <c r="C144">
        <v>6</v>
      </c>
      <c r="D144" s="1">
        <v>35422</v>
      </c>
      <c r="E144" s="1">
        <v>35450</v>
      </c>
      <c r="F144" s="1">
        <v>35425</v>
      </c>
      <c r="G144">
        <v>1</v>
      </c>
      <c r="H144">
        <v>126.38</v>
      </c>
      <c r="I144" t="s">
        <v>64</v>
      </c>
      <c r="J144" t="s">
        <v>65</v>
      </c>
      <c r="K144" t="s">
        <v>66</v>
      </c>
      <c r="L144" t="s">
        <v>18</v>
      </c>
      <c r="M144">
        <v>8010</v>
      </c>
      <c r="N144" t="s">
        <v>67</v>
      </c>
      <c r="P144" t="s">
        <v>67</v>
      </c>
      <c r="Q144" t="s">
        <v>67</v>
      </c>
    </row>
    <row r="145" spans="1:17" x14ac:dyDescent="0.2">
      <c r="A145">
        <v>10391</v>
      </c>
      <c r="B145" t="s">
        <v>285</v>
      </c>
      <c r="C145">
        <v>3</v>
      </c>
      <c r="D145" s="1">
        <v>35422</v>
      </c>
      <c r="E145" s="1">
        <v>35450</v>
      </c>
      <c r="F145" s="1">
        <v>35430</v>
      </c>
      <c r="G145">
        <v>3</v>
      </c>
      <c r="H145">
        <v>5.45</v>
      </c>
      <c r="I145" t="s">
        <v>286</v>
      </c>
      <c r="J145" t="s">
        <v>287</v>
      </c>
      <c r="K145" t="s">
        <v>288</v>
      </c>
      <c r="L145" t="s">
        <v>18</v>
      </c>
      <c r="M145">
        <v>52066</v>
      </c>
      <c r="N145" t="s">
        <v>24</v>
      </c>
      <c r="P145" t="s">
        <v>24</v>
      </c>
      <c r="Q145" t="s">
        <v>24</v>
      </c>
    </row>
    <row r="146" spans="1:17" x14ac:dyDescent="0.2">
      <c r="A146">
        <v>10392</v>
      </c>
      <c r="B146" t="s">
        <v>271</v>
      </c>
      <c r="C146">
        <v>2</v>
      </c>
      <c r="D146" s="1">
        <v>35423</v>
      </c>
      <c r="E146" s="1">
        <v>35451</v>
      </c>
      <c r="F146" s="1">
        <v>35431</v>
      </c>
      <c r="G146">
        <v>3</v>
      </c>
      <c r="H146">
        <v>122.46</v>
      </c>
      <c r="I146" t="s">
        <v>272</v>
      </c>
      <c r="J146" t="s">
        <v>273</v>
      </c>
      <c r="K146" t="s">
        <v>274</v>
      </c>
      <c r="L146" t="s">
        <v>18</v>
      </c>
      <c r="M146">
        <v>5020</v>
      </c>
      <c r="N146" t="s">
        <v>67</v>
      </c>
      <c r="P146" t="s">
        <v>67</v>
      </c>
      <c r="Q146" t="s">
        <v>67</v>
      </c>
    </row>
    <row r="147" spans="1:17" x14ac:dyDescent="0.2">
      <c r="A147">
        <v>10393</v>
      </c>
      <c r="B147" t="s">
        <v>231</v>
      </c>
      <c r="C147">
        <v>1</v>
      </c>
      <c r="D147" s="1">
        <v>35424</v>
      </c>
      <c r="E147" s="1">
        <v>35452</v>
      </c>
      <c r="F147" s="1">
        <v>35433</v>
      </c>
      <c r="G147">
        <v>3</v>
      </c>
      <c r="H147">
        <v>126.56</v>
      </c>
      <c r="I147" t="s">
        <v>232</v>
      </c>
      <c r="J147" t="s">
        <v>233</v>
      </c>
      <c r="K147" t="s">
        <v>234</v>
      </c>
      <c r="L147" t="s">
        <v>235</v>
      </c>
      <c r="M147">
        <v>83720</v>
      </c>
      <c r="N147" t="s">
        <v>87</v>
      </c>
      <c r="P147" t="s">
        <v>87</v>
      </c>
      <c r="Q147" t="s">
        <v>87</v>
      </c>
    </row>
    <row r="148" spans="1:17" x14ac:dyDescent="0.2">
      <c r="A148">
        <v>10394</v>
      </c>
      <c r="B148" t="s">
        <v>315</v>
      </c>
      <c r="C148">
        <v>1</v>
      </c>
      <c r="D148" s="1">
        <v>35424</v>
      </c>
      <c r="E148" s="1">
        <v>35452</v>
      </c>
      <c r="F148" s="1">
        <v>35433</v>
      </c>
      <c r="G148">
        <v>3</v>
      </c>
      <c r="H148">
        <v>30.34</v>
      </c>
      <c r="I148" t="s">
        <v>316</v>
      </c>
      <c r="J148" t="s">
        <v>317</v>
      </c>
      <c r="K148" t="s">
        <v>318</v>
      </c>
      <c r="L148" t="s">
        <v>206</v>
      </c>
      <c r="M148">
        <v>97827</v>
      </c>
      <c r="N148" t="s">
        <v>87</v>
      </c>
      <c r="P148" t="s">
        <v>87</v>
      </c>
      <c r="Q148" t="s">
        <v>87</v>
      </c>
    </row>
    <row r="149" spans="1:17" x14ac:dyDescent="0.2">
      <c r="A149">
        <v>10395</v>
      </c>
      <c r="B149" t="s">
        <v>57</v>
      </c>
      <c r="C149">
        <v>6</v>
      </c>
      <c r="D149" s="1">
        <v>35425</v>
      </c>
      <c r="E149" s="1">
        <v>35453</v>
      </c>
      <c r="F149" s="1">
        <v>35433</v>
      </c>
      <c r="G149">
        <v>1</v>
      </c>
      <c r="H149">
        <v>184.41</v>
      </c>
      <c r="I149" t="s">
        <v>58</v>
      </c>
      <c r="J149" t="s">
        <v>59</v>
      </c>
      <c r="K149" t="s">
        <v>60</v>
      </c>
      <c r="L149" t="s">
        <v>61</v>
      </c>
      <c r="M149">
        <v>5022</v>
      </c>
      <c r="N149" t="s">
        <v>62</v>
      </c>
      <c r="P149" t="s">
        <v>62</v>
      </c>
      <c r="Q149" t="s">
        <v>62</v>
      </c>
    </row>
    <row r="150" spans="1:17" x14ac:dyDescent="0.2">
      <c r="A150">
        <v>10396</v>
      </c>
      <c r="B150" t="s">
        <v>103</v>
      </c>
      <c r="C150">
        <v>1</v>
      </c>
      <c r="D150" s="1">
        <v>35426</v>
      </c>
      <c r="E150" s="1">
        <v>35440</v>
      </c>
      <c r="F150" s="1">
        <v>35436</v>
      </c>
      <c r="G150">
        <v>3</v>
      </c>
      <c r="H150">
        <v>135.35</v>
      </c>
      <c r="I150" t="s">
        <v>104</v>
      </c>
      <c r="J150" t="s">
        <v>105</v>
      </c>
      <c r="K150" t="s">
        <v>106</v>
      </c>
      <c r="L150" t="s">
        <v>18</v>
      </c>
      <c r="M150">
        <v>80805</v>
      </c>
      <c r="N150" t="s">
        <v>24</v>
      </c>
      <c r="P150" t="s">
        <v>24</v>
      </c>
      <c r="Q150" t="s">
        <v>24</v>
      </c>
    </row>
    <row r="151" spans="1:17" x14ac:dyDescent="0.2">
      <c r="A151">
        <v>10397</v>
      </c>
      <c r="B151" t="s">
        <v>255</v>
      </c>
      <c r="C151">
        <v>5</v>
      </c>
      <c r="D151" s="1">
        <v>35426</v>
      </c>
      <c r="E151" s="1">
        <v>35454</v>
      </c>
      <c r="F151" s="1">
        <v>35432</v>
      </c>
      <c r="G151">
        <v>1</v>
      </c>
      <c r="H151">
        <v>60.26</v>
      </c>
      <c r="I151" t="s">
        <v>256</v>
      </c>
      <c r="J151" t="s">
        <v>257</v>
      </c>
      <c r="K151" t="s">
        <v>242</v>
      </c>
      <c r="L151" t="s">
        <v>18</v>
      </c>
      <c r="M151">
        <v>1756</v>
      </c>
      <c r="N151" t="s">
        <v>243</v>
      </c>
      <c r="P151" t="s">
        <v>243</v>
      </c>
      <c r="Q151" t="s">
        <v>243</v>
      </c>
    </row>
    <row r="152" spans="1:17" x14ac:dyDescent="0.2">
      <c r="A152">
        <v>10398</v>
      </c>
      <c r="B152" t="s">
        <v>231</v>
      </c>
      <c r="C152">
        <v>2</v>
      </c>
      <c r="D152" s="1">
        <v>35429</v>
      </c>
      <c r="E152" s="1">
        <v>35457</v>
      </c>
      <c r="F152" s="1">
        <v>35439</v>
      </c>
      <c r="G152">
        <v>3</v>
      </c>
      <c r="H152">
        <v>89.16</v>
      </c>
      <c r="I152" t="s">
        <v>232</v>
      </c>
      <c r="J152" t="s">
        <v>233</v>
      </c>
      <c r="K152" t="s">
        <v>234</v>
      </c>
      <c r="L152" t="s">
        <v>235</v>
      </c>
      <c r="M152">
        <v>83720</v>
      </c>
      <c r="N152" t="s">
        <v>87</v>
      </c>
      <c r="P152" t="s">
        <v>87</v>
      </c>
      <c r="Q152" t="s">
        <v>87</v>
      </c>
    </row>
    <row r="153" spans="1:17" x14ac:dyDescent="0.2">
      <c r="A153">
        <v>10399</v>
      </c>
      <c r="B153" t="s">
        <v>301</v>
      </c>
      <c r="C153">
        <v>8</v>
      </c>
      <c r="D153" s="1">
        <v>35430</v>
      </c>
      <c r="E153" s="1">
        <v>35444</v>
      </c>
      <c r="F153" s="1">
        <v>35438</v>
      </c>
      <c r="G153">
        <v>3</v>
      </c>
      <c r="H153">
        <v>27.36</v>
      </c>
      <c r="I153" t="s">
        <v>302</v>
      </c>
      <c r="J153" t="s">
        <v>303</v>
      </c>
      <c r="K153" t="s">
        <v>304</v>
      </c>
      <c r="L153" t="s">
        <v>18</v>
      </c>
      <c r="M153">
        <v>8200</v>
      </c>
      <c r="N153" t="s">
        <v>262</v>
      </c>
      <c r="P153" t="s">
        <v>262</v>
      </c>
      <c r="Q153" t="s">
        <v>262</v>
      </c>
    </row>
    <row r="154" spans="1:17" x14ac:dyDescent="0.2">
      <c r="A154">
        <v>10400</v>
      </c>
      <c r="B154" t="s">
        <v>289</v>
      </c>
      <c r="C154">
        <v>1</v>
      </c>
      <c r="D154" s="1">
        <v>35431</v>
      </c>
      <c r="E154" s="1">
        <v>35459</v>
      </c>
      <c r="F154" s="1">
        <v>35446</v>
      </c>
      <c r="G154">
        <v>3</v>
      </c>
      <c r="H154">
        <v>83.93</v>
      </c>
      <c r="I154" t="s">
        <v>290</v>
      </c>
      <c r="J154" t="s">
        <v>291</v>
      </c>
      <c r="K154" t="s">
        <v>171</v>
      </c>
      <c r="L154" t="s">
        <v>18</v>
      </c>
      <c r="M154" t="s">
        <v>292</v>
      </c>
      <c r="N154" t="s">
        <v>173</v>
      </c>
      <c r="P154" t="s">
        <v>173</v>
      </c>
      <c r="Q154" t="s">
        <v>173</v>
      </c>
    </row>
    <row r="155" spans="1:17" x14ac:dyDescent="0.2">
      <c r="A155">
        <v>10401</v>
      </c>
      <c r="B155" t="s">
        <v>82</v>
      </c>
      <c r="C155">
        <v>1</v>
      </c>
      <c r="D155" s="1">
        <v>35431</v>
      </c>
      <c r="E155" s="1">
        <v>35459</v>
      </c>
      <c r="F155" s="1">
        <v>35440</v>
      </c>
      <c r="G155">
        <v>1</v>
      </c>
      <c r="H155">
        <v>12.51</v>
      </c>
      <c r="I155" t="s">
        <v>83</v>
      </c>
      <c r="J155" t="s">
        <v>84</v>
      </c>
      <c r="K155" t="s">
        <v>85</v>
      </c>
      <c r="L155" t="s">
        <v>86</v>
      </c>
      <c r="M155">
        <v>87110</v>
      </c>
      <c r="N155" t="s">
        <v>87</v>
      </c>
      <c r="P155" t="s">
        <v>87</v>
      </c>
      <c r="Q155" t="s">
        <v>87</v>
      </c>
    </row>
    <row r="156" spans="1:17" x14ac:dyDescent="0.2">
      <c r="A156">
        <v>10402</v>
      </c>
      <c r="B156" t="s">
        <v>63</v>
      </c>
      <c r="C156">
        <v>8</v>
      </c>
      <c r="D156" s="1">
        <v>35432</v>
      </c>
      <c r="E156" s="1">
        <v>35474</v>
      </c>
      <c r="F156" s="1">
        <v>35440</v>
      </c>
      <c r="G156">
        <v>2</v>
      </c>
      <c r="H156">
        <v>67.88</v>
      </c>
      <c r="I156" t="s">
        <v>64</v>
      </c>
      <c r="J156" t="s">
        <v>65</v>
      </c>
      <c r="K156" t="s">
        <v>66</v>
      </c>
      <c r="L156" t="s">
        <v>18</v>
      </c>
      <c r="M156">
        <v>8010</v>
      </c>
      <c r="N156" t="s">
        <v>67</v>
      </c>
      <c r="P156" t="s">
        <v>67</v>
      </c>
      <c r="Q156" t="s">
        <v>67</v>
      </c>
    </row>
    <row r="157" spans="1:17" x14ac:dyDescent="0.2">
      <c r="A157">
        <v>10403</v>
      </c>
      <c r="B157" t="s">
        <v>63</v>
      </c>
      <c r="C157">
        <v>4</v>
      </c>
      <c r="D157" s="1">
        <v>35433</v>
      </c>
      <c r="E157" s="1">
        <v>35461</v>
      </c>
      <c r="F157" s="1">
        <v>35439</v>
      </c>
      <c r="G157">
        <v>3</v>
      </c>
      <c r="H157">
        <v>73.790000000000006</v>
      </c>
      <c r="I157" t="s">
        <v>64</v>
      </c>
      <c r="J157" t="s">
        <v>65</v>
      </c>
      <c r="K157" t="s">
        <v>66</v>
      </c>
      <c r="L157" t="s">
        <v>18</v>
      </c>
      <c r="M157">
        <v>8010</v>
      </c>
      <c r="N157" t="s">
        <v>67</v>
      </c>
      <c r="P157" t="s">
        <v>67</v>
      </c>
      <c r="Q157" t="s">
        <v>67</v>
      </c>
    </row>
    <row r="158" spans="1:17" x14ac:dyDescent="0.2">
      <c r="A158">
        <v>10404</v>
      </c>
      <c r="B158" t="s">
        <v>127</v>
      </c>
      <c r="C158">
        <v>2</v>
      </c>
      <c r="D158" s="1">
        <v>35433</v>
      </c>
      <c r="E158" s="1">
        <v>35461</v>
      </c>
      <c r="F158" s="1">
        <v>35438</v>
      </c>
      <c r="G158">
        <v>1</v>
      </c>
      <c r="H158">
        <v>155.97</v>
      </c>
      <c r="I158" t="s">
        <v>128</v>
      </c>
      <c r="J158" t="s">
        <v>129</v>
      </c>
      <c r="K158" t="s">
        <v>130</v>
      </c>
      <c r="L158" t="s">
        <v>18</v>
      </c>
      <c r="M158">
        <v>24100</v>
      </c>
      <c r="N158" t="s">
        <v>131</v>
      </c>
      <c r="P158" t="s">
        <v>131</v>
      </c>
      <c r="Q158" t="s">
        <v>131</v>
      </c>
    </row>
    <row r="159" spans="1:17" x14ac:dyDescent="0.2">
      <c r="A159">
        <v>10405</v>
      </c>
      <c r="B159" t="s">
        <v>330</v>
      </c>
      <c r="C159">
        <v>1</v>
      </c>
      <c r="D159" s="1">
        <v>35436</v>
      </c>
      <c r="E159" s="1">
        <v>35464</v>
      </c>
      <c r="F159" s="1">
        <v>35452</v>
      </c>
      <c r="G159">
        <v>1</v>
      </c>
      <c r="H159">
        <v>34.82</v>
      </c>
      <c r="I159" t="s">
        <v>331</v>
      </c>
      <c r="J159" t="s">
        <v>332</v>
      </c>
      <c r="K159" t="s">
        <v>333</v>
      </c>
      <c r="L159" t="s">
        <v>334</v>
      </c>
      <c r="M159">
        <v>4980</v>
      </c>
      <c r="N159" t="s">
        <v>62</v>
      </c>
      <c r="P159" t="s">
        <v>62</v>
      </c>
      <c r="Q159" t="s">
        <v>62</v>
      </c>
    </row>
    <row r="160" spans="1:17" x14ac:dyDescent="0.2">
      <c r="A160">
        <v>10406</v>
      </c>
      <c r="B160" t="s">
        <v>305</v>
      </c>
      <c r="C160">
        <v>7</v>
      </c>
      <c r="D160" s="1">
        <v>35437</v>
      </c>
      <c r="E160" s="1">
        <v>35479</v>
      </c>
      <c r="F160" s="1">
        <v>35443</v>
      </c>
      <c r="G160">
        <v>1</v>
      </c>
      <c r="H160">
        <v>108.04</v>
      </c>
      <c r="I160" t="s">
        <v>306</v>
      </c>
      <c r="J160" t="s">
        <v>307</v>
      </c>
      <c r="K160">
        <v>891</v>
      </c>
      <c r="L160" t="s">
        <v>177</v>
      </c>
      <c r="M160" t="s">
        <v>55</v>
      </c>
      <c r="N160" t="s">
        <v>308</v>
      </c>
      <c r="O160" t="s">
        <v>31</v>
      </c>
      <c r="P160" t="s">
        <v>31</v>
      </c>
      <c r="Q160" t="s">
        <v>31</v>
      </c>
    </row>
    <row r="161" spans="1:17" x14ac:dyDescent="0.2">
      <c r="A161">
        <v>10407</v>
      </c>
      <c r="B161" t="s">
        <v>74</v>
      </c>
      <c r="C161">
        <v>2</v>
      </c>
      <c r="D161" s="1">
        <v>35437</v>
      </c>
      <c r="E161" s="1">
        <v>35465</v>
      </c>
      <c r="F161" s="1">
        <v>35460</v>
      </c>
      <c r="G161">
        <v>2</v>
      </c>
      <c r="H161">
        <v>91.48</v>
      </c>
      <c r="I161" t="s">
        <v>75</v>
      </c>
      <c r="J161" t="s">
        <v>76</v>
      </c>
      <c r="K161" t="s">
        <v>77</v>
      </c>
      <c r="L161" t="s">
        <v>18</v>
      </c>
      <c r="M161">
        <v>50739</v>
      </c>
      <c r="N161" t="s">
        <v>24</v>
      </c>
      <c r="P161" t="s">
        <v>24</v>
      </c>
      <c r="Q161" t="s">
        <v>24</v>
      </c>
    </row>
    <row r="162" spans="1:17" x14ac:dyDescent="0.2">
      <c r="A162">
        <v>10408</v>
      </c>
      <c r="B162" t="s">
        <v>335</v>
      </c>
      <c r="C162">
        <v>8</v>
      </c>
      <c r="D162" s="1">
        <v>35438</v>
      </c>
      <c r="E162" s="1">
        <v>35466</v>
      </c>
      <c r="F162" s="1">
        <v>35444</v>
      </c>
      <c r="G162">
        <v>1</v>
      </c>
      <c r="H162">
        <v>11.26</v>
      </c>
      <c r="I162" t="s">
        <v>336</v>
      </c>
      <c r="J162">
        <v>184</v>
      </c>
      <c r="K162" t="s">
        <v>337</v>
      </c>
      <c r="L162" t="s">
        <v>338</v>
      </c>
      <c r="M162" t="s">
        <v>18</v>
      </c>
      <c r="N162">
        <v>59000</v>
      </c>
      <c r="O162" t="s">
        <v>19</v>
      </c>
      <c r="P162" t="s">
        <v>19</v>
      </c>
      <c r="Q162" t="s">
        <v>19</v>
      </c>
    </row>
    <row r="163" spans="1:17" x14ac:dyDescent="0.2">
      <c r="A163">
        <v>10409</v>
      </c>
      <c r="B163" t="s">
        <v>339</v>
      </c>
      <c r="C163">
        <v>3</v>
      </c>
      <c r="D163" s="1">
        <v>35439</v>
      </c>
      <c r="E163" s="1">
        <v>35467</v>
      </c>
      <c r="F163" s="1">
        <v>35444</v>
      </c>
      <c r="G163">
        <v>1</v>
      </c>
      <c r="H163">
        <v>29.83</v>
      </c>
      <c r="I163" t="s">
        <v>340</v>
      </c>
      <c r="J163" t="s">
        <v>341</v>
      </c>
      <c r="K163" t="s">
        <v>342</v>
      </c>
      <c r="L163" t="s">
        <v>18</v>
      </c>
      <c r="M163">
        <v>1010</v>
      </c>
      <c r="N163" t="s">
        <v>343</v>
      </c>
      <c r="P163" t="s">
        <v>343</v>
      </c>
      <c r="Q163" t="s">
        <v>343</v>
      </c>
    </row>
    <row r="164" spans="1:17" x14ac:dyDescent="0.2">
      <c r="A164">
        <v>10410</v>
      </c>
      <c r="B164" t="s">
        <v>324</v>
      </c>
      <c r="C164">
        <v>3</v>
      </c>
      <c r="D164" s="1">
        <v>35440</v>
      </c>
      <c r="E164" s="1">
        <v>35468</v>
      </c>
      <c r="F164" s="1">
        <v>35445</v>
      </c>
      <c r="G164">
        <v>3</v>
      </c>
      <c r="H164">
        <v>2.4</v>
      </c>
      <c r="I164" t="s">
        <v>325</v>
      </c>
      <c r="J164" t="s">
        <v>326</v>
      </c>
      <c r="K164" t="s">
        <v>327</v>
      </c>
      <c r="L164" t="s">
        <v>328</v>
      </c>
      <c r="M164" t="s">
        <v>329</v>
      </c>
      <c r="N164" t="s">
        <v>254</v>
      </c>
      <c r="P164" t="s">
        <v>254</v>
      </c>
      <c r="Q164" t="s">
        <v>254</v>
      </c>
    </row>
    <row r="165" spans="1:17" x14ac:dyDescent="0.2">
      <c r="A165">
        <v>10411</v>
      </c>
      <c r="B165" t="s">
        <v>324</v>
      </c>
      <c r="C165">
        <v>9</v>
      </c>
      <c r="D165" s="1">
        <v>35440</v>
      </c>
      <c r="E165" s="1">
        <v>35468</v>
      </c>
      <c r="F165" s="1">
        <v>35451</v>
      </c>
      <c r="G165">
        <v>3</v>
      </c>
      <c r="H165">
        <v>23.65</v>
      </c>
      <c r="I165" t="s">
        <v>325</v>
      </c>
      <c r="J165" t="s">
        <v>326</v>
      </c>
      <c r="K165" t="s">
        <v>327</v>
      </c>
      <c r="L165" t="s">
        <v>328</v>
      </c>
      <c r="M165" t="s">
        <v>329</v>
      </c>
      <c r="N165" t="s">
        <v>254</v>
      </c>
      <c r="P165" t="s">
        <v>254</v>
      </c>
      <c r="Q165" t="s">
        <v>254</v>
      </c>
    </row>
    <row r="166" spans="1:17" x14ac:dyDescent="0.2">
      <c r="A166">
        <v>10412</v>
      </c>
      <c r="B166" t="s">
        <v>98</v>
      </c>
      <c r="C166">
        <v>8</v>
      </c>
      <c r="D166" s="1">
        <v>35443</v>
      </c>
      <c r="E166" s="1">
        <v>35471</v>
      </c>
      <c r="F166" s="1">
        <v>35445</v>
      </c>
      <c r="G166">
        <v>2</v>
      </c>
      <c r="H166">
        <v>3.77</v>
      </c>
      <c r="I166" t="s">
        <v>99</v>
      </c>
      <c r="J166" t="s">
        <v>100</v>
      </c>
      <c r="K166" t="s">
        <v>101</v>
      </c>
      <c r="L166" t="s">
        <v>18</v>
      </c>
      <c r="M166">
        <v>90110</v>
      </c>
      <c r="N166" t="s">
        <v>102</v>
      </c>
      <c r="P166" t="s">
        <v>102</v>
      </c>
      <c r="Q166" t="s">
        <v>102</v>
      </c>
    </row>
    <row r="167" spans="1:17" x14ac:dyDescent="0.2">
      <c r="A167">
        <v>10413</v>
      </c>
      <c r="B167" t="s">
        <v>267</v>
      </c>
      <c r="C167">
        <v>3</v>
      </c>
      <c r="D167" s="1">
        <v>35444</v>
      </c>
      <c r="E167" s="1">
        <v>35472</v>
      </c>
      <c r="F167" s="1">
        <v>35446</v>
      </c>
      <c r="G167">
        <v>2</v>
      </c>
      <c r="H167">
        <v>95.66</v>
      </c>
      <c r="I167" t="s">
        <v>268</v>
      </c>
      <c r="J167" t="s">
        <v>269</v>
      </c>
      <c r="K167" t="s">
        <v>270</v>
      </c>
      <c r="L167" t="s">
        <v>18</v>
      </c>
      <c r="M167">
        <v>31000</v>
      </c>
      <c r="N167" t="s">
        <v>19</v>
      </c>
      <c r="P167" t="s">
        <v>19</v>
      </c>
      <c r="Q167" t="s">
        <v>19</v>
      </c>
    </row>
    <row r="168" spans="1:17" x14ac:dyDescent="0.2">
      <c r="A168">
        <v>10414</v>
      </c>
      <c r="B168" t="s">
        <v>263</v>
      </c>
      <c r="C168">
        <v>2</v>
      </c>
      <c r="D168" s="1">
        <v>35444</v>
      </c>
      <c r="E168" s="1">
        <v>35472</v>
      </c>
      <c r="F168" s="1">
        <v>35447</v>
      </c>
      <c r="G168">
        <v>3</v>
      </c>
      <c r="H168">
        <v>21.48</v>
      </c>
      <c r="I168" t="s">
        <v>264</v>
      </c>
      <c r="J168" t="s">
        <v>265</v>
      </c>
      <c r="K168">
        <v>92</v>
      </c>
      <c r="L168" t="s">
        <v>177</v>
      </c>
      <c r="M168" t="s">
        <v>55</v>
      </c>
      <c r="N168" t="s">
        <v>266</v>
      </c>
      <c r="O168" t="s">
        <v>31</v>
      </c>
      <c r="P168" t="s">
        <v>31</v>
      </c>
      <c r="Q168" t="s">
        <v>31</v>
      </c>
    </row>
    <row r="169" spans="1:17" x14ac:dyDescent="0.2">
      <c r="A169">
        <v>10415</v>
      </c>
      <c r="B169" t="s">
        <v>315</v>
      </c>
      <c r="C169">
        <v>3</v>
      </c>
      <c r="D169" s="1">
        <v>35445</v>
      </c>
      <c r="E169" s="1">
        <v>35473</v>
      </c>
      <c r="F169" s="1">
        <v>35454</v>
      </c>
      <c r="G169">
        <v>1</v>
      </c>
      <c r="H169">
        <v>0.2</v>
      </c>
      <c r="I169" t="s">
        <v>316</v>
      </c>
      <c r="J169" t="s">
        <v>317</v>
      </c>
      <c r="K169" t="s">
        <v>318</v>
      </c>
      <c r="L169" t="s">
        <v>206</v>
      </c>
      <c r="M169">
        <v>97827</v>
      </c>
      <c r="N169" t="s">
        <v>87</v>
      </c>
      <c r="P169" t="s">
        <v>87</v>
      </c>
      <c r="Q169" t="s">
        <v>87</v>
      </c>
    </row>
    <row r="170" spans="1:17" x14ac:dyDescent="0.2">
      <c r="A170">
        <v>10416</v>
      </c>
      <c r="B170" t="s">
        <v>98</v>
      </c>
      <c r="C170">
        <v>8</v>
      </c>
      <c r="D170" s="1">
        <v>35446</v>
      </c>
      <c r="E170" s="1">
        <v>35474</v>
      </c>
      <c r="F170" s="1">
        <v>35457</v>
      </c>
      <c r="G170">
        <v>3</v>
      </c>
      <c r="H170">
        <v>22.72</v>
      </c>
      <c r="I170" t="s">
        <v>99</v>
      </c>
      <c r="J170" t="s">
        <v>100</v>
      </c>
      <c r="K170" t="s">
        <v>101</v>
      </c>
      <c r="L170" t="s">
        <v>18</v>
      </c>
      <c r="M170">
        <v>90110</v>
      </c>
      <c r="N170" t="s">
        <v>102</v>
      </c>
      <c r="P170" t="s">
        <v>102</v>
      </c>
      <c r="Q170" t="s">
        <v>102</v>
      </c>
    </row>
    <row r="171" spans="1:17" x14ac:dyDescent="0.2">
      <c r="A171">
        <v>10417</v>
      </c>
      <c r="B171" t="s">
        <v>258</v>
      </c>
      <c r="C171">
        <v>4</v>
      </c>
      <c r="D171" s="1">
        <v>35446</v>
      </c>
      <c r="E171" s="1">
        <v>35474</v>
      </c>
      <c r="F171" s="1">
        <v>35458</v>
      </c>
      <c r="G171">
        <v>3</v>
      </c>
      <c r="H171">
        <v>70.290000000000006</v>
      </c>
      <c r="I171" t="s">
        <v>259</v>
      </c>
      <c r="J171" t="s">
        <v>260</v>
      </c>
      <c r="K171" t="s">
        <v>261</v>
      </c>
      <c r="L171" t="s">
        <v>18</v>
      </c>
      <c r="M171">
        <v>1734</v>
      </c>
      <c r="N171" t="s">
        <v>262</v>
      </c>
      <c r="P171" t="s">
        <v>262</v>
      </c>
      <c r="Q171" t="s">
        <v>262</v>
      </c>
    </row>
    <row r="172" spans="1:17" x14ac:dyDescent="0.2">
      <c r="A172">
        <v>10418</v>
      </c>
      <c r="B172" t="s">
        <v>122</v>
      </c>
      <c r="C172">
        <v>4</v>
      </c>
      <c r="D172" s="1">
        <v>35447</v>
      </c>
      <c r="E172" s="1">
        <v>35475</v>
      </c>
      <c r="F172" s="1">
        <v>35454</v>
      </c>
      <c r="G172">
        <v>1</v>
      </c>
      <c r="H172">
        <v>17.55</v>
      </c>
      <c r="I172" t="s">
        <v>123</v>
      </c>
      <c r="J172" t="s">
        <v>124</v>
      </c>
      <c r="K172" t="s">
        <v>125</v>
      </c>
      <c r="L172" t="s">
        <v>18</v>
      </c>
      <c r="M172" s="2" t="s">
        <v>126</v>
      </c>
      <c r="N172" t="s">
        <v>24</v>
      </c>
      <c r="P172" t="s">
        <v>24</v>
      </c>
      <c r="Q172" t="s">
        <v>24</v>
      </c>
    </row>
    <row r="173" spans="1:17" x14ac:dyDescent="0.2">
      <c r="A173">
        <v>10419</v>
      </c>
      <c r="B173" t="s">
        <v>47</v>
      </c>
      <c r="C173">
        <v>4</v>
      </c>
      <c r="D173" s="1">
        <v>35450</v>
      </c>
      <c r="E173" s="1">
        <v>35478</v>
      </c>
      <c r="F173" s="1">
        <v>35460</v>
      </c>
      <c r="G173">
        <v>2</v>
      </c>
      <c r="H173">
        <v>137.35</v>
      </c>
      <c r="I173" t="s">
        <v>48</v>
      </c>
      <c r="J173" t="s">
        <v>49</v>
      </c>
      <c r="K173" t="s">
        <v>50</v>
      </c>
      <c r="L173" t="s">
        <v>18</v>
      </c>
      <c r="M173">
        <v>1204</v>
      </c>
      <c r="N173" t="s">
        <v>46</v>
      </c>
      <c r="P173" t="s">
        <v>46</v>
      </c>
      <c r="Q173" t="s">
        <v>46</v>
      </c>
    </row>
    <row r="174" spans="1:17" x14ac:dyDescent="0.2">
      <c r="A174">
        <v>10420</v>
      </c>
      <c r="B174" t="s">
        <v>51</v>
      </c>
      <c r="C174">
        <v>3</v>
      </c>
      <c r="D174" s="1">
        <v>35451</v>
      </c>
      <c r="E174" s="1">
        <v>35479</v>
      </c>
      <c r="F174" s="1">
        <v>35457</v>
      </c>
      <c r="G174">
        <v>1</v>
      </c>
      <c r="H174">
        <v>44.12</v>
      </c>
      <c r="I174" t="s">
        <v>52</v>
      </c>
      <c r="J174" t="s">
        <v>53</v>
      </c>
      <c r="K174">
        <v>12</v>
      </c>
      <c r="L174" t="s">
        <v>54</v>
      </c>
      <c r="M174" t="s">
        <v>55</v>
      </c>
      <c r="N174" t="s">
        <v>56</v>
      </c>
      <c r="O174" t="s">
        <v>31</v>
      </c>
      <c r="P174" t="s">
        <v>31</v>
      </c>
      <c r="Q174" t="s">
        <v>31</v>
      </c>
    </row>
    <row r="175" spans="1:17" x14ac:dyDescent="0.2">
      <c r="A175">
        <v>10421</v>
      </c>
      <c r="B175" t="s">
        <v>78</v>
      </c>
      <c r="C175">
        <v>8</v>
      </c>
      <c r="D175" s="1">
        <v>35451</v>
      </c>
      <c r="E175" s="1">
        <v>35493</v>
      </c>
      <c r="F175" s="1">
        <v>35457</v>
      </c>
      <c r="G175">
        <v>1</v>
      </c>
      <c r="H175">
        <v>99.23</v>
      </c>
      <c r="I175" t="s">
        <v>79</v>
      </c>
      <c r="J175" t="s">
        <v>80</v>
      </c>
      <c r="K175">
        <v>12</v>
      </c>
      <c r="L175" t="s">
        <v>28</v>
      </c>
      <c r="M175" t="s">
        <v>29</v>
      </c>
      <c r="N175" t="s">
        <v>81</v>
      </c>
      <c r="O175" t="s">
        <v>31</v>
      </c>
      <c r="P175" t="s">
        <v>31</v>
      </c>
      <c r="Q175" t="s">
        <v>31</v>
      </c>
    </row>
    <row r="176" spans="1:17" x14ac:dyDescent="0.2">
      <c r="A176">
        <v>10422</v>
      </c>
      <c r="B176" t="s">
        <v>344</v>
      </c>
      <c r="C176">
        <v>2</v>
      </c>
      <c r="D176" s="1">
        <v>35452</v>
      </c>
      <c r="E176" s="1">
        <v>35480</v>
      </c>
      <c r="F176" s="1">
        <v>35461</v>
      </c>
      <c r="G176">
        <v>1</v>
      </c>
      <c r="H176">
        <v>3.02</v>
      </c>
      <c r="I176" t="s">
        <v>345</v>
      </c>
      <c r="J176" t="s">
        <v>346</v>
      </c>
      <c r="K176" t="s">
        <v>347</v>
      </c>
      <c r="L176" t="s">
        <v>18</v>
      </c>
      <c r="M176">
        <v>10100</v>
      </c>
      <c r="N176" t="s">
        <v>131</v>
      </c>
      <c r="P176" t="s">
        <v>131</v>
      </c>
      <c r="Q176" t="s">
        <v>131</v>
      </c>
    </row>
    <row r="177" spans="1:17" x14ac:dyDescent="0.2">
      <c r="A177">
        <v>10423</v>
      </c>
      <c r="B177" t="s">
        <v>348</v>
      </c>
      <c r="C177">
        <v>6</v>
      </c>
      <c r="D177" s="1">
        <v>35453</v>
      </c>
      <c r="E177" s="1">
        <v>35467</v>
      </c>
      <c r="F177" s="1">
        <v>35485</v>
      </c>
      <c r="G177">
        <v>3</v>
      </c>
      <c r="H177">
        <v>24.5</v>
      </c>
      <c r="I177" t="s">
        <v>349</v>
      </c>
      <c r="J177" t="s">
        <v>350</v>
      </c>
      <c r="K177">
        <v>442</v>
      </c>
      <c r="L177" t="s">
        <v>351</v>
      </c>
      <c r="M177" t="s">
        <v>55</v>
      </c>
      <c r="N177" t="s">
        <v>352</v>
      </c>
      <c r="O177" t="s">
        <v>31</v>
      </c>
      <c r="P177" t="s">
        <v>31</v>
      </c>
      <c r="Q177" t="s">
        <v>31</v>
      </c>
    </row>
    <row r="178" spans="1:17" x14ac:dyDescent="0.2">
      <c r="A178">
        <v>10424</v>
      </c>
      <c r="B178" t="s">
        <v>248</v>
      </c>
      <c r="C178">
        <v>7</v>
      </c>
      <c r="D178" s="1">
        <v>35453</v>
      </c>
      <c r="E178" s="1">
        <v>35481</v>
      </c>
      <c r="F178" s="1">
        <v>35457</v>
      </c>
      <c r="G178">
        <v>2</v>
      </c>
      <c r="H178">
        <v>370.61</v>
      </c>
      <c r="I178" t="s">
        <v>249</v>
      </c>
      <c r="J178" t="s">
        <v>250</v>
      </c>
      <c r="K178" t="s">
        <v>251</v>
      </c>
      <c r="L178" t="s">
        <v>252</v>
      </c>
      <c r="M178" t="s">
        <v>253</v>
      </c>
      <c r="N178" t="s">
        <v>254</v>
      </c>
      <c r="P178" t="s">
        <v>254</v>
      </c>
      <c r="Q178" t="s">
        <v>254</v>
      </c>
    </row>
    <row r="179" spans="1:17" x14ac:dyDescent="0.2">
      <c r="A179">
        <v>10425</v>
      </c>
      <c r="B179" t="s">
        <v>267</v>
      </c>
      <c r="C179">
        <v>6</v>
      </c>
      <c r="D179" s="1">
        <v>35454</v>
      </c>
      <c r="E179" s="1">
        <v>35482</v>
      </c>
      <c r="F179" s="1">
        <v>35475</v>
      </c>
      <c r="G179">
        <v>2</v>
      </c>
      <c r="H179">
        <v>7.93</v>
      </c>
      <c r="I179" t="s">
        <v>268</v>
      </c>
      <c r="J179" t="s">
        <v>269</v>
      </c>
      <c r="K179" t="s">
        <v>270</v>
      </c>
      <c r="L179" t="s">
        <v>18</v>
      </c>
      <c r="M179">
        <v>31000</v>
      </c>
      <c r="N179" t="s">
        <v>19</v>
      </c>
      <c r="P179" t="s">
        <v>19</v>
      </c>
      <c r="Q179" t="s">
        <v>19</v>
      </c>
    </row>
    <row r="180" spans="1:17" x14ac:dyDescent="0.2">
      <c r="A180">
        <v>10426</v>
      </c>
      <c r="B180" t="s">
        <v>297</v>
      </c>
      <c r="C180">
        <v>4</v>
      </c>
      <c r="D180" s="1">
        <v>35457</v>
      </c>
      <c r="E180" s="1">
        <v>35485</v>
      </c>
      <c r="F180" s="1">
        <v>35467</v>
      </c>
      <c r="G180">
        <v>1</v>
      </c>
      <c r="H180">
        <v>18.690000000000001</v>
      </c>
      <c r="I180" t="s">
        <v>298</v>
      </c>
      <c r="J180" t="s">
        <v>299</v>
      </c>
      <c r="K180">
        <v>23</v>
      </c>
      <c r="L180" t="s">
        <v>300</v>
      </c>
      <c r="M180" t="s">
        <v>18</v>
      </c>
      <c r="N180">
        <v>8022</v>
      </c>
      <c r="O180" t="s">
        <v>154</v>
      </c>
      <c r="P180" t="s">
        <v>154</v>
      </c>
      <c r="Q180" t="s">
        <v>154</v>
      </c>
    </row>
    <row r="181" spans="1:17" x14ac:dyDescent="0.2">
      <c r="A181">
        <v>10427</v>
      </c>
      <c r="B181" t="s">
        <v>271</v>
      </c>
      <c r="C181">
        <v>4</v>
      </c>
      <c r="D181" s="1">
        <v>35457</v>
      </c>
      <c r="E181" s="1">
        <v>35485</v>
      </c>
      <c r="F181" s="1">
        <v>35492</v>
      </c>
      <c r="G181">
        <v>2</v>
      </c>
      <c r="H181">
        <v>31.29</v>
      </c>
      <c r="I181" t="s">
        <v>272</v>
      </c>
      <c r="J181" t="s">
        <v>273</v>
      </c>
      <c r="K181" t="s">
        <v>274</v>
      </c>
      <c r="L181" t="s">
        <v>18</v>
      </c>
      <c r="M181">
        <v>5020</v>
      </c>
      <c r="N181" t="s">
        <v>67</v>
      </c>
      <c r="P181" t="s">
        <v>67</v>
      </c>
      <c r="Q181" t="s">
        <v>67</v>
      </c>
    </row>
    <row r="182" spans="1:17" x14ac:dyDescent="0.2">
      <c r="A182">
        <v>10428</v>
      </c>
      <c r="B182" t="s">
        <v>164</v>
      </c>
      <c r="C182">
        <v>7</v>
      </c>
      <c r="D182" s="1">
        <v>35458</v>
      </c>
      <c r="E182" s="1">
        <v>35486</v>
      </c>
      <c r="F182" s="1">
        <v>35465</v>
      </c>
      <c r="G182">
        <v>1</v>
      </c>
      <c r="H182">
        <v>11.09</v>
      </c>
      <c r="I182" t="s">
        <v>165</v>
      </c>
      <c r="J182" t="s">
        <v>166</v>
      </c>
      <c r="K182" t="s">
        <v>167</v>
      </c>
      <c r="L182" t="s">
        <v>18</v>
      </c>
      <c r="M182">
        <v>42100</v>
      </c>
      <c r="N182" t="s">
        <v>131</v>
      </c>
      <c r="P182" t="s">
        <v>131</v>
      </c>
      <c r="Q182" t="s">
        <v>131</v>
      </c>
    </row>
    <row r="183" spans="1:17" x14ac:dyDescent="0.2">
      <c r="A183">
        <v>10429</v>
      </c>
      <c r="B183" t="s">
        <v>183</v>
      </c>
      <c r="C183">
        <v>3</v>
      </c>
      <c r="D183" s="1">
        <v>35459</v>
      </c>
      <c r="E183" s="1">
        <v>35501</v>
      </c>
      <c r="F183" s="1">
        <v>35468</v>
      </c>
      <c r="G183">
        <v>2</v>
      </c>
      <c r="H183">
        <v>56.63</v>
      </c>
      <c r="I183" t="s">
        <v>184</v>
      </c>
      <c r="J183" t="s">
        <v>185</v>
      </c>
      <c r="K183" t="s">
        <v>186</v>
      </c>
      <c r="L183" t="s">
        <v>187</v>
      </c>
      <c r="M183" t="s">
        <v>18</v>
      </c>
      <c r="N183" t="s">
        <v>188</v>
      </c>
      <c r="P183" t="s">
        <v>188</v>
      </c>
      <c r="Q183" t="s">
        <v>188</v>
      </c>
    </row>
    <row r="184" spans="1:17" x14ac:dyDescent="0.2">
      <c r="A184">
        <v>10430</v>
      </c>
      <c r="B184" t="s">
        <v>63</v>
      </c>
      <c r="C184">
        <v>4</v>
      </c>
      <c r="D184" s="1">
        <v>35460</v>
      </c>
      <c r="E184" s="1">
        <v>35474</v>
      </c>
      <c r="F184" s="1">
        <v>35464</v>
      </c>
      <c r="G184">
        <v>1</v>
      </c>
      <c r="H184">
        <v>458.78</v>
      </c>
      <c r="I184" t="s">
        <v>64</v>
      </c>
      <c r="J184" t="s">
        <v>65</v>
      </c>
      <c r="K184" t="s">
        <v>66</v>
      </c>
      <c r="L184" t="s">
        <v>18</v>
      </c>
      <c r="M184">
        <v>8010</v>
      </c>
      <c r="N184" t="s">
        <v>67</v>
      </c>
      <c r="P184" t="s">
        <v>67</v>
      </c>
      <c r="Q184" t="s">
        <v>67</v>
      </c>
    </row>
    <row r="185" spans="1:17" x14ac:dyDescent="0.2">
      <c r="A185">
        <v>10431</v>
      </c>
      <c r="B185" t="s">
        <v>324</v>
      </c>
      <c r="C185">
        <v>4</v>
      </c>
      <c r="D185" s="1">
        <v>35460</v>
      </c>
      <c r="E185" s="1">
        <v>35474</v>
      </c>
      <c r="F185" s="1">
        <v>35468</v>
      </c>
      <c r="G185">
        <v>2</v>
      </c>
      <c r="H185">
        <v>44.17</v>
      </c>
      <c r="I185" t="s">
        <v>325</v>
      </c>
      <c r="J185" t="s">
        <v>326</v>
      </c>
      <c r="K185" t="s">
        <v>327</v>
      </c>
      <c r="L185" t="s">
        <v>328</v>
      </c>
      <c r="M185" t="s">
        <v>329</v>
      </c>
      <c r="N185" t="s">
        <v>254</v>
      </c>
      <c r="P185" t="s">
        <v>254</v>
      </c>
      <c r="Q185" t="s">
        <v>254</v>
      </c>
    </row>
    <row r="186" spans="1:17" x14ac:dyDescent="0.2">
      <c r="A186">
        <v>10432</v>
      </c>
      <c r="B186" t="s">
        <v>117</v>
      </c>
      <c r="C186">
        <v>3</v>
      </c>
      <c r="D186" s="1">
        <v>35461</v>
      </c>
      <c r="E186" s="1">
        <v>35475</v>
      </c>
      <c r="F186" s="1">
        <v>35468</v>
      </c>
      <c r="G186">
        <v>2</v>
      </c>
      <c r="H186">
        <v>4.34</v>
      </c>
      <c r="I186" t="s">
        <v>118</v>
      </c>
      <c r="J186" t="s">
        <v>119</v>
      </c>
      <c r="K186" t="s">
        <v>120</v>
      </c>
      <c r="L186" t="s">
        <v>121</v>
      </c>
      <c r="M186">
        <v>82520</v>
      </c>
      <c r="N186" t="s">
        <v>87</v>
      </c>
      <c r="P186" t="s">
        <v>87</v>
      </c>
      <c r="Q186" t="s">
        <v>87</v>
      </c>
    </row>
    <row r="187" spans="1:17" x14ac:dyDescent="0.2">
      <c r="A187">
        <v>10433</v>
      </c>
      <c r="B187" t="s">
        <v>255</v>
      </c>
      <c r="C187">
        <v>3</v>
      </c>
      <c r="D187" s="1">
        <v>35464</v>
      </c>
      <c r="E187" s="1">
        <v>35492</v>
      </c>
      <c r="F187" s="1">
        <v>35493</v>
      </c>
      <c r="G187">
        <v>3</v>
      </c>
      <c r="H187">
        <v>73.83</v>
      </c>
      <c r="I187" t="s">
        <v>256</v>
      </c>
      <c r="J187" t="s">
        <v>257</v>
      </c>
      <c r="K187" t="s">
        <v>242</v>
      </c>
      <c r="L187" t="s">
        <v>18</v>
      </c>
      <c r="M187">
        <v>1756</v>
      </c>
      <c r="N187" t="s">
        <v>243</v>
      </c>
      <c r="P187" t="s">
        <v>243</v>
      </c>
      <c r="Q187" t="s">
        <v>243</v>
      </c>
    </row>
    <row r="188" spans="1:17" x14ac:dyDescent="0.2">
      <c r="A188">
        <v>10434</v>
      </c>
      <c r="B188" t="s">
        <v>88</v>
      </c>
      <c r="C188">
        <v>3</v>
      </c>
      <c r="D188" s="1">
        <v>35464</v>
      </c>
      <c r="E188" s="1">
        <v>35492</v>
      </c>
      <c r="F188" s="1">
        <v>35474</v>
      </c>
      <c r="G188">
        <v>2</v>
      </c>
      <c r="H188">
        <v>17.920000000000002</v>
      </c>
      <c r="I188" t="s">
        <v>89</v>
      </c>
      <c r="J188" t="s">
        <v>90</v>
      </c>
      <c r="K188" t="s">
        <v>91</v>
      </c>
      <c r="L188" t="s">
        <v>18</v>
      </c>
      <c r="M188" t="s">
        <v>92</v>
      </c>
      <c r="N188" t="s">
        <v>93</v>
      </c>
      <c r="P188" t="s">
        <v>93</v>
      </c>
      <c r="Q188" t="s">
        <v>93</v>
      </c>
    </row>
    <row r="189" spans="1:17" x14ac:dyDescent="0.2">
      <c r="A189">
        <v>10435</v>
      </c>
      <c r="B189" t="s">
        <v>353</v>
      </c>
      <c r="C189">
        <v>8</v>
      </c>
      <c r="D189" s="1">
        <v>35465</v>
      </c>
      <c r="E189" s="1">
        <v>35507</v>
      </c>
      <c r="F189" s="1">
        <v>35468</v>
      </c>
      <c r="G189">
        <v>2</v>
      </c>
      <c r="H189">
        <v>9.2100000000000009</v>
      </c>
      <c r="I189" t="s">
        <v>354</v>
      </c>
      <c r="J189" t="s">
        <v>355</v>
      </c>
      <c r="K189" t="s">
        <v>171</v>
      </c>
      <c r="L189" t="s">
        <v>18</v>
      </c>
      <c r="M189" t="s">
        <v>356</v>
      </c>
      <c r="N189" t="s">
        <v>173</v>
      </c>
      <c r="P189" t="s">
        <v>173</v>
      </c>
      <c r="Q189" t="s">
        <v>173</v>
      </c>
    </row>
    <row r="190" spans="1:17" x14ac:dyDescent="0.2">
      <c r="A190">
        <v>10436</v>
      </c>
      <c r="B190" t="s">
        <v>94</v>
      </c>
      <c r="C190">
        <v>3</v>
      </c>
      <c r="D190" s="1">
        <v>35466</v>
      </c>
      <c r="E190" s="1">
        <v>35494</v>
      </c>
      <c r="F190" s="1">
        <v>35472</v>
      </c>
      <c r="G190">
        <v>2</v>
      </c>
      <c r="H190">
        <v>156.66</v>
      </c>
      <c r="I190" t="s">
        <v>95</v>
      </c>
      <c r="J190">
        <v>24</v>
      </c>
      <c r="K190" t="s">
        <v>96</v>
      </c>
      <c r="L190" t="s">
        <v>97</v>
      </c>
      <c r="M190" t="s">
        <v>18</v>
      </c>
      <c r="N190">
        <v>67000</v>
      </c>
      <c r="O190" t="s">
        <v>19</v>
      </c>
      <c r="P190" t="s">
        <v>19</v>
      </c>
      <c r="Q190" t="s">
        <v>19</v>
      </c>
    </row>
    <row r="191" spans="1:17" x14ac:dyDescent="0.2">
      <c r="A191">
        <v>10437</v>
      </c>
      <c r="B191" t="s">
        <v>98</v>
      </c>
      <c r="C191">
        <v>8</v>
      </c>
      <c r="D191" s="1">
        <v>35466</v>
      </c>
      <c r="E191" s="1">
        <v>35494</v>
      </c>
      <c r="F191" s="1">
        <v>35473</v>
      </c>
      <c r="G191">
        <v>1</v>
      </c>
      <c r="H191">
        <v>19.97</v>
      </c>
      <c r="I191" t="s">
        <v>99</v>
      </c>
      <c r="J191" t="s">
        <v>100</v>
      </c>
      <c r="K191" t="s">
        <v>101</v>
      </c>
      <c r="L191" t="s">
        <v>18</v>
      </c>
      <c r="M191">
        <v>90110</v>
      </c>
      <c r="N191" t="s">
        <v>102</v>
      </c>
      <c r="P191" t="s">
        <v>102</v>
      </c>
      <c r="Q191" t="s">
        <v>102</v>
      </c>
    </row>
    <row r="192" spans="1:17" x14ac:dyDescent="0.2">
      <c r="A192">
        <v>10438</v>
      </c>
      <c r="B192" t="s">
        <v>20</v>
      </c>
      <c r="C192">
        <v>3</v>
      </c>
      <c r="D192" s="1">
        <v>35467</v>
      </c>
      <c r="E192" s="1">
        <v>35495</v>
      </c>
      <c r="F192" s="1">
        <v>35475</v>
      </c>
      <c r="G192">
        <v>2</v>
      </c>
      <c r="H192">
        <v>8.24</v>
      </c>
      <c r="I192" t="s">
        <v>21</v>
      </c>
      <c r="J192" t="s">
        <v>22</v>
      </c>
      <c r="K192" t="s">
        <v>23</v>
      </c>
      <c r="L192" t="s">
        <v>18</v>
      </c>
      <c r="M192">
        <v>44087</v>
      </c>
      <c r="N192" t="s">
        <v>24</v>
      </c>
      <c r="P192" t="s">
        <v>24</v>
      </c>
      <c r="Q192" t="s">
        <v>24</v>
      </c>
    </row>
    <row r="193" spans="1:17" x14ac:dyDescent="0.2">
      <c r="A193">
        <v>10439</v>
      </c>
      <c r="B193" t="s">
        <v>248</v>
      </c>
      <c r="C193">
        <v>6</v>
      </c>
      <c r="D193" s="1">
        <v>35468</v>
      </c>
      <c r="E193" s="1">
        <v>35496</v>
      </c>
      <c r="F193" s="1">
        <v>35471</v>
      </c>
      <c r="G193">
        <v>3</v>
      </c>
      <c r="H193">
        <v>4.07</v>
      </c>
      <c r="I193" t="s">
        <v>249</v>
      </c>
      <c r="J193" t="s">
        <v>250</v>
      </c>
      <c r="K193" t="s">
        <v>251</v>
      </c>
      <c r="L193" t="s">
        <v>252</v>
      </c>
      <c r="M193" t="s">
        <v>253</v>
      </c>
      <c r="N193" t="s">
        <v>254</v>
      </c>
      <c r="P193" t="s">
        <v>254</v>
      </c>
      <c r="Q193" t="s">
        <v>254</v>
      </c>
    </row>
    <row r="194" spans="1:17" x14ac:dyDescent="0.2">
      <c r="A194">
        <v>10440</v>
      </c>
      <c r="B194" t="s">
        <v>231</v>
      </c>
      <c r="C194">
        <v>4</v>
      </c>
      <c r="D194" s="1">
        <v>35471</v>
      </c>
      <c r="E194" s="1">
        <v>35499</v>
      </c>
      <c r="F194" s="1">
        <v>35489</v>
      </c>
      <c r="G194">
        <v>2</v>
      </c>
      <c r="H194">
        <v>86.53</v>
      </c>
      <c r="I194" t="s">
        <v>232</v>
      </c>
      <c r="J194" t="s">
        <v>233</v>
      </c>
      <c r="K194" t="s">
        <v>234</v>
      </c>
      <c r="L194" t="s">
        <v>235</v>
      </c>
      <c r="M194">
        <v>83720</v>
      </c>
      <c r="N194" t="s">
        <v>87</v>
      </c>
      <c r="P194" t="s">
        <v>87</v>
      </c>
      <c r="Q194" t="s">
        <v>87</v>
      </c>
    </row>
    <row r="195" spans="1:17" x14ac:dyDescent="0.2">
      <c r="A195">
        <v>10441</v>
      </c>
      <c r="B195" t="s">
        <v>197</v>
      </c>
      <c r="C195">
        <v>3</v>
      </c>
      <c r="D195" s="1">
        <v>35471</v>
      </c>
      <c r="E195" s="1">
        <v>35513</v>
      </c>
      <c r="F195" s="1">
        <v>35503</v>
      </c>
      <c r="G195">
        <v>2</v>
      </c>
      <c r="H195">
        <v>73.02</v>
      </c>
      <c r="I195" t="s">
        <v>198</v>
      </c>
      <c r="J195" t="s">
        <v>199</v>
      </c>
      <c r="K195" t="s">
        <v>200</v>
      </c>
      <c r="L195" t="s">
        <v>201</v>
      </c>
      <c r="M195">
        <v>99508</v>
      </c>
      <c r="N195" t="s">
        <v>87</v>
      </c>
      <c r="P195" t="s">
        <v>87</v>
      </c>
      <c r="Q195" t="s">
        <v>87</v>
      </c>
    </row>
    <row r="196" spans="1:17" x14ac:dyDescent="0.2">
      <c r="A196">
        <v>10442</v>
      </c>
      <c r="B196" t="s">
        <v>63</v>
      </c>
      <c r="C196">
        <v>3</v>
      </c>
      <c r="D196" s="1">
        <v>35472</v>
      </c>
      <c r="E196" s="1">
        <v>35500</v>
      </c>
      <c r="F196" s="1">
        <v>35479</v>
      </c>
      <c r="G196">
        <v>2</v>
      </c>
      <c r="H196">
        <v>47.94</v>
      </c>
      <c r="I196" t="s">
        <v>64</v>
      </c>
      <c r="J196" t="s">
        <v>65</v>
      </c>
      <c r="K196" t="s">
        <v>66</v>
      </c>
      <c r="L196" t="s">
        <v>18</v>
      </c>
      <c r="M196">
        <v>8010</v>
      </c>
      <c r="N196" t="s">
        <v>67</v>
      </c>
      <c r="P196" t="s">
        <v>67</v>
      </c>
      <c r="Q196" t="s">
        <v>67</v>
      </c>
    </row>
    <row r="197" spans="1:17" x14ac:dyDescent="0.2">
      <c r="A197">
        <v>10443</v>
      </c>
      <c r="B197" t="s">
        <v>164</v>
      </c>
      <c r="C197">
        <v>8</v>
      </c>
      <c r="D197" s="1">
        <v>35473</v>
      </c>
      <c r="E197" s="1">
        <v>35501</v>
      </c>
      <c r="F197" s="1">
        <v>35475</v>
      </c>
      <c r="G197">
        <v>1</v>
      </c>
      <c r="H197">
        <v>13.95</v>
      </c>
      <c r="I197" t="s">
        <v>165</v>
      </c>
      <c r="J197" t="s">
        <v>166</v>
      </c>
      <c r="K197" t="s">
        <v>167</v>
      </c>
      <c r="L197" t="s">
        <v>18</v>
      </c>
      <c r="M197">
        <v>42100</v>
      </c>
      <c r="N197" t="s">
        <v>131</v>
      </c>
      <c r="P197" t="s">
        <v>131</v>
      </c>
      <c r="Q197" t="s">
        <v>131</v>
      </c>
    </row>
    <row r="198" spans="1:17" x14ac:dyDescent="0.2">
      <c r="A198">
        <v>10444</v>
      </c>
      <c r="B198" t="s">
        <v>141</v>
      </c>
      <c r="C198">
        <v>3</v>
      </c>
      <c r="D198" s="1">
        <v>35473</v>
      </c>
      <c r="E198" s="1">
        <v>35501</v>
      </c>
      <c r="F198" s="1">
        <v>35482</v>
      </c>
      <c r="G198">
        <v>3</v>
      </c>
      <c r="H198">
        <v>3.5</v>
      </c>
      <c r="I198" t="s">
        <v>142</v>
      </c>
      <c r="J198" t="s">
        <v>143</v>
      </c>
      <c r="K198" t="s">
        <v>144</v>
      </c>
      <c r="L198" t="s">
        <v>18</v>
      </c>
      <c r="M198" t="s">
        <v>145</v>
      </c>
      <c r="N198" t="s">
        <v>93</v>
      </c>
      <c r="P198" t="s">
        <v>93</v>
      </c>
      <c r="Q198" t="s">
        <v>93</v>
      </c>
    </row>
    <row r="199" spans="1:17" x14ac:dyDescent="0.2">
      <c r="A199">
        <v>10445</v>
      </c>
      <c r="B199" t="s">
        <v>141</v>
      </c>
      <c r="C199">
        <v>3</v>
      </c>
      <c r="D199" s="1">
        <v>35474</v>
      </c>
      <c r="E199" s="1">
        <v>35502</v>
      </c>
      <c r="F199" s="1">
        <v>35481</v>
      </c>
      <c r="G199">
        <v>1</v>
      </c>
      <c r="H199">
        <v>9.3000000000000007</v>
      </c>
      <c r="I199" t="s">
        <v>142</v>
      </c>
      <c r="J199" t="s">
        <v>143</v>
      </c>
      <c r="K199" t="s">
        <v>144</v>
      </c>
      <c r="L199" t="s">
        <v>18</v>
      </c>
      <c r="M199" t="s">
        <v>145</v>
      </c>
      <c r="N199" t="s">
        <v>93</v>
      </c>
      <c r="P199" t="s">
        <v>93</v>
      </c>
      <c r="Q199" t="s">
        <v>93</v>
      </c>
    </row>
    <row r="200" spans="1:17" x14ac:dyDescent="0.2">
      <c r="A200">
        <v>10446</v>
      </c>
      <c r="B200" t="s">
        <v>20</v>
      </c>
      <c r="C200">
        <v>6</v>
      </c>
      <c r="D200" s="1">
        <v>35475</v>
      </c>
      <c r="E200" s="1">
        <v>35503</v>
      </c>
      <c r="F200" s="1">
        <v>35480</v>
      </c>
      <c r="G200">
        <v>1</v>
      </c>
      <c r="H200">
        <v>14.68</v>
      </c>
      <c r="I200" t="s">
        <v>21</v>
      </c>
      <c r="J200" t="s">
        <v>22</v>
      </c>
      <c r="K200" t="s">
        <v>23</v>
      </c>
      <c r="L200" t="s">
        <v>18</v>
      </c>
      <c r="M200">
        <v>44087</v>
      </c>
      <c r="N200" t="s">
        <v>24</v>
      </c>
      <c r="P200" t="s">
        <v>24</v>
      </c>
      <c r="Q200" t="s">
        <v>24</v>
      </c>
    </row>
    <row r="201" spans="1:17" x14ac:dyDescent="0.2">
      <c r="A201">
        <v>10447</v>
      </c>
      <c r="B201" t="s">
        <v>160</v>
      </c>
      <c r="C201">
        <v>4</v>
      </c>
      <c r="D201" s="1">
        <v>35475</v>
      </c>
      <c r="E201" s="1">
        <v>35503</v>
      </c>
      <c r="F201" s="1">
        <v>35496</v>
      </c>
      <c r="G201">
        <v>2</v>
      </c>
      <c r="H201">
        <v>68.66</v>
      </c>
      <c r="I201" t="s">
        <v>161</v>
      </c>
      <c r="J201" t="s">
        <v>162</v>
      </c>
      <c r="K201">
        <v>267</v>
      </c>
      <c r="L201" t="s">
        <v>28</v>
      </c>
      <c r="M201" t="s">
        <v>29</v>
      </c>
      <c r="N201" t="s">
        <v>163</v>
      </c>
      <c r="O201" t="s">
        <v>31</v>
      </c>
      <c r="P201" t="s">
        <v>31</v>
      </c>
      <c r="Q201" t="s">
        <v>31</v>
      </c>
    </row>
    <row r="202" spans="1:17" x14ac:dyDescent="0.2">
      <c r="A202">
        <v>10448</v>
      </c>
      <c r="B202" t="s">
        <v>357</v>
      </c>
      <c r="C202">
        <v>4</v>
      </c>
      <c r="D202" s="1">
        <v>35478</v>
      </c>
      <c r="E202" s="1">
        <v>35506</v>
      </c>
      <c r="F202" s="1">
        <v>35485</v>
      </c>
      <c r="G202">
        <v>2</v>
      </c>
      <c r="H202">
        <v>38.82</v>
      </c>
      <c r="I202" t="s">
        <v>358</v>
      </c>
      <c r="J202" t="s">
        <v>359</v>
      </c>
      <c r="K202" t="s">
        <v>342</v>
      </c>
      <c r="L202" t="s">
        <v>18</v>
      </c>
      <c r="M202">
        <v>1010</v>
      </c>
      <c r="N202" t="s">
        <v>343</v>
      </c>
      <c r="P202" t="s">
        <v>343</v>
      </c>
      <c r="Q202" t="s">
        <v>343</v>
      </c>
    </row>
    <row r="203" spans="1:17" x14ac:dyDescent="0.2">
      <c r="A203">
        <v>10449</v>
      </c>
      <c r="B203" t="s">
        <v>94</v>
      </c>
      <c r="C203">
        <v>3</v>
      </c>
      <c r="D203" s="1">
        <v>35479</v>
      </c>
      <c r="E203" s="1">
        <v>35507</v>
      </c>
      <c r="F203" s="1">
        <v>35488</v>
      </c>
      <c r="G203">
        <v>2</v>
      </c>
      <c r="H203">
        <v>53.3</v>
      </c>
      <c r="I203" t="s">
        <v>95</v>
      </c>
      <c r="J203">
        <v>24</v>
      </c>
      <c r="K203" t="s">
        <v>96</v>
      </c>
      <c r="L203" t="s">
        <v>97</v>
      </c>
      <c r="M203" t="s">
        <v>18</v>
      </c>
      <c r="N203">
        <v>67000</v>
      </c>
      <c r="O203" t="s">
        <v>19</v>
      </c>
      <c r="P203" t="s">
        <v>19</v>
      </c>
      <c r="Q203" t="s">
        <v>19</v>
      </c>
    </row>
    <row r="204" spans="1:17" x14ac:dyDescent="0.2">
      <c r="A204">
        <v>10450</v>
      </c>
      <c r="B204" t="s">
        <v>32</v>
      </c>
      <c r="C204">
        <v>8</v>
      </c>
      <c r="D204" s="1">
        <v>35480</v>
      </c>
      <c r="E204" s="1">
        <v>35508</v>
      </c>
      <c r="F204" s="1">
        <v>35500</v>
      </c>
      <c r="G204">
        <v>2</v>
      </c>
      <c r="H204">
        <v>7.23</v>
      </c>
      <c r="I204" t="s">
        <v>33</v>
      </c>
      <c r="J204">
        <v>2</v>
      </c>
      <c r="K204" t="s">
        <v>34</v>
      </c>
      <c r="L204" t="s">
        <v>35</v>
      </c>
      <c r="M204" t="s">
        <v>18</v>
      </c>
      <c r="N204">
        <v>69004</v>
      </c>
      <c r="O204" t="s">
        <v>19</v>
      </c>
      <c r="P204" t="s">
        <v>19</v>
      </c>
      <c r="Q204" t="s">
        <v>19</v>
      </c>
    </row>
    <row r="205" spans="1:17" x14ac:dyDescent="0.2">
      <c r="A205">
        <v>10451</v>
      </c>
      <c r="B205" t="s">
        <v>122</v>
      </c>
      <c r="C205">
        <v>4</v>
      </c>
      <c r="D205" s="1">
        <v>35480</v>
      </c>
      <c r="E205" s="1">
        <v>35494</v>
      </c>
      <c r="F205" s="1">
        <v>35501</v>
      </c>
      <c r="G205">
        <v>3</v>
      </c>
      <c r="H205">
        <v>189.09</v>
      </c>
      <c r="I205" t="s">
        <v>123</v>
      </c>
      <c r="J205" t="s">
        <v>124</v>
      </c>
      <c r="K205" t="s">
        <v>125</v>
      </c>
      <c r="L205" t="s">
        <v>18</v>
      </c>
      <c r="M205" s="2" t="s">
        <v>126</v>
      </c>
      <c r="N205" t="s">
        <v>24</v>
      </c>
      <c r="P205" t="s">
        <v>24</v>
      </c>
      <c r="Q205" t="s">
        <v>24</v>
      </c>
    </row>
    <row r="206" spans="1:17" x14ac:dyDescent="0.2">
      <c r="A206">
        <v>10452</v>
      </c>
      <c r="B206" t="s">
        <v>231</v>
      </c>
      <c r="C206">
        <v>8</v>
      </c>
      <c r="D206" s="1">
        <v>35481</v>
      </c>
      <c r="E206" s="1">
        <v>35509</v>
      </c>
      <c r="F206" s="1">
        <v>35487</v>
      </c>
      <c r="G206">
        <v>1</v>
      </c>
      <c r="H206">
        <v>140.26</v>
      </c>
      <c r="I206" t="s">
        <v>232</v>
      </c>
      <c r="J206" t="s">
        <v>233</v>
      </c>
      <c r="K206" t="s">
        <v>234</v>
      </c>
      <c r="L206" t="s">
        <v>235</v>
      </c>
      <c r="M206">
        <v>83720</v>
      </c>
      <c r="N206" t="s">
        <v>87</v>
      </c>
      <c r="P206" t="s">
        <v>87</v>
      </c>
      <c r="Q206" t="s">
        <v>87</v>
      </c>
    </row>
    <row r="207" spans="1:17" x14ac:dyDescent="0.2">
      <c r="A207">
        <v>10453</v>
      </c>
      <c r="B207" t="s">
        <v>275</v>
      </c>
      <c r="C207">
        <v>1</v>
      </c>
      <c r="D207" s="1">
        <v>35482</v>
      </c>
      <c r="E207" s="1">
        <v>35510</v>
      </c>
      <c r="F207" s="1">
        <v>35487</v>
      </c>
      <c r="G207">
        <v>2</v>
      </c>
      <c r="H207">
        <v>25.36</v>
      </c>
      <c r="I207" t="s">
        <v>276</v>
      </c>
      <c r="J207" t="s">
        <v>277</v>
      </c>
      <c r="K207" t="s">
        <v>278</v>
      </c>
      <c r="L207" t="s">
        <v>279</v>
      </c>
      <c r="M207" t="s">
        <v>280</v>
      </c>
      <c r="N207" t="s">
        <v>173</v>
      </c>
      <c r="P207" t="s">
        <v>173</v>
      </c>
      <c r="Q207" t="s">
        <v>173</v>
      </c>
    </row>
    <row r="208" spans="1:17" x14ac:dyDescent="0.2">
      <c r="A208">
        <v>10454</v>
      </c>
      <c r="B208" t="s">
        <v>267</v>
      </c>
      <c r="C208">
        <v>4</v>
      </c>
      <c r="D208" s="1">
        <v>35482</v>
      </c>
      <c r="E208" s="1">
        <v>35510</v>
      </c>
      <c r="F208" s="1">
        <v>35486</v>
      </c>
      <c r="G208">
        <v>3</v>
      </c>
      <c r="H208">
        <v>2.74</v>
      </c>
      <c r="I208" t="s">
        <v>268</v>
      </c>
      <c r="J208" t="s">
        <v>269</v>
      </c>
      <c r="K208" t="s">
        <v>270</v>
      </c>
      <c r="L208" t="s">
        <v>18</v>
      </c>
      <c r="M208">
        <v>31000</v>
      </c>
      <c r="N208" t="s">
        <v>19</v>
      </c>
      <c r="P208" t="s">
        <v>19</v>
      </c>
      <c r="Q208" t="s">
        <v>19</v>
      </c>
    </row>
    <row r="209" spans="1:17" x14ac:dyDescent="0.2">
      <c r="A209">
        <v>10455</v>
      </c>
      <c r="B209" t="s">
        <v>98</v>
      </c>
      <c r="C209">
        <v>8</v>
      </c>
      <c r="D209" s="1">
        <v>35485</v>
      </c>
      <c r="E209" s="1">
        <v>35527</v>
      </c>
      <c r="F209" s="1">
        <v>35492</v>
      </c>
      <c r="G209">
        <v>2</v>
      </c>
      <c r="H209">
        <v>180.45</v>
      </c>
      <c r="I209" t="s">
        <v>99</v>
      </c>
      <c r="J209" t="s">
        <v>100</v>
      </c>
      <c r="K209" t="s">
        <v>101</v>
      </c>
      <c r="L209" t="s">
        <v>18</v>
      </c>
      <c r="M209">
        <v>90110</v>
      </c>
      <c r="N209" t="s">
        <v>102</v>
      </c>
      <c r="P209" t="s">
        <v>102</v>
      </c>
      <c r="Q209" t="s">
        <v>102</v>
      </c>
    </row>
    <row r="210" spans="1:17" x14ac:dyDescent="0.2">
      <c r="A210">
        <v>10456</v>
      </c>
      <c r="B210" t="s">
        <v>227</v>
      </c>
      <c r="C210">
        <v>8</v>
      </c>
      <c r="D210" s="1">
        <v>35486</v>
      </c>
      <c r="E210" s="1">
        <v>35528</v>
      </c>
      <c r="F210" s="1">
        <v>35489</v>
      </c>
      <c r="G210">
        <v>2</v>
      </c>
      <c r="H210">
        <v>8.1199999999999992</v>
      </c>
      <c r="I210" t="s">
        <v>228</v>
      </c>
      <c r="J210" t="s">
        <v>229</v>
      </c>
      <c r="K210" t="s">
        <v>230</v>
      </c>
      <c r="L210" t="s">
        <v>18</v>
      </c>
      <c r="M210">
        <v>14776</v>
      </c>
      <c r="N210" t="s">
        <v>24</v>
      </c>
      <c r="P210" t="s">
        <v>24</v>
      </c>
      <c r="Q210" t="s">
        <v>24</v>
      </c>
    </row>
    <row r="211" spans="1:17" x14ac:dyDescent="0.2">
      <c r="A211">
        <v>10457</v>
      </c>
      <c r="B211" t="s">
        <v>227</v>
      </c>
      <c r="C211">
        <v>2</v>
      </c>
      <c r="D211" s="1">
        <v>35486</v>
      </c>
      <c r="E211" s="1">
        <v>35514</v>
      </c>
      <c r="F211" s="1">
        <v>35492</v>
      </c>
      <c r="G211">
        <v>1</v>
      </c>
      <c r="H211">
        <v>11.57</v>
      </c>
      <c r="I211" t="s">
        <v>228</v>
      </c>
      <c r="J211" t="s">
        <v>229</v>
      </c>
      <c r="K211" t="s">
        <v>230</v>
      </c>
      <c r="L211" t="s">
        <v>18</v>
      </c>
      <c r="M211">
        <v>14776</v>
      </c>
      <c r="N211" t="s">
        <v>24</v>
      </c>
      <c r="P211" t="s">
        <v>24</v>
      </c>
      <c r="Q211" t="s">
        <v>24</v>
      </c>
    </row>
    <row r="212" spans="1:17" x14ac:dyDescent="0.2">
      <c r="A212">
        <v>10458</v>
      </c>
      <c r="B212" t="s">
        <v>36</v>
      </c>
      <c r="C212">
        <v>7</v>
      </c>
      <c r="D212" s="1">
        <v>35487</v>
      </c>
      <c r="E212" s="1">
        <v>35515</v>
      </c>
      <c r="F212" s="1">
        <v>35493</v>
      </c>
      <c r="G212">
        <v>3</v>
      </c>
      <c r="H212">
        <v>147.06</v>
      </c>
      <c r="I212" t="s">
        <v>37</v>
      </c>
      <c r="J212" t="s">
        <v>38</v>
      </c>
      <c r="K212">
        <v>255</v>
      </c>
      <c r="L212" t="s">
        <v>39</v>
      </c>
      <c r="M212" t="s">
        <v>18</v>
      </c>
      <c r="N212" t="s">
        <v>40</v>
      </c>
      <c r="O212" t="s">
        <v>41</v>
      </c>
      <c r="P212" t="s">
        <v>41</v>
      </c>
      <c r="Q212" t="s">
        <v>41</v>
      </c>
    </row>
    <row r="213" spans="1:17" x14ac:dyDescent="0.2">
      <c r="A213">
        <v>10459</v>
      </c>
      <c r="B213" t="s">
        <v>32</v>
      </c>
      <c r="C213">
        <v>4</v>
      </c>
      <c r="D213" s="1">
        <v>35488</v>
      </c>
      <c r="E213" s="1">
        <v>35516</v>
      </c>
      <c r="F213" s="1">
        <v>35489</v>
      </c>
      <c r="G213">
        <v>2</v>
      </c>
      <c r="H213">
        <v>25.09</v>
      </c>
      <c r="I213" t="s">
        <v>33</v>
      </c>
      <c r="J213">
        <v>2</v>
      </c>
      <c r="K213" t="s">
        <v>34</v>
      </c>
      <c r="L213" t="s">
        <v>35</v>
      </c>
      <c r="M213" t="s">
        <v>18</v>
      </c>
      <c r="N213">
        <v>69004</v>
      </c>
      <c r="O213" t="s">
        <v>19</v>
      </c>
      <c r="P213" t="s">
        <v>19</v>
      </c>
      <c r="Q213" t="s">
        <v>19</v>
      </c>
    </row>
    <row r="214" spans="1:17" x14ac:dyDescent="0.2">
      <c r="A214">
        <v>10460</v>
      </c>
      <c r="B214" t="s">
        <v>88</v>
      </c>
      <c r="C214">
        <v>8</v>
      </c>
      <c r="D214" s="1">
        <v>35489</v>
      </c>
      <c r="E214" s="1">
        <v>35517</v>
      </c>
      <c r="F214" s="1">
        <v>35492</v>
      </c>
      <c r="G214">
        <v>1</v>
      </c>
      <c r="H214">
        <v>16.27</v>
      </c>
      <c r="I214" t="s">
        <v>89</v>
      </c>
      <c r="J214" t="s">
        <v>90</v>
      </c>
      <c r="K214" t="s">
        <v>91</v>
      </c>
      <c r="L214" t="s">
        <v>18</v>
      </c>
      <c r="M214" t="s">
        <v>92</v>
      </c>
      <c r="N214" t="s">
        <v>93</v>
      </c>
      <c r="P214" t="s">
        <v>93</v>
      </c>
      <c r="Q214" t="s">
        <v>93</v>
      </c>
    </row>
    <row r="215" spans="1:17" x14ac:dyDescent="0.2">
      <c r="A215">
        <v>10461</v>
      </c>
      <c r="B215" t="s">
        <v>155</v>
      </c>
      <c r="C215">
        <v>1</v>
      </c>
      <c r="D215" s="1">
        <v>35489</v>
      </c>
      <c r="E215" s="1">
        <v>35517</v>
      </c>
      <c r="F215" s="1">
        <v>35494</v>
      </c>
      <c r="G215">
        <v>3</v>
      </c>
      <c r="H215">
        <v>148.61000000000001</v>
      </c>
      <c r="I215" t="s">
        <v>156</v>
      </c>
      <c r="J215" t="s">
        <v>157</v>
      </c>
      <c r="K215" t="s">
        <v>158</v>
      </c>
      <c r="L215" t="s">
        <v>159</v>
      </c>
      <c r="M215">
        <v>3508</v>
      </c>
      <c r="N215" t="s">
        <v>62</v>
      </c>
      <c r="P215" t="s">
        <v>62</v>
      </c>
      <c r="Q215" t="s">
        <v>62</v>
      </c>
    </row>
    <row r="216" spans="1:17" x14ac:dyDescent="0.2">
      <c r="A216">
        <v>10462</v>
      </c>
      <c r="B216" t="s">
        <v>353</v>
      </c>
      <c r="C216">
        <v>2</v>
      </c>
      <c r="D216" s="1">
        <v>35492</v>
      </c>
      <c r="E216" s="1">
        <v>35520</v>
      </c>
      <c r="F216" s="1">
        <v>35507</v>
      </c>
      <c r="G216">
        <v>1</v>
      </c>
      <c r="H216">
        <v>6.17</v>
      </c>
      <c r="I216" t="s">
        <v>354</v>
      </c>
      <c r="J216" t="s">
        <v>355</v>
      </c>
      <c r="K216" t="s">
        <v>171</v>
      </c>
      <c r="L216" t="s">
        <v>18</v>
      </c>
      <c r="M216" t="s">
        <v>356</v>
      </c>
      <c r="N216" t="s">
        <v>173</v>
      </c>
      <c r="P216" t="s">
        <v>173</v>
      </c>
      <c r="Q216" t="s">
        <v>173</v>
      </c>
    </row>
    <row r="217" spans="1:17" x14ac:dyDescent="0.2">
      <c r="A217">
        <v>10463</v>
      </c>
      <c r="B217" t="s">
        <v>36</v>
      </c>
      <c r="C217">
        <v>5</v>
      </c>
      <c r="D217" s="1">
        <v>35493</v>
      </c>
      <c r="E217" s="1">
        <v>35521</v>
      </c>
      <c r="F217" s="1">
        <v>35495</v>
      </c>
      <c r="G217">
        <v>3</v>
      </c>
      <c r="H217">
        <v>14.78</v>
      </c>
      <c r="I217" t="s">
        <v>37</v>
      </c>
      <c r="J217" t="s">
        <v>38</v>
      </c>
      <c r="K217">
        <v>255</v>
      </c>
      <c r="L217" t="s">
        <v>39</v>
      </c>
      <c r="M217" t="s">
        <v>18</v>
      </c>
      <c r="N217" t="s">
        <v>40</v>
      </c>
      <c r="O217" t="s">
        <v>41</v>
      </c>
      <c r="P217" t="s">
        <v>41</v>
      </c>
      <c r="Q217" t="s">
        <v>41</v>
      </c>
    </row>
    <row r="218" spans="1:17" x14ac:dyDescent="0.2">
      <c r="A218">
        <v>10464</v>
      </c>
      <c r="B218" t="s">
        <v>239</v>
      </c>
      <c r="C218">
        <v>4</v>
      </c>
      <c r="D218" s="1">
        <v>35493</v>
      </c>
      <c r="E218" s="1">
        <v>35521</v>
      </c>
      <c r="F218" s="1">
        <v>35503</v>
      </c>
      <c r="G218">
        <v>2</v>
      </c>
      <c r="H218">
        <v>89</v>
      </c>
      <c r="I218" t="s">
        <v>240</v>
      </c>
      <c r="J218" t="s">
        <v>241</v>
      </c>
      <c r="K218" t="s">
        <v>242</v>
      </c>
      <c r="L218" t="s">
        <v>18</v>
      </c>
      <c r="M218">
        <v>1675</v>
      </c>
      <c r="N218" t="s">
        <v>243</v>
      </c>
      <c r="P218" t="s">
        <v>243</v>
      </c>
      <c r="Q218" t="s">
        <v>243</v>
      </c>
    </row>
    <row r="219" spans="1:17" x14ac:dyDescent="0.2">
      <c r="A219">
        <v>10465</v>
      </c>
      <c r="B219" t="s">
        <v>301</v>
      </c>
      <c r="C219">
        <v>1</v>
      </c>
      <c r="D219" s="1">
        <v>35494</v>
      </c>
      <c r="E219" s="1">
        <v>35522</v>
      </c>
      <c r="F219" s="1">
        <v>35503</v>
      </c>
      <c r="G219">
        <v>3</v>
      </c>
      <c r="H219">
        <v>145.04</v>
      </c>
      <c r="I219" t="s">
        <v>302</v>
      </c>
      <c r="J219" t="s">
        <v>303</v>
      </c>
      <c r="K219" t="s">
        <v>304</v>
      </c>
      <c r="L219" t="s">
        <v>18</v>
      </c>
      <c r="M219">
        <v>8200</v>
      </c>
      <c r="N219" t="s">
        <v>262</v>
      </c>
      <c r="P219" t="s">
        <v>262</v>
      </c>
      <c r="Q219" t="s">
        <v>262</v>
      </c>
    </row>
    <row r="220" spans="1:17" x14ac:dyDescent="0.2">
      <c r="A220">
        <v>10466</v>
      </c>
      <c r="B220" t="s">
        <v>174</v>
      </c>
      <c r="C220">
        <v>4</v>
      </c>
      <c r="D220" s="1">
        <v>35495</v>
      </c>
      <c r="E220" s="1">
        <v>35523</v>
      </c>
      <c r="F220" s="1">
        <v>35502</v>
      </c>
      <c r="G220">
        <v>1</v>
      </c>
      <c r="H220">
        <v>11.93</v>
      </c>
      <c r="I220" t="s">
        <v>175</v>
      </c>
      <c r="J220" t="s">
        <v>176</v>
      </c>
      <c r="K220">
        <v>23</v>
      </c>
      <c r="L220" t="s">
        <v>177</v>
      </c>
      <c r="M220" t="s">
        <v>55</v>
      </c>
      <c r="N220" t="s">
        <v>178</v>
      </c>
      <c r="O220" t="s">
        <v>31</v>
      </c>
      <c r="P220" t="s">
        <v>31</v>
      </c>
      <c r="Q220" t="s">
        <v>31</v>
      </c>
    </row>
    <row r="221" spans="1:17" x14ac:dyDescent="0.2">
      <c r="A221">
        <v>10467</v>
      </c>
      <c r="B221" t="s">
        <v>127</v>
      </c>
      <c r="C221">
        <v>8</v>
      </c>
      <c r="D221" s="1">
        <v>35495</v>
      </c>
      <c r="E221" s="1">
        <v>35523</v>
      </c>
      <c r="F221" s="1">
        <v>35500</v>
      </c>
      <c r="G221">
        <v>2</v>
      </c>
      <c r="H221">
        <v>4.93</v>
      </c>
      <c r="I221" t="s">
        <v>128</v>
      </c>
      <c r="J221" t="s">
        <v>129</v>
      </c>
      <c r="K221" t="s">
        <v>130</v>
      </c>
      <c r="L221" t="s">
        <v>18</v>
      </c>
      <c r="M221">
        <v>24100</v>
      </c>
      <c r="N221" t="s">
        <v>131</v>
      </c>
      <c r="P221" t="s">
        <v>131</v>
      </c>
      <c r="Q221" t="s">
        <v>131</v>
      </c>
    </row>
    <row r="222" spans="1:17" x14ac:dyDescent="0.2">
      <c r="A222">
        <v>10468</v>
      </c>
      <c r="B222" t="s">
        <v>227</v>
      </c>
      <c r="C222">
        <v>3</v>
      </c>
      <c r="D222" s="1">
        <v>35496</v>
      </c>
      <c r="E222" s="1">
        <v>35524</v>
      </c>
      <c r="F222" s="1">
        <v>35501</v>
      </c>
      <c r="G222">
        <v>3</v>
      </c>
      <c r="H222">
        <v>44.12</v>
      </c>
      <c r="I222" t="s">
        <v>228</v>
      </c>
      <c r="J222" t="s">
        <v>229</v>
      </c>
      <c r="K222" t="s">
        <v>230</v>
      </c>
      <c r="L222" t="s">
        <v>18</v>
      </c>
      <c r="M222">
        <v>14776</v>
      </c>
      <c r="N222" t="s">
        <v>24</v>
      </c>
      <c r="P222" t="s">
        <v>24</v>
      </c>
      <c r="Q222" t="s">
        <v>24</v>
      </c>
    </row>
    <row r="223" spans="1:17" x14ac:dyDescent="0.2">
      <c r="A223">
        <v>10469</v>
      </c>
      <c r="B223" t="s">
        <v>112</v>
      </c>
      <c r="C223">
        <v>1</v>
      </c>
      <c r="D223" s="1">
        <v>35499</v>
      </c>
      <c r="E223" s="1">
        <v>35527</v>
      </c>
      <c r="F223" s="1">
        <v>35503</v>
      </c>
      <c r="G223">
        <v>1</v>
      </c>
      <c r="H223">
        <v>60.18</v>
      </c>
      <c r="I223" t="s">
        <v>113</v>
      </c>
      <c r="J223" t="s">
        <v>114</v>
      </c>
      <c r="K223" t="s">
        <v>115</v>
      </c>
      <c r="L223" t="s">
        <v>116</v>
      </c>
      <c r="M223">
        <v>98124</v>
      </c>
      <c r="N223" t="s">
        <v>87</v>
      </c>
      <c r="P223" t="s">
        <v>87</v>
      </c>
      <c r="Q223" t="s">
        <v>87</v>
      </c>
    </row>
    <row r="224" spans="1:17" x14ac:dyDescent="0.2">
      <c r="A224">
        <v>10470</v>
      </c>
      <c r="B224" t="s">
        <v>244</v>
      </c>
      <c r="C224">
        <v>4</v>
      </c>
      <c r="D224" s="1">
        <v>35500</v>
      </c>
      <c r="E224" s="1">
        <v>35528</v>
      </c>
      <c r="F224" s="1">
        <v>35503</v>
      </c>
      <c r="G224">
        <v>2</v>
      </c>
      <c r="H224">
        <v>64.56</v>
      </c>
      <c r="I224" t="s">
        <v>245</v>
      </c>
      <c r="J224">
        <v>12</v>
      </c>
      <c r="K224" t="s">
        <v>246</v>
      </c>
      <c r="L224" t="s">
        <v>247</v>
      </c>
      <c r="M224" t="s">
        <v>18</v>
      </c>
      <c r="N224">
        <v>13008</v>
      </c>
      <c r="O224" t="s">
        <v>19</v>
      </c>
      <c r="P224" t="s">
        <v>19</v>
      </c>
      <c r="Q224" t="s">
        <v>19</v>
      </c>
    </row>
    <row r="225" spans="1:17" x14ac:dyDescent="0.2">
      <c r="A225">
        <v>10471</v>
      </c>
      <c r="B225" t="s">
        <v>168</v>
      </c>
      <c r="C225">
        <v>2</v>
      </c>
      <c r="D225" s="1">
        <v>35500</v>
      </c>
      <c r="E225" s="1">
        <v>35528</v>
      </c>
      <c r="F225" s="1">
        <v>35507</v>
      </c>
      <c r="G225">
        <v>3</v>
      </c>
      <c r="H225">
        <v>45.59</v>
      </c>
      <c r="I225" t="s">
        <v>169</v>
      </c>
      <c r="J225" t="s">
        <v>170</v>
      </c>
      <c r="K225" t="s">
        <v>171</v>
      </c>
      <c r="L225" t="s">
        <v>18</v>
      </c>
      <c r="M225" t="s">
        <v>172</v>
      </c>
      <c r="N225" t="s">
        <v>173</v>
      </c>
      <c r="P225" t="s">
        <v>173</v>
      </c>
      <c r="Q225" t="s">
        <v>173</v>
      </c>
    </row>
    <row r="226" spans="1:17" x14ac:dyDescent="0.2">
      <c r="A226">
        <v>10472</v>
      </c>
      <c r="B226" t="s">
        <v>281</v>
      </c>
      <c r="C226">
        <v>8</v>
      </c>
      <c r="D226" s="1">
        <v>35501</v>
      </c>
      <c r="E226" s="1">
        <v>35529</v>
      </c>
      <c r="F226" s="1">
        <v>35508</v>
      </c>
      <c r="G226">
        <v>1</v>
      </c>
      <c r="H226">
        <v>4.2</v>
      </c>
      <c r="I226" t="s">
        <v>282</v>
      </c>
      <c r="J226" t="s">
        <v>283</v>
      </c>
      <c r="K226" t="s">
        <v>171</v>
      </c>
      <c r="L226" t="s">
        <v>18</v>
      </c>
      <c r="M226" t="s">
        <v>284</v>
      </c>
      <c r="N226" t="s">
        <v>173</v>
      </c>
      <c r="P226" t="s">
        <v>173</v>
      </c>
      <c r="Q226" t="s">
        <v>173</v>
      </c>
    </row>
    <row r="227" spans="1:17" x14ac:dyDescent="0.2">
      <c r="A227">
        <v>10473</v>
      </c>
      <c r="B227" t="s">
        <v>218</v>
      </c>
      <c r="C227">
        <v>1</v>
      </c>
      <c r="D227" s="1">
        <v>35502</v>
      </c>
      <c r="E227" s="1">
        <v>35516</v>
      </c>
      <c r="F227" s="1">
        <v>35510</v>
      </c>
      <c r="G227">
        <v>3</v>
      </c>
      <c r="H227">
        <v>16.37</v>
      </c>
      <c r="I227" t="s">
        <v>219</v>
      </c>
      <c r="J227" t="s">
        <v>220</v>
      </c>
      <c r="K227" t="s">
        <v>221</v>
      </c>
      <c r="L227" t="s">
        <v>222</v>
      </c>
      <c r="M227" t="s">
        <v>223</v>
      </c>
      <c r="N227" t="s">
        <v>173</v>
      </c>
      <c r="P227" t="s">
        <v>173</v>
      </c>
      <c r="Q227" t="s">
        <v>173</v>
      </c>
    </row>
    <row r="228" spans="1:17" x14ac:dyDescent="0.2">
      <c r="A228">
        <v>10474</v>
      </c>
      <c r="B228" t="s">
        <v>224</v>
      </c>
      <c r="C228">
        <v>5</v>
      </c>
      <c r="D228" s="1">
        <v>35502</v>
      </c>
      <c r="E228" s="1">
        <v>35530</v>
      </c>
      <c r="F228" s="1">
        <v>35510</v>
      </c>
      <c r="G228">
        <v>2</v>
      </c>
      <c r="H228">
        <v>83.49</v>
      </c>
      <c r="I228" t="s">
        <v>225</v>
      </c>
      <c r="J228" t="s">
        <v>226</v>
      </c>
      <c r="K228" t="s">
        <v>71</v>
      </c>
      <c r="L228" t="s">
        <v>18</v>
      </c>
      <c r="M228" s="2" t="s">
        <v>135</v>
      </c>
      <c r="N228" t="s">
        <v>73</v>
      </c>
      <c r="P228" t="s">
        <v>73</v>
      </c>
      <c r="Q228" t="s">
        <v>73</v>
      </c>
    </row>
    <row r="229" spans="1:17" x14ac:dyDescent="0.2">
      <c r="A229">
        <v>10475</v>
      </c>
      <c r="B229" t="s">
        <v>36</v>
      </c>
      <c r="C229">
        <v>9</v>
      </c>
      <c r="D229" s="1">
        <v>35503</v>
      </c>
      <c r="E229" s="1">
        <v>35531</v>
      </c>
      <c r="F229" s="1">
        <v>35524</v>
      </c>
      <c r="G229">
        <v>1</v>
      </c>
      <c r="H229">
        <v>68.52</v>
      </c>
      <c r="I229" t="s">
        <v>37</v>
      </c>
      <c r="J229" t="s">
        <v>38</v>
      </c>
      <c r="K229">
        <v>255</v>
      </c>
      <c r="L229" t="s">
        <v>39</v>
      </c>
      <c r="M229" t="s">
        <v>18</v>
      </c>
      <c r="N229" t="s">
        <v>40</v>
      </c>
      <c r="O229" t="s">
        <v>41</v>
      </c>
      <c r="P229" t="s">
        <v>41</v>
      </c>
      <c r="Q229" t="s">
        <v>41</v>
      </c>
    </row>
    <row r="230" spans="1:17" x14ac:dyDescent="0.2">
      <c r="A230">
        <v>10476</v>
      </c>
      <c r="B230" t="s">
        <v>57</v>
      </c>
      <c r="C230">
        <v>8</v>
      </c>
      <c r="D230" s="1">
        <v>35506</v>
      </c>
      <c r="E230" s="1">
        <v>35534</v>
      </c>
      <c r="F230" s="1">
        <v>35513</v>
      </c>
      <c r="G230">
        <v>3</v>
      </c>
      <c r="H230">
        <v>4.41</v>
      </c>
      <c r="I230" t="s">
        <v>58</v>
      </c>
      <c r="J230" t="s">
        <v>59</v>
      </c>
      <c r="K230" t="s">
        <v>60</v>
      </c>
      <c r="L230" t="s">
        <v>61</v>
      </c>
      <c r="M230">
        <v>5022</v>
      </c>
      <c r="N230" t="s">
        <v>62</v>
      </c>
      <c r="P230" t="s">
        <v>62</v>
      </c>
      <c r="Q230" t="s">
        <v>62</v>
      </c>
    </row>
    <row r="231" spans="1:17" x14ac:dyDescent="0.2">
      <c r="A231">
        <v>10477</v>
      </c>
      <c r="B231" t="s">
        <v>255</v>
      </c>
      <c r="C231">
        <v>5</v>
      </c>
      <c r="D231" s="1">
        <v>35506</v>
      </c>
      <c r="E231" s="1">
        <v>35534</v>
      </c>
      <c r="F231" s="1">
        <v>35514</v>
      </c>
      <c r="G231">
        <v>2</v>
      </c>
      <c r="H231">
        <v>13.02</v>
      </c>
      <c r="I231" t="s">
        <v>256</v>
      </c>
      <c r="J231" t="s">
        <v>257</v>
      </c>
      <c r="K231" t="s">
        <v>242</v>
      </c>
      <c r="L231" t="s">
        <v>18</v>
      </c>
      <c r="M231">
        <v>1756</v>
      </c>
      <c r="N231" t="s">
        <v>243</v>
      </c>
      <c r="P231" t="s">
        <v>243</v>
      </c>
      <c r="Q231" t="s">
        <v>243</v>
      </c>
    </row>
    <row r="232" spans="1:17" x14ac:dyDescent="0.2">
      <c r="A232">
        <v>10478</v>
      </c>
      <c r="B232" t="s">
        <v>32</v>
      </c>
      <c r="C232">
        <v>2</v>
      </c>
      <c r="D232" s="1">
        <v>35507</v>
      </c>
      <c r="E232" s="1">
        <v>35521</v>
      </c>
      <c r="F232" s="1">
        <v>35515</v>
      </c>
      <c r="G232">
        <v>3</v>
      </c>
      <c r="H232">
        <v>4.8099999999999996</v>
      </c>
      <c r="I232" t="s">
        <v>33</v>
      </c>
      <c r="J232">
        <v>2</v>
      </c>
      <c r="K232" t="s">
        <v>34</v>
      </c>
      <c r="L232" t="s">
        <v>35</v>
      </c>
      <c r="M232" t="s">
        <v>18</v>
      </c>
      <c r="N232">
        <v>69004</v>
      </c>
      <c r="O232" t="s">
        <v>19</v>
      </c>
      <c r="P232" t="s">
        <v>19</v>
      </c>
      <c r="Q232" t="s">
        <v>19</v>
      </c>
    </row>
    <row r="233" spans="1:17" x14ac:dyDescent="0.2">
      <c r="A233">
        <v>10479</v>
      </c>
      <c r="B233" t="s">
        <v>82</v>
      </c>
      <c r="C233">
        <v>3</v>
      </c>
      <c r="D233" s="1">
        <v>35508</v>
      </c>
      <c r="E233" s="1">
        <v>35536</v>
      </c>
      <c r="F233" s="1">
        <v>35510</v>
      </c>
      <c r="G233">
        <v>3</v>
      </c>
      <c r="H233">
        <v>708.95</v>
      </c>
      <c r="I233" t="s">
        <v>83</v>
      </c>
      <c r="J233" t="s">
        <v>84</v>
      </c>
      <c r="K233" t="s">
        <v>85</v>
      </c>
      <c r="L233" t="s">
        <v>86</v>
      </c>
      <c r="M233">
        <v>87110</v>
      </c>
      <c r="N233" t="s">
        <v>87</v>
      </c>
      <c r="P233" t="s">
        <v>87</v>
      </c>
      <c r="Q233" t="s">
        <v>87</v>
      </c>
    </row>
    <row r="234" spans="1:17" x14ac:dyDescent="0.2">
      <c r="A234">
        <v>10480</v>
      </c>
      <c r="B234" t="s">
        <v>335</v>
      </c>
      <c r="C234">
        <v>6</v>
      </c>
      <c r="D234" s="1">
        <v>35509</v>
      </c>
      <c r="E234" s="1">
        <v>35537</v>
      </c>
      <c r="F234" s="1">
        <v>35513</v>
      </c>
      <c r="G234">
        <v>2</v>
      </c>
      <c r="H234">
        <v>1.35</v>
      </c>
      <c r="I234" t="s">
        <v>336</v>
      </c>
      <c r="J234">
        <v>184</v>
      </c>
      <c r="K234" t="s">
        <v>337</v>
      </c>
      <c r="L234" t="s">
        <v>338</v>
      </c>
      <c r="M234" t="s">
        <v>18</v>
      </c>
      <c r="N234">
        <v>59000</v>
      </c>
      <c r="O234" t="s">
        <v>19</v>
      </c>
      <c r="P234" t="s">
        <v>19</v>
      </c>
      <c r="Q234" t="s">
        <v>19</v>
      </c>
    </row>
    <row r="235" spans="1:17" x14ac:dyDescent="0.2">
      <c r="A235">
        <v>10481</v>
      </c>
      <c r="B235" t="s">
        <v>160</v>
      </c>
      <c r="C235">
        <v>8</v>
      </c>
      <c r="D235" s="1">
        <v>35509</v>
      </c>
      <c r="E235" s="1">
        <v>35537</v>
      </c>
      <c r="F235" s="1">
        <v>35514</v>
      </c>
      <c r="G235">
        <v>2</v>
      </c>
      <c r="H235">
        <v>64.33</v>
      </c>
      <c r="I235" t="s">
        <v>161</v>
      </c>
      <c r="J235" t="s">
        <v>162</v>
      </c>
      <c r="K235">
        <v>267</v>
      </c>
      <c r="L235" t="s">
        <v>28</v>
      </c>
      <c r="M235" t="s">
        <v>29</v>
      </c>
      <c r="N235" t="s">
        <v>163</v>
      </c>
      <c r="O235" t="s">
        <v>31</v>
      </c>
      <c r="P235" t="s">
        <v>31</v>
      </c>
      <c r="Q235" t="s">
        <v>31</v>
      </c>
    </row>
    <row r="236" spans="1:17" x14ac:dyDescent="0.2">
      <c r="A236">
        <v>10482</v>
      </c>
      <c r="B236" t="s">
        <v>360</v>
      </c>
      <c r="C236">
        <v>1</v>
      </c>
      <c r="D236" s="1">
        <v>35510</v>
      </c>
      <c r="E236" s="1">
        <v>35538</v>
      </c>
      <c r="F236" s="1">
        <v>35530</v>
      </c>
      <c r="G236">
        <v>3</v>
      </c>
      <c r="H236">
        <v>7.48</v>
      </c>
      <c r="I236" t="s">
        <v>361</v>
      </c>
      <c r="J236" t="s">
        <v>362</v>
      </c>
      <c r="K236" t="s">
        <v>363</v>
      </c>
      <c r="L236" t="s">
        <v>116</v>
      </c>
      <c r="M236">
        <v>99362</v>
      </c>
      <c r="N236" t="s">
        <v>87</v>
      </c>
      <c r="P236" t="s">
        <v>87</v>
      </c>
      <c r="Q236" t="s">
        <v>87</v>
      </c>
    </row>
    <row r="237" spans="1:17" x14ac:dyDescent="0.2">
      <c r="A237">
        <v>10483</v>
      </c>
      <c r="B237" t="s">
        <v>112</v>
      </c>
      <c r="C237">
        <v>7</v>
      </c>
      <c r="D237" s="1">
        <v>35513</v>
      </c>
      <c r="E237" s="1">
        <v>35541</v>
      </c>
      <c r="F237" s="1">
        <v>35545</v>
      </c>
      <c r="G237">
        <v>2</v>
      </c>
      <c r="H237">
        <v>15.28</v>
      </c>
      <c r="I237" t="s">
        <v>113</v>
      </c>
      <c r="J237" t="s">
        <v>114</v>
      </c>
      <c r="K237" t="s">
        <v>115</v>
      </c>
      <c r="L237" t="s">
        <v>116</v>
      </c>
      <c r="M237">
        <v>98124</v>
      </c>
      <c r="N237" t="s">
        <v>87</v>
      </c>
      <c r="P237" t="s">
        <v>87</v>
      </c>
      <c r="Q237" t="s">
        <v>87</v>
      </c>
    </row>
    <row r="238" spans="1:17" x14ac:dyDescent="0.2">
      <c r="A238">
        <v>10484</v>
      </c>
      <c r="B238" t="s">
        <v>168</v>
      </c>
      <c r="C238">
        <v>3</v>
      </c>
      <c r="D238" s="1">
        <v>35513</v>
      </c>
      <c r="E238" s="1">
        <v>35541</v>
      </c>
      <c r="F238" s="1">
        <v>35521</v>
      </c>
      <c r="G238">
        <v>3</v>
      </c>
      <c r="H238">
        <v>6.88</v>
      </c>
      <c r="I238" t="s">
        <v>169</v>
      </c>
      <c r="J238" t="s">
        <v>170</v>
      </c>
      <c r="K238" t="s">
        <v>171</v>
      </c>
      <c r="L238" t="s">
        <v>18</v>
      </c>
      <c r="M238" t="s">
        <v>172</v>
      </c>
      <c r="N238" t="s">
        <v>173</v>
      </c>
      <c r="P238" t="s">
        <v>173</v>
      </c>
      <c r="Q238" t="s">
        <v>173</v>
      </c>
    </row>
    <row r="239" spans="1:17" x14ac:dyDescent="0.2">
      <c r="A239">
        <v>10485</v>
      </c>
      <c r="B239" t="s">
        <v>330</v>
      </c>
      <c r="C239">
        <v>4</v>
      </c>
      <c r="D239" s="1">
        <v>35514</v>
      </c>
      <c r="E239" s="1">
        <v>35528</v>
      </c>
      <c r="F239" s="1">
        <v>35520</v>
      </c>
      <c r="G239">
        <v>2</v>
      </c>
      <c r="H239">
        <v>64.45</v>
      </c>
      <c r="I239" t="s">
        <v>331</v>
      </c>
      <c r="J239" t="s">
        <v>332</v>
      </c>
      <c r="K239" t="s">
        <v>333</v>
      </c>
      <c r="L239" t="s">
        <v>334</v>
      </c>
      <c r="M239">
        <v>4980</v>
      </c>
      <c r="N239" t="s">
        <v>62</v>
      </c>
      <c r="P239" t="s">
        <v>62</v>
      </c>
      <c r="Q239" t="s">
        <v>62</v>
      </c>
    </row>
    <row r="240" spans="1:17" x14ac:dyDescent="0.2">
      <c r="A240">
        <v>10486</v>
      </c>
      <c r="B240" t="s">
        <v>57</v>
      </c>
      <c r="C240">
        <v>1</v>
      </c>
      <c r="D240" s="1">
        <v>35515</v>
      </c>
      <c r="E240" s="1">
        <v>35543</v>
      </c>
      <c r="F240" s="1">
        <v>35522</v>
      </c>
      <c r="G240">
        <v>2</v>
      </c>
      <c r="H240">
        <v>30.53</v>
      </c>
      <c r="I240" t="s">
        <v>58</v>
      </c>
      <c r="J240" t="s">
        <v>59</v>
      </c>
      <c r="K240" t="s">
        <v>60</v>
      </c>
      <c r="L240" t="s">
        <v>61</v>
      </c>
      <c r="M240">
        <v>5022</v>
      </c>
      <c r="N240" t="s">
        <v>62</v>
      </c>
      <c r="P240" t="s">
        <v>62</v>
      </c>
      <c r="Q240" t="s">
        <v>62</v>
      </c>
    </row>
    <row r="241" spans="1:17" x14ac:dyDescent="0.2">
      <c r="A241">
        <v>10487</v>
      </c>
      <c r="B241" t="s">
        <v>305</v>
      </c>
      <c r="C241">
        <v>2</v>
      </c>
      <c r="D241" s="1">
        <v>35515</v>
      </c>
      <c r="E241" s="1">
        <v>35543</v>
      </c>
      <c r="F241" s="1">
        <v>35517</v>
      </c>
      <c r="G241">
        <v>2</v>
      </c>
      <c r="H241">
        <v>71.069999999999993</v>
      </c>
      <c r="I241" t="s">
        <v>306</v>
      </c>
      <c r="J241" t="s">
        <v>307</v>
      </c>
      <c r="K241">
        <v>891</v>
      </c>
      <c r="L241" t="s">
        <v>177</v>
      </c>
      <c r="M241" t="s">
        <v>55</v>
      </c>
      <c r="N241" t="s">
        <v>308</v>
      </c>
      <c r="O241" t="s">
        <v>31</v>
      </c>
      <c r="P241" t="s">
        <v>31</v>
      </c>
      <c r="Q241" t="s">
        <v>31</v>
      </c>
    </row>
    <row r="242" spans="1:17" x14ac:dyDescent="0.2">
      <c r="A242">
        <v>10488</v>
      </c>
      <c r="B242" t="s">
        <v>103</v>
      </c>
      <c r="C242">
        <v>8</v>
      </c>
      <c r="D242" s="1">
        <v>35516</v>
      </c>
      <c r="E242" s="1">
        <v>35544</v>
      </c>
      <c r="F242" s="1">
        <v>35522</v>
      </c>
      <c r="G242">
        <v>2</v>
      </c>
      <c r="H242">
        <v>4.93</v>
      </c>
      <c r="I242" t="s">
        <v>104</v>
      </c>
      <c r="J242" t="s">
        <v>105</v>
      </c>
      <c r="K242" t="s">
        <v>106</v>
      </c>
      <c r="L242" t="s">
        <v>18</v>
      </c>
      <c r="M242">
        <v>80805</v>
      </c>
      <c r="N242" t="s">
        <v>24</v>
      </c>
      <c r="P242" t="s">
        <v>24</v>
      </c>
      <c r="Q242" t="s">
        <v>24</v>
      </c>
    </row>
    <row r="243" spans="1:17" x14ac:dyDescent="0.2">
      <c r="A243">
        <v>10489</v>
      </c>
      <c r="B243" t="s">
        <v>271</v>
      </c>
      <c r="C243">
        <v>6</v>
      </c>
      <c r="D243" s="1">
        <v>35517</v>
      </c>
      <c r="E243" s="1">
        <v>35545</v>
      </c>
      <c r="F243" s="1">
        <v>35529</v>
      </c>
      <c r="G243">
        <v>2</v>
      </c>
      <c r="H243">
        <v>5.29</v>
      </c>
      <c r="I243" t="s">
        <v>272</v>
      </c>
      <c r="J243" t="s">
        <v>273</v>
      </c>
      <c r="K243" t="s">
        <v>274</v>
      </c>
      <c r="L243" t="s">
        <v>18</v>
      </c>
      <c r="M243">
        <v>5020</v>
      </c>
      <c r="N243" t="s">
        <v>67</v>
      </c>
      <c r="P243" t="s">
        <v>67</v>
      </c>
      <c r="Q243" t="s">
        <v>67</v>
      </c>
    </row>
    <row r="244" spans="1:17" x14ac:dyDescent="0.2">
      <c r="A244">
        <v>10490</v>
      </c>
      <c r="B244" t="s">
        <v>57</v>
      </c>
      <c r="C244">
        <v>7</v>
      </c>
      <c r="D244" s="1">
        <v>35520</v>
      </c>
      <c r="E244" s="1">
        <v>35548</v>
      </c>
      <c r="F244" s="1">
        <v>35523</v>
      </c>
      <c r="G244">
        <v>2</v>
      </c>
      <c r="H244">
        <v>210.19</v>
      </c>
      <c r="I244" t="s">
        <v>58</v>
      </c>
      <c r="J244" t="s">
        <v>59</v>
      </c>
      <c r="K244" t="s">
        <v>60</v>
      </c>
      <c r="L244" t="s">
        <v>61</v>
      </c>
      <c r="M244">
        <v>5022</v>
      </c>
      <c r="N244" t="s">
        <v>62</v>
      </c>
      <c r="P244" t="s">
        <v>62</v>
      </c>
      <c r="Q244" t="s">
        <v>62</v>
      </c>
    </row>
    <row r="245" spans="1:17" x14ac:dyDescent="0.2">
      <c r="A245">
        <v>10491</v>
      </c>
      <c r="B245" t="s">
        <v>239</v>
      </c>
      <c r="C245">
        <v>8</v>
      </c>
      <c r="D245" s="1">
        <v>35520</v>
      </c>
      <c r="E245" s="1">
        <v>35548</v>
      </c>
      <c r="F245" s="1">
        <v>35528</v>
      </c>
      <c r="G245">
        <v>3</v>
      </c>
      <c r="H245">
        <v>16.96</v>
      </c>
      <c r="I245" t="s">
        <v>240</v>
      </c>
      <c r="J245" t="s">
        <v>241</v>
      </c>
      <c r="K245" t="s">
        <v>242</v>
      </c>
      <c r="L245" t="s">
        <v>18</v>
      </c>
      <c r="M245">
        <v>1675</v>
      </c>
      <c r="N245" t="s">
        <v>243</v>
      </c>
      <c r="P245" t="s">
        <v>243</v>
      </c>
      <c r="Q245" t="s">
        <v>243</v>
      </c>
    </row>
    <row r="246" spans="1:17" x14ac:dyDescent="0.2">
      <c r="A246">
        <v>10492</v>
      </c>
      <c r="B246" t="s">
        <v>324</v>
      </c>
      <c r="C246">
        <v>3</v>
      </c>
      <c r="D246" s="1">
        <v>35521</v>
      </c>
      <c r="E246" s="1">
        <v>35549</v>
      </c>
      <c r="F246" s="1">
        <v>35531</v>
      </c>
      <c r="G246">
        <v>1</v>
      </c>
      <c r="H246">
        <v>62.89</v>
      </c>
      <c r="I246" t="s">
        <v>325</v>
      </c>
      <c r="J246" t="s">
        <v>326</v>
      </c>
      <c r="K246" t="s">
        <v>327</v>
      </c>
      <c r="L246" t="s">
        <v>328</v>
      </c>
      <c r="M246" t="s">
        <v>329</v>
      </c>
      <c r="N246" t="s">
        <v>254</v>
      </c>
      <c r="P246" t="s">
        <v>254</v>
      </c>
      <c r="Q246" t="s">
        <v>254</v>
      </c>
    </row>
    <row r="247" spans="1:17" x14ac:dyDescent="0.2">
      <c r="A247">
        <v>10493</v>
      </c>
      <c r="B247" t="s">
        <v>267</v>
      </c>
      <c r="C247">
        <v>4</v>
      </c>
      <c r="D247" s="1">
        <v>35522</v>
      </c>
      <c r="E247" s="1">
        <v>35550</v>
      </c>
      <c r="F247" s="1">
        <v>35530</v>
      </c>
      <c r="G247">
        <v>3</v>
      </c>
      <c r="H247">
        <v>10.64</v>
      </c>
      <c r="I247" t="s">
        <v>268</v>
      </c>
      <c r="J247" t="s">
        <v>269</v>
      </c>
      <c r="K247" t="s">
        <v>270</v>
      </c>
      <c r="L247" t="s">
        <v>18</v>
      </c>
      <c r="M247">
        <v>31000</v>
      </c>
      <c r="N247" t="s">
        <v>19</v>
      </c>
      <c r="P247" t="s">
        <v>19</v>
      </c>
      <c r="Q247" t="s">
        <v>19</v>
      </c>
    </row>
    <row r="248" spans="1:17" x14ac:dyDescent="0.2">
      <c r="A248">
        <v>10494</v>
      </c>
      <c r="B248" t="s">
        <v>174</v>
      </c>
      <c r="C248">
        <v>4</v>
      </c>
      <c r="D248" s="1">
        <v>35522</v>
      </c>
      <c r="E248" s="1">
        <v>35550</v>
      </c>
      <c r="F248" s="1">
        <v>35529</v>
      </c>
      <c r="G248">
        <v>2</v>
      </c>
      <c r="H248">
        <v>65.989999999999995</v>
      </c>
      <c r="I248" t="s">
        <v>175</v>
      </c>
      <c r="J248" t="s">
        <v>176</v>
      </c>
      <c r="K248">
        <v>23</v>
      </c>
      <c r="L248" t="s">
        <v>177</v>
      </c>
      <c r="M248" t="s">
        <v>55</v>
      </c>
      <c r="N248" t="s">
        <v>178</v>
      </c>
      <c r="O248" t="s">
        <v>31</v>
      </c>
      <c r="P248" t="s">
        <v>31</v>
      </c>
      <c r="Q248" t="s">
        <v>31</v>
      </c>
    </row>
    <row r="249" spans="1:17" x14ac:dyDescent="0.2">
      <c r="A249">
        <v>10495</v>
      </c>
      <c r="B249" t="s">
        <v>364</v>
      </c>
      <c r="C249">
        <v>3</v>
      </c>
      <c r="D249" s="1">
        <v>35523</v>
      </c>
      <c r="E249" s="1">
        <v>35551</v>
      </c>
      <c r="F249" s="1">
        <v>35531</v>
      </c>
      <c r="G249">
        <v>3</v>
      </c>
      <c r="H249">
        <v>4.6500000000000004</v>
      </c>
      <c r="I249" t="s">
        <v>365</v>
      </c>
      <c r="J249" t="s">
        <v>366</v>
      </c>
      <c r="K249" t="s">
        <v>367</v>
      </c>
      <c r="L249" t="s">
        <v>328</v>
      </c>
      <c r="M249" t="s">
        <v>368</v>
      </c>
      <c r="N249" t="s">
        <v>254</v>
      </c>
      <c r="P249" t="s">
        <v>254</v>
      </c>
      <c r="Q249" t="s">
        <v>254</v>
      </c>
    </row>
    <row r="250" spans="1:17" x14ac:dyDescent="0.2">
      <c r="A250">
        <v>10496</v>
      </c>
      <c r="B250" t="s">
        <v>179</v>
      </c>
      <c r="C250">
        <v>7</v>
      </c>
      <c r="D250" s="1">
        <v>35524</v>
      </c>
      <c r="E250" s="1">
        <v>35552</v>
      </c>
      <c r="F250" s="1">
        <v>35527</v>
      </c>
      <c r="G250">
        <v>2</v>
      </c>
      <c r="H250">
        <v>46.77</v>
      </c>
      <c r="I250" t="s">
        <v>180</v>
      </c>
      <c r="J250" t="s">
        <v>181</v>
      </c>
      <c r="K250">
        <v>414</v>
      </c>
      <c r="L250" t="s">
        <v>177</v>
      </c>
      <c r="M250" t="s">
        <v>55</v>
      </c>
      <c r="N250" t="s">
        <v>182</v>
      </c>
      <c r="O250" t="s">
        <v>31</v>
      </c>
      <c r="P250" t="s">
        <v>31</v>
      </c>
      <c r="Q250" t="s">
        <v>31</v>
      </c>
    </row>
    <row r="251" spans="1:17" x14ac:dyDescent="0.2">
      <c r="A251">
        <v>10497</v>
      </c>
      <c r="B251" t="s">
        <v>146</v>
      </c>
      <c r="C251">
        <v>7</v>
      </c>
      <c r="D251" s="1">
        <v>35524</v>
      </c>
      <c r="E251" s="1">
        <v>35552</v>
      </c>
      <c r="F251" s="1">
        <v>35527</v>
      </c>
      <c r="G251">
        <v>1</v>
      </c>
      <c r="H251">
        <v>36.21</v>
      </c>
      <c r="I251" t="s">
        <v>147</v>
      </c>
      <c r="J251" t="s">
        <v>148</v>
      </c>
      <c r="K251" t="s">
        <v>149</v>
      </c>
      <c r="L251" t="s">
        <v>18</v>
      </c>
      <c r="M251">
        <v>60528</v>
      </c>
      <c r="N251" t="s">
        <v>24</v>
      </c>
      <c r="P251" t="s">
        <v>24</v>
      </c>
      <c r="Q251" t="s">
        <v>24</v>
      </c>
    </row>
    <row r="252" spans="1:17" x14ac:dyDescent="0.2">
      <c r="A252">
        <v>10498</v>
      </c>
      <c r="B252" t="s">
        <v>57</v>
      </c>
      <c r="C252">
        <v>8</v>
      </c>
      <c r="D252" s="1">
        <v>35527</v>
      </c>
      <c r="E252" s="1">
        <v>35555</v>
      </c>
      <c r="F252" s="1">
        <v>35531</v>
      </c>
      <c r="G252">
        <v>2</v>
      </c>
      <c r="H252">
        <v>29.75</v>
      </c>
      <c r="I252" t="s">
        <v>58</v>
      </c>
      <c r="J252" t="s">
        <v>59</v>
      </c>
      <c r="K252" t="s">
        <v>60</v>
      </c>
      <c r="L252" t="s">
        <v>61</v>
      </c>
      <c r="M252">
        <v>5022</v>
      </c>
      <c r="N252" t="s">
        <v>62</v>
      </c>
      <c r="P252" t="s">
        <v>62</v>
      </c>
      <c r="Q252" t="s">
        <v>62</v>
      </c>
    </row>
    <row r="253" spans="1:17" x14ac:dyDescent="0.2">
      <c r="A253">
        <v>10499</v>
      </c>
      <c r="B253" t="s">
        <v>155</v>
      </c>
      <c r="C253">
        <v>4</v>
      </c>
      <c r="D253" s="1">
        <v>35528</v>
      </c>
      <c r="E253" s="1">
        <v>35556</v>
      </c>
      <c r="F253" s="1">
        <v>35536</v>
      </c>
      <c r="G253">
        <v>2</v>
      </c>
      <c r="H253">
        <v>102.02</v>
      </c>
      <c r="I253" t="s">
        <v>156</v>
      </c>
      <c r="J253" t="s">
        <v>157</v>
      </c>
      <c r="K253" t="s">
        <v>158</v>
      </c>
      <c r="L253" t="s">
        <v>159</v>
      </c>
      <c r="M253">
        <v>3508</v>
      </c>
      <c r="N253" t="s">
        <v>62</v>
      </c>
      <c r="P253" t="s">
        <v>62</v>
      </c>
      <c r="Q253" t="s">
        <v>62</v>
      </c>
    </row>
    <row r="254" spans="1:17" x14ac:dyDescent="0.2">
      <c r="A254">
        <v>10500</v>
      </c>
      <c r="B254" t="s">
        <v>267</v>
      </c>
      <c r="C254">
        <v>6</v>
      </c>
      <c r="D254" s="1">
        <v>35529</v>
      </c>
      <c r="E254" s="1">
        <v>35557</v>
      </c>
      <c r="F254" s="1">
        <v>35537</v>
      </c>
      <c r="G254">
        <v>1</v>
      </c>
      <c r="H254">
        <v>42.68</v>
      </c>
      <c r="I254" t="s">
        <v>268</v>
      </c>
      <c r="J254" t="s">
        <v>269</v>
      </c>
      <c r="K254" t="s">
        <v>270</v>
      </c>
      <c r="L254" t="s">
        <v>18</v>
      </c>
      <c r="M254">
        <v>31000</v>
      </c>
      <c r="N254" t="s">
        <v>19</v>
      </c>
      <c r="P254" t="s">
        <v>19</v>
      </c>
      <c r="Q254" t="s">
        <v>19</v>
      </c>
    </row>
    <row r="255" spans="1:17" x14ac:dyDescent="0.2">
      <c r="A255">
        <v>10501</v>
      </c>
      <c r="B255" t="s">
        <v>369</v>
      </c>
      <c r="C255">
        <v>9</v>
      </c>
      <c r="D255" s="1">
        <v>35529</v>
      </c>
      <c r="E255" s="1">
        <v>35557</v>
      </c>
      <c r="F255" s="1">
        <v>35536</v>
      </c>
      <c r="G255">
        <v>3</v>
      </c>
      <c r="H255">
        <v>8.85</v>
      </c>
      <c r="I255" t="s">
        <v>370</v>
      </c>
      <c r="J255" t="s">
        <v>371</v>
      </c>
      <c r="K255" t="s">
        <v>372</v>
      </c>
      <c r="L255" t="s">
        <v>18</v>
      </c>
      <c r="M255">
        <v>68306</v>
      </c>
      <c r="N255" t="s">
        <v>24</v>
      </c>
      <c r="P255" t="s">
        <v>24</v>
      </c>
      <c r="Q255" t="s">
        <v>24</v>
      </c>
    </row>
    <row r="256" spans="1:17" x14ac:dyDescent="0.2">
      <c r="A256">
        <v>10502</v>
      </c>
      <c r="B256" t="s">
        <v>224</v>
      </c>
      <c r="C256">
        <v>2</v>
      </c>
      <c r="D256" s="1">
        <v>35530</v>
      </c>
      <c r="E256" s="1">
        <v>35558</v>
      </c>
      <c r="F256" s="1">
        <v>35549</v>
      </c>
      <c r="G256">
        <v>1</v>
      </c>
      <c r="H256">
        <v>69.319999999999993</v>
      </c>
      <c r="I256" t="s">
        <v>225</v>
      </c>
      <c r="J256" t="s">
        <v>226</v>
      </c>
      <c r="K256" t="s">
        <v>71</v>
      </c>
      <c r="L256" t="s">
        <v>18</v>
      </c>
      <c r="M256" s="2" t="s">
        <v>135</v>
      </c>
      <c r="N256" t="s">
        <v>73</v>
      </c>
      <c r="P256" t="s">
        <v>73</v>
      </c>
      <c r="Q256" t="s">
        <v>73</v>
      </c>
    </row>
    <row r="257" spans="1:17" x14ac:dyDescent="0.2">
      <c r="A257">
        <v>10503</v>
      </c>
      <c r="B257" t="s">
        <v>183</v>
      </c>
      <c r="C257">
        <v>6</v>
      </c>
      <c r="D257" s="1">
        <v>35531</v>
      </c>
      <c r="E257" s="1">
        <v>35559</v>
      </c>
      <c r="F257" s="1">
        <v>35536</v>
      </c>
      <c r="G257">
        <v>2</v>
      </c>
      <c r="H257">
        <v>16.739999999999998</v>
      </c>
      <c r="I257" t="s">
        <v>184</v>
      </c>
      <c r="J257" t="s">
        <v>185</v>
      </c>
      <c r="K257" t="s">
        <v>186</v>
      </c>
      <c r="L257" t="s">
        <v>187</v>
      </c>
      <c r="M257" t="s">
        <v>18</v>
      </c>
      <c r="N257" t="s">
        <v>188</v>
      </c>
      <c r="P257" t="s">
        <v>188</v>
      </c>
      <c r="Q257" t="s">
        <v>188</v>
      </c>
    </row>
    <row r="258" spans="1:17" x14ac:dyDescent="0.2">
      <c r="A258">
        <v>10504</v>
      </c>
      <c r="B258" t="s">
        <v>112</v>
      </c>
      <c r="C258">
        <v>4</v>
      </c>
      <c r="D258" s="1">
        <v>35531</v>
      </c>
      <c r="E258" s="1">
        <v>35559</v>
      </c>
      <c r="F258" s="1">
        <v>35538</v>
      </c>
      <c r="G258">
        <v>3</v>
      </c>
      <c r="H258">
        <v>59.13</v>
      </c>
      <c r="I258" t="s">
        <v>113</v>
      </c>
      <c r="J258" t="s">
        <v>114</v>
      </c>
      <c r="K258" t="s">
        <v>115</v>
      </c>
      <c r="L258" t="s">
        <v>116</v>
      </c>
      <c r="M258">
        <v>98124</v>
      </c>
      <c r="N258" t="s">
        <v>87</v>
      </c>
      <c r="P258" t="s">
        <v>87</v>
      </c>
      <c r="Q258" t="s">
        <v>87</v>
      </c>
    </row>
    <row r="259" spans="1:17" x14ac:dyDescent="0.2">
      <c r="A259">
        <v>10505</v>
      </c>
      <c r="B259" t="s">
        <v>248</v>
      </c>
      <c r="C259">
        <v>3</v>
      </c>
      <c r="D259" s="1">
        <v>35534</v>
      </c>
      <c r="E259" s="1">
        <v>35562</v>
      </c>
      <c r="F259" s="1">
        <v>35541</v>
      </c>
      <c r="G259">
        <v>3</v>
      </c>
      <c r="H259">
        <v>7.13</v>
      </c>
      <c r="I259" t="s">
        <v>249</v>
      </c>
      <c r="J259" t="s">
        <v>250</v>
      </c>
      <c r="K259" t="s">
        <v>251</v>
      </c>
      <c r="L259" t="s">
        <v>252</v>
      </c>
      <c r="M259" t="s">
        <v>253</v>
      </c>
      <c r="N259" t="s">
        <v>254</v>
      </c>
      <c r="P259" t="s">
        <v>254</v>
      </c>
      <c r="Q259" t="s">
        <v>254</v>
      </c>
    </row>
    <row r="260" spans="1:17" x14ac:dyDescent="0.2">
      <c r="A260">
        <v>10506</v>
      </c>
      <c r="B260" t="s">
        <v>227</v>
      </c>
      <c r="C260">
        <v>9</v>
      </c>
      <c r="D260" s="1">
        <v>35535</v>
      </c>
      <c r="E260" s="1">
        <v>35563</v>
      </c>
      <c r="F260" s="1">
        <v>35552</v>
      </c>
      <c r="G260">
        <v>2</v>
      </c>
      <c r="H260">
        <v>21.19</v>
      </c>
      <c r="I260" t="s">
        <v>228</v>
      </c>
      <c r="J260" t="s">
        <v>229</v>
      </c>
      <c r="K260" t="s">
        <v>230</v>
      </c>
      <c r="L260" t="s">
        <v>18</v>
      </c>
      <c r="M260">
        <v>14776</v>
      </c>
      <c r="N260" t="s">
        <v>24</v>
      </c>
      <c r="P260" t="s">
        <v>24</v>
      </c>
      <c r="Q260" t="s">
        <v>24</v>
      </c>
    </row>
    <row r="261" spans="1:17" x14ac:dyDescent="0.2">
      <c r="A261">
        <v>10507</v>
      </c>
      <c r="B261" t="s">
        <v>293</v>
      </c>
      <c r="C261">
        <v>7</v>
      </c>
      <c r="D261" s="1">
        <v>35535</v>
      </c>
      <c r="E261" s="1">
        <v>35563</v>
      </c>
      <c r="F261" s="1">
        <v>35542</v>
      </c>
      <c r="G261">
        <v>1</v>
      </c>
      <c r="H261">
        <v>47.45</v>
      </c>
      <c r="I261" t="s">
        <v>294</v>
      </c>
      <c r="J261" t="s">
        <v>295</v>
      </c>
      <c r="K261" t="s">
        <v>71</v>
      </c>
      <c r="L261" t="s">
        <v>18</v>
      </c>
      <c r="M261" s="2" t="s">
        <v>296</v>
      </c>
      <c r="N261" t="s">
        <v>73</v>
      </c>
      <c r="P261" t="s">
        <v>73</v>
      </c>
      <c r="Q261" t="s">
        <v>73</v>
      </c>
    </row>
    <row r="262" spans="1:17" x14ac:dyDescent="0.2">
      <c r="A262">
        <v>10508</v>
      </c>
      <c r="B262" t="s">
        <v>74</v>
      </c>
      <c r="C262">
        <v>1</v>
      </c>
      <c r="D262" s="1">
        <v>35536</v>
      </c>
      <c r="E262" s="1">
        <v>35564</v>
      </c>
      <c r="F262" s="1">
        <v>35563</v>
      </c>
      <c r="G262">
        <v>2</v>
      </c>
      <c r="H262">
        <v>4.99</v>
      </c>
      <c r="I262" t="s">
        <v>75</v>
      </c>
      <c r="J262" t="s">
        <v>76</v>
      </c>
      <c r="K262" t="s">
        <v>77</v>
      </c>
      <c r="L262" t="s">
        <v>18</v>
      </c>
      <c r="M262">
        <v>50739</v>
      </c>
      <c r="N262" t="s">
        <v>24</v>
      </c>
      <c r="P262" t="s">
        <v>24</v>
      </c>
      <c r="Q262" t="s">
        <v>24</v>
      </c>
    </row>
    <row r="263" spans="1:17" x14ac:dyDescent="0.2">
      <c r="A263">
        <v>10509</v>
      </c>
      <c r="B263" t="s">
        <v>369</v>
      </c>
      <c r="C263">
        <v>4</v>
      </c>
      <c r="D263" s="1">
        <v>35537</v>
      </c>
      <c r="E263" s="1">
        <v>35565</v>
      </c>
      <c r="F263" s="1">
        <v>35549</v>
      </c>
      <c r="G263">
        <v>1</v>
      </c>
      <c r="H263">
        <v>0.15</v>
      </c>
      <c r="I263" t="s">
        <v>370</v>
      </c>
      <c r="J263" t="s">
        <v>371</v>
      </c>
      <c r="K263" t="s">
        <v>372</v>
      </c>
      <c r="L263" t="s">
        <v>18</v>
      </c>
      <c r="M263">
        <v>68306</v>
      </c>
      <c r="N263" t="s">
        <v>24</v>
      </c>
      <c r="P263" t="s">
        <v>24</v>
      </c>
      <c r="Q263" t="s">
        <v>24</v>
      </c>
    </row>
    <row r="264" spans="1:17" x14ac:dyDescent="0.2">
      <c r="A264">
        <v>10510</v>
      </c>
      <c r="B264" t="s">
        <v>231</v>
      </c>
      <c r="C264">
        <v>6</v>
      </c>
      <c r="D264" s="1">
        <v>35538</v>
      </c>
      <c r="E264" s="1">
        <v>35566</v>
      </c>
      <c r="F264" s="1">
        <v>35548</v>
      </c>
      <c r="G264">
        <v>3</v>
      </c>
      <c r="H264">
        <v>367.63</v>
      </c>
      <c r="I264" t="s">
        <v>232</v>
      </c>
      <c r="J264" t="s">
        <v>233</v>
      </c>
      <c r="K264" t="s">
        <v>234</v>
      </c>
      <c r="L264" t="s">
        <v>235</v>
      </c>
      <c r="M264">
        <v>83720</v>
      </c>
      <c r="N264" t="s">
        <v>87</v>
      </c>
      <c r="P264" t="s">
        <v>87</v>
      </c>
      <c r="Q264" t="s">
        <v>87</v>
      </c>
    </row>
    <row r="265" spans="1:17" x14ac:dyDescent="0.2">
      <c r="A265">
        <v>10511</v>
      </c>
      <c r="B265" t="s">
        <v>244</v>
      </c>
      <c r="C265">
        <v>4</v>
      </c>
      <c r="D265" s="1">
        <v>35538</v>
      </c>
      <c r="E265" s="1">
        <v>35566</v>
      </c>
      <c r="F265" s="1">
        <v>35541</v>
      </c>
      <c r="G265">
        <v>3</v>
      </c>
      <c r="H265">
        <v>350.64</v>
      </c>
      <c r="I265" t="s">
        <v>245</v>
      </c>
      <c r="J265">
        <v>12</v>
      </c>
      <c r="K265" t="s">
        <v>246</v>
      </c>
      <c r="L265" t="s">
        <v>247</v>
      </c>
      <c r="M265" t="s">
        <v>18</v>
      </c>
      <c r="N265">
        <v>13008</v>
      </c>
      <c r="O265" t="s">
        <v>19</v>
      </c>
      <c r="P265" t="s">
        <v>19</v>
      </c>
      <c r="Q265" t="s">
        <v>19</v>
      </c>
    </row>
    <row r="266" spans="1:17" x14ac:dyDescent="0.2">
      <c r="A266">
        <v>10512</v>
      </c>
      <c r="B266" t="s">
        <v>263</v>
      </c>
      <c r="C266">
        <v>7</v>
      </c>
      <c r="D266" s="1">
        <v>35541</v>
      </c>
      <c r="E266" s="1">
        <v>35569</v>
      </c>
      <c r="F266" s="1">
        <v>35544</v>
      </c>
      <c r="G266">
        <v>2</v>
      </c>
      <c r="H266">
        <v>3.53</v>
      </c>
      <c r="I266" t="s">
        <v>264</v>
      </c>
      <c r="J266" t="s">
        <v>265</v>
      </c>
      <c r="K266">
        <v>92</v>
      </c>
      <c r="L266" t="s">
        <v>177</v>
      </c>
      <c r="M266" t="s">
        <v>55</v>
      </c>
      <c r="N266" t="s">
        <v>266</v>
      </c>
      <c r="O266" t="s">
        <v>31</v>
      </c>
      <c r="P266" t="s">
        <v>31</v>
      </c>
      <c r="Q266" t="s">
        <v>31</v>
      </c>
    </row>
    <row r="267" spans="1:17" x14ac:dyDescent="0.2">
      <c r="A267">
        <v>10513</v>
      </c>
      <c r="B267" t="s">
        <v>189</v>
      </c>
      <c r="C267">
        <v>7</v>
      </c>
      <c r="D267" s="1">
        <v>35542</v>
      </c>
      <c r="E267" s="1">
        <v>35584</v>
      </c>
      <c r="F267" s="1">
        <v>35548</v>
      </c>
      <c r="G267">
        <v>1</v>
      </c>
      <c r="H267">
        <v>105.65</v>
      </c>
      <c r="I267" t="s">
        <v>190</v>
      </c>
      <c r="J267" t="s">
        <v>191</v>
      </c>
      <c r="K267" t="s">
        <v>192</v>
      </c>
      <c r="L267" t="s">
        <v>18</v>
      </c>
      <c r="M267">
        <v>70563</v>
      </c>
      <c r="N267" t="s">
        <v>24</v>
      </c>
      <c r="P267" t="s">
        <v>24</v>
      </c>
      <c r="Q267" t="s">
        <v>24</v>
      </c>
    </row>
    <row r="268" spans="1:17" x14ac:dyDescent="0.2">
      <c r="A268">
        <v>10514</v>
      </c>
      <c r="B268" t="s">
        <v>63</v>
      </c>
      <c r="C268">
        <v>3</v>
      </c>
      <c r="D268" s="1">
        <v>35542</v>
      </c>
      <c r="E268" s="1">
        <v>35570</v>
      </c>
      <c r="F268" s="1">
        <v>35566</v>
      </c>
      <c r="G268">
        <v>2</v>
      </c>
      <c r="H268">
        <v>789.95</v>
      </c>
      <c r="I268" t="s">
        <v>64</v>
      </c>
      <c r="J268" t="s">
        <v>65</v>
      </c>
      <c r="K268" t="s">
        <v>66</v>
      </c>
      <c r="L268" t="s">
        <v>18</v>
      </c>
      <c r="M268">
        <v>8010</v>
      </c>
      <c r="N268" t="s">
        <v>67</v>
      </c>
      <c r="P268" t="s">
        <v>67</v>
      </c>
      <c r="Q268" t="s">
        <v>67</v>
      </c>
    </row>
    <row r="269" spans="1:17" x14ac:dyDescent="0.2">
      <c r="A269">
        <v>10515</v>
      </c>
      <c r="B269" t="s">
        <v>122</v>
      </c>
      <c r="C269">
        <v>2</v>
      </c>
      <c r="D269" s="1">
        <v>35543</v>
      </c>
      <c r="E269" s="1">
        <v>35557</v>
      </c>
      <c r="F269" s="1">
        <v>35573</v>
      </c>
      <c r="G269">
        <v>1</v>
      </c>
      <c r="H269">
        <v>204.47</v>
      </c>
      <c r="I269" t="s">
        <v>123</v>
      </c>
      <c r="J269" t="s">
        <v>124</v>
      </c>
      <c r="K269" t="s">
        <v>125</v>
      </c>
      <c r="L269" t="s">
        <v>18</v>
      </c>
      <c r="M269" s="2" t="s">
        <v>126</v>
      </c>
      <c r="N269" t="s">
        <v>24</v>
      </c>
      <c r="P269" t="s">
        <v>24</v>
      </c>
      <c r="Q269" t="s">
        <v>24</v>
      </c>
    </row>
    <row r="270" spans="1:17" x14ac:dyDescent="0.2">
      <c r="A270">
        <v>10516</v>
      </c>
      <c r="B270" t="s">
        <v>183</v>
      </c>
      <c r="C270">
        <v>2</v>
      </c>
      <c r="D270" s="1">
        <v>35544</v>
      </c>
      <c r="E270" s="1">
        <v>35572</v>
      </c>
      <c r="F270" s="1">
        <v>35551</v>
      </c>
      <c r="G270">
        <v>3</v>
      </c>
      <c r="H270">
        <v>62.78</v>
      </c>
      <c r="I270" t="s">
        <v>184</v>
      </c>
      <c r="J270" t="s">
        <v>185</v>
      </c>
      <c r="K270" t="s">
        <v>186</v>
      </c>
      <c r="L270" t="s">
        <v>187</v>
      </c>
      <c r="M270" t="s">
        <v>18</v>
      </c>
      <c r="N270" t="s">
        <v>188</v>
      </c>
      <c r="P270" t="s">
        <v>188</v>
      </c>
      <c r="Q270" t="s">
        <v>188</v>
      </c>
    </row>
    <row r="271" spans="1:17" x14ac:dyDescent="0.2">
      <c r="A271">
        <v>10517</v>
      </c>
      <c r="B271" t="s">
        <v>373</v>
      </c>
      <c r="C271">
        <v>3</v>
      </c>
      <c r="D271" s="1">
        <v>35544</v>
      </c>
      <c r="E271" s="1">
        <v>35572</v>
      </c>
      <c r="F271" s="1">
        <v>35549</v>
      </c>
      <c r="G271">
        <v>3</v>
      </c>
      <c r="H271">
        <v>32.07</v>
      </c>
      <c r="I271" t="s">
        <v>374</v>
      </c>
      <c r="J271" t="s">
        <v>375</v>
      </c>
      <c r="K271" t="s">
        <v>171</v>
      </c>
      <c r="L271" t="s">
        <v>18</v>
      </c>
      <c r="M271" t="s">
        <v>376</v>
      </c>
      <c r="N271" t="s">
        <v>173</v>
      </c>
      <c r="P271" t="s">
        <v>173</v>
      </c>
      <c r="Q271" t="s">
        <v>173</v>
      </c>
    </row>
    <row r="272" spans="1:17" x14ac:dyDescent="0.2">
      <c r="A272">
        <v>10518</v>
      </c>
      <c r="B272" t="s">
        <v>132</v>
      </c>
      <c r="C272">
        <v>4</v>
      </c>
      <c r="D272" s="1">
        <v>35545</v>
      </c>
      <c r="E272" s="1">
        <v>35559</v>
      </c>
      <c r="F272" s="1">
        <v>35555</v>
      </c>
      <c r="G272">
        <v>2</v>
      </c>
      <c r="H272">
        <v>218.15</v>
      </c>
      <c r="I272" t="s">
        <v>133</v>
      </c>
      <c r="J272" t="s">
        <v>134</v>
      </c>
      <c r="K272" t="s">
        <v>71</v>
      </c>
      <c r="L272" t="s">
        <v>18</v>
      </c>
      <c r="M272" s="2" t="s">
        <v>135</v>
      </c>
      <c r="N272" t="s">
        <v>73</v>
      </c>
      <c r="P272" t="s">
        <v>73</v>
      </c>
      <c r="Q272" t="s">
        <v>73</v>
      </c>
    </row>
    <row r="273" spans="1:17" x14ac:dyDescent="0.2">
      <c r="A273">
        <v>10519</v>
      </c>
      <c r="B273" t="s">
        <v>42</v>
      </c>
      <c r="C273">
        <v>6</v>
      </c>
      <c r="D273" s="1">
        <v>35548</v>
      </c>
      <c r="E273" s="1">
        <v>35576</v>
      </c>
      <c r="F273" s="1">
        <v>35551</v>
      </c>
      <c r="G273">
        <v>3</v>
      </c>
      <c r="H273">
        <v>91.76</v>
      </c>
      <c r="I273" t="s">
        <v>43</v>
      </c>
      <c r="J273" t="s">
        <v>44</v>
      </c>
      <c r="K273" t="s">
        <v>45</v>
      </c>
      <c r="L273" t="s">
        <v>18</v>
      </c>
      <c r="M273">
        <v>3012</v>
      </c>
      <c r="N273" t="s">
        <v>46</v>
      </c>
      <c r="P273" t="s">
        <v>46</v>
      </c>
      <c r="Q273" t="s">
        <v>46</v>
      </c>
    </row>
    <row r="274" spans="1:17" x14ac:dyDescent="0.2">
      <c r="A274">
        <v>10520</v>
      </c>
      <c r="B274" t="s">
        <v>319</v>
      </c>
      <c r="C274">
        <v>7</v>
      </c>
      <c r="D274" s="1">
        <v>35549</v>
      </c>
      <c r="E274" s="1">
        <v>35577</v>
      </c>
      <c r="F274" s="1">
        <v>35551</v>
      </c>
      <c r="G274">
        <v>1</v>
      </c>
      <c r="H274">
        <v>13.37</v>
      </c>
      <c r="I274" t="s">
        <v>320</v>
      </c>
      <c r="J274" t="s">
        <v>321</v>
      </c>
      <c r="K274" t="s">
        <v>322</v>
      </c>
      <c r="L274" t="s">
        <v>18</v>
      </c>
      <c r="M274">
        <v>4110</v>
      </c>
      <c r="N274" t="s">
        <v>323</v>
      </c>
      <c r="P274" t="s">
        <v>323</v>
      </c>
      <c r="Q274" t="s">
        <v>323</v>
      </c>
    </row>
    <row r="275" spans="1:17" x14ac:dyDescent="0.2">
      <c r="A275">
        <v>10521</v>
      </c>
      <c r="B275" t="s">
        <v>377</v>
      </c>
      <c r="C275">
        <v>8</v>
      </c>
      <c r="D275" s="1">
        <v>35549</v>
      </c>
      <c r="E275" s="1">
        <v>35577</v>
      </c>
      <c r="F275" s="1">
        <v>35552</v>
      </c>
      <c r="G275">
        <v>2</v>
      </c>
      <c r="H275">
        <v>17.22</v>
      </c>
      <c r="I275" t="s">
        <v>378</v>
      </c>
      <c r="J275" t="s">
        <v>379</v>
      </c>
      <c r="K275" t="s">
        <v>342</v>
      </c>
      <c r="L275" t="s">
        <v>18</v>
      </c>
      <c r="M275">
        <v>1010</v>
      </c>
      <c r="N275" t="s">
        <v>343</v>
      </c>
      <c r="P275" t="s">
        <v>343</v>
      </c>
      <c r="Q275" t="s">
        <v>343</v>
      </c>
    </row>
    <row r="276" spans="1:17" x14ac:dyDescent="0.2">
      <c r="A276">
        <v>10522</v>
      </c>
      <c r="B276" t="s">
        <v>146</v>
      </c>
      <c r="C276">
        <v>4</v>
      </c>
      <c r="D276" s="1">
        <v>35550</v>
      </c>
      <c r="E276" s="1">
        <v>35578</v>
      </c>
      <c r="F276" s="1">
        <v>35556</v>
      </c>
      <c r="G276">
        <v>1</v>
      </c>
      <c r="H276">
        <v>45.33</v>
      </c>
      <c r="I276" t="s">
        <v>147</v>
      </c>
      <c r="J276" t="s">
        <v>148</v>
      </c>
      <c r="K276" t="s">
        <v>149</v>
      </c>
      <c r="L276" t="s">
        <v>18</v>
      </c>
      <c r="M276">
        <v>60528</v>
      </c>
      <c r="N276" t="s">
        <v>24</v>
      </c>
      <c r="P276" t="s">
        <v>24</v>
      </c>
      <c r="Q276" t="s">
        <v>24</v>
      </c>
    </row>
    <row r="277" spans="1:17" x14ac:dyDescent="0.2">
      <c r="A277">
        <v>10523</v>
      </c>
      <c r="B277" t="s">
        <v>281</v>
      </c>
      <c r="C277">
        <v>7</v>
      </c>
      <c r="D277" s="1">
        <v>35551</v>
      </c>
      <c r="E277" s="1">
        <v>35579</v>
      </c>
      <c r="F277" s="1">
        <v>35580</v>
      </c>
      <c r="G277">
        <v>2</v>
      </c>
      <c r="H277">
        <v>77.63</v>
      </c>
      <c r="I277" t="s">
        <v>282</v>
      </c>
      <c r="J277" t="s">
        <v>283</v>
      </c>
      <c r="K277" t="s">
        <v>171</v>
      </c>
      <c r="L277" t="s">
        <v>18</v>
      </c>
      <c r="M277" t="s">
        <v>284</v>
      </c>
      <c r="N277" t="s">
        <v>173</v>
      </c>
      <c r="P277" t="s">
        <v>173</v>
      </c>
      <c r="Q277" t="s">
        <v>173</v>
      </c>
    </row>
    <row r="278" spans="1:17" x14ac:dyDescent="0.2">
      <c r="A278">
        <v>10524</v>
      </c>
      <c r="B278" t="s">
        <v>141</v>
      </c>
      <c r="C278">
        <v>1</v>
      </c>
      <c r="D278" s="1">
        <v>35551</v>
      </c>
      <c r="E278" s="1">
        <v>35579</v>
      </c>
      <c r="F278" s="1">
        <v>35557</v>
      </c>
      <c r="G278">
        <v>2</v>
      </c>
      <c r="H278">
        <v>244.79</v>
      </c>
      <c r="I278" t="s">
        <v>142</v>
      </c>
      <c r="J278" t="s">
        <v>143</v>
      </c>
      <c r="K278" t="s">
        <v>144</v>
      </c>
      <c r="L278" t="s">
        <v>18</v>
      </c>
      <c r="M278" t="s">
        <v>145</v>
      </c>
      <c r="N278" t="s">
        <v>93</v>
      </c>
      <c r="P278" t="s">
        <v>93</v>
      </c>
      <c r="Q278" t="s">
        <v>93</v>
      </c>
    </row>
    <row r="279" spans="1:17" x14ac:dyDescent="0.2">
      <c r="A279">
        <v>10525</v>
      </c>
      <c r="B279" t="s">
        <v>244</v>
      </c>
      <c r="C279">
        <v>1</v>
      </c>
      <c r="D279" s="1">
        <v>35552</v>
      </c>
      <c r="E279" s="1">
        <v>35580</v>
      </c>
      <c r="F279" s="1">
        <v>35573</v>
      </c>
      <c r="G279">
        <v>2</v>
      </c>
      <c r="H279">
        <v>11.06</v>
      </c>
      <c r="I279" t="s">
        <v>245</v>
      </c>
      <c r="J279">
        <v>12</v>
      </c>
      <c r="K279" t="s">
        <v>246</v>
      </c>
      <c r="L279" t="s">
        <v>247</v>
      </c>
      <c r="M279" t="s">
        <v>18</v>
      </c>
      <c r="N279">
        <v>13008</v>
      </c>
      <c r="O279" t="s">
        <v>19</v>
      </c>
      <c r="P279" t="s">
        <v>19</v>
      </c>
      <c r="Q279" t="s">
        <v>19</v>
      </c>
    </row>
    <row r="280" spans="1:17" x14ac:dyDescent="0.2">
      <c r="A280">
        <v>10526</v>
      </c>
      <c r="B280" t="s">
        <v>98</v>
      </c>
      <c r="C280">
        <v>4</v>
      </c>
      <c r="D280" s="1">
        <v>35555</v>
      </c>
      <c r="E280" s="1">
        <v>35583</v>
      </c>
      <c r="F280" s="1">
        <v>35565</v>
      </c>
      <c r="G280">
        <v>2</v>
      </c>
      <c r="H280">
        <v>58.59</v>
      </c>
      <c r="I280" t="s">
        <v>99</v>
      </c>
      <c r="J280" t="s">
        <v>100</v>
      </c>
      <c r="K280" t="s">
        <v>101</v>
      </c>
      <c r="L280" t="s">
        <v>18</v>
      </c>
      <c r="M280">
        <v>90110</v>
      </c>
      <c r="N280" t="s">
        <v>102</v>
      </c>
      <c r="P280" t="s">
        <v>102</v>
      </c>
      <c r="Q280" t="s">
        <v>102</v>
      </c>
    </row>
    <row r="281" spans="1:17" x14ac:dyDescent="0.2">
      <c r="A281">
        <v>10527</v>
      </c>
      <c r="B281" t="s">
        <v>122</v>
      </c>
      <c r="C281">
        <v>7</v>
      </c>
      <c r="D281" s="1">
        <v>35555</v>
      </c>
      <c r="E281" s="1">
        <v>35583</v>
      </c>
      <c r="F281" s="1">
        <v>35557</v>
      </c>
      <c r="G281">
        <v>1</v>
      </c>
      <c r="H281">
        <v>41.9</v>
      </c>
      <c r="I281" t="s">
        <v>123</v>
      </c>
      <c r="J281" t="s">
        <v>124</v>
      </c>
      <c r="K281" t="s">
        <v>125</v>
      </c>
      <c r="L281" t="s">
        <v>18</v>
      </c>
      <c r="M281" s="2" t="s">
        <v>126</v>
      </c>
      <c r="N281" t="s">
        <v>24</v>
      </c>
      <c r="P281" t="s">
        <v>24</v>
      </c>
      <c r="Q281" t="s">
        <v>24</v>
      </c>
    </row>
    <row r="282" spans="1:17" x14ac:dyDescent="0.2">
      <c r="A282">
        <v>10528</v>
      </c>
      <c r="B282" t="s">
        <v>380</v>
      </c>
      <c r="C282">
        <v>6</v>
      </c>
      <c r="D282" s="1">
        <v>35556</v>
      </c>
      <c r="E282" s="1">
        <v>35570</v>
      </c>
      <c r="F282" s="1">
        <v>35559</v>
      </c>
      <c r="G282">
        <v>2</v>
      </c>
      <c r="H282">
        <v>3.35</v>
      </c>
      <c r="I282" t="s">
        <v>381</v>
      </c>
      <c r="J282" t="s">
        <v>382</v>
      </c>
      <c r="K282" t="s">
        <v>383</v>
      </c>
      <c r="L282" t="s">
        <v>206</v>
      </c>
      <c r="M282">
        <v>97403</v>
      </c>
      <c r="N282" t="s">
        <v>87</v>
      </c>
      <c r="P282" t="s">
        <v>87</v>
      </c>
      <c r="Q282" t="s">
        <v>87</v>
      </c>
    </row>
    <row r="283" spans="1:17" x14ac:dyDescent="0.2">
      <c r="A283">
        <v>10529</v>
      </c>
      <c r="B283" t="s">
        <v>384</v>
      </c>
      <c r="C283">
        <v>5</v>
      </c>
      <c r="D283" s="1">
        <v>35557</v>
      </c>
      <c r="E283" s="1">
        <v>35585</v>
      </c>
      <c r="F283" s="1">
        <v>35559</v>
      </c>
      <c r="G283">
        <v>2</v>
      </c>
      <c r="H283">
        <v>66.69</v>
      </c>
      <c r="I283" t="s">
        <v>385</v>
      </c>
      <c r="J283" t="s">
        <v>386</v>
      </c>
      <c r="K283" t="s">
        <v>387</v>
      </c>
      <c r="L283" t="s">
        <v>18</v>
      </c>
      <c r="M283" t="s">
        <v>388</v>
      </c>
      <c r="N283" t="s">
        <v>41</v>
      </c>
      <c r="P283" t="s">
        <v>41</v>
      </c>
      <c r="Q283" t="s">
        <v>41</v>
      </c>
    </row>
    <row r="284" spans="1:17" x14ac:dyDescent="0.2">
      <c r="A284">
        <v>10530</v>
      </c>
      <c r="B284" t="s">
        <v>271</v>
      </c>
      <c r="C284">
        <v>3</v>
      </c>
      <c r="D284" s="1">
        <v>35558</v>
      </c>
      <c r="E284" s="1">
        <v>35586</v>
      </c>
      <c r="F284" s="1">
        <v>35562</v>
      </c>
      <c r="G284">
        <v>2</v>
      </c>
      <c r="H284">
        <v>339.22</v>
      </c>
      <c r="I284" t="s">
        <v>272</v>
      </c>
      <c r="J284" t="s">
        <v>273</v>
      </c>
      <c r="K284" t="s">
        <v>274</v>
      </c>
      <c r="L284" t="s">
        <v>18</v>
      </c>
      <c r="M284">
        <v>5020</v>
      </c>
      <c r="N284" t="s">
        <v>67</v>
      </c>
      <c r="P284" t="s">
        <v>67</v>
      </c>
      <c r="Q284" t="s">
        <v>67</v>
      </c>
    </row>
    <row r="285" spans="1:17" x14ac:dyDescent="0.2">
      <c r="A285">
        <v>10531</v>
      </c>
      <c r="B285" t="s">
        <v>339</v>
      </c>
      <c r="C285">
        <v>7</v>
      </c>
      <c r="D285" s="1">
        <v>35558</v>
      </c>
      <c r="E285" s="1">
        <v>35586</v>
      </c>
      <c r="F285" s="1">
        <v>35569</v>
      </c>
      <c r="G285">
        <v>1</v>
      </c>
      <c r="H285">
        <v>8.1199999999999992</v>
      </c>
      <c r="I285" t="s">
        <v>340</v>
      </c>
      <c r="J285" t="s">
        <v>341</v>
      </c>
      <c r="K285" t="s">
        <v>342</v>
      </c>
      <c r="L285" t="s">
        <v>18</v>
      </c>
      <c r="M285">
        <v>1010</v>
      </c>
      <c r="N285" t="s">
        <v>343</v>
      </c>
      <c r="P285" t="s">
        <v>343</v>
      </c>
      <c r="Q285" t="s">
        <v>343</v>
      </c>
    </row>
    <row r="286" spans="1:17" x14ac:dyDescent="0.2">
      <c r="A286">
        <v>10532</v>
      </c>
      <c r="B286" t="s">
        <v>289</v>
      </c>
      <c r="C286">
        <v>7</v>
      </c>
      <c r="D286" s="1">
        <v>35559</v>
      </c>
      <c r="E286" s="1">
        <v>35587</v>
      </c>
      <c r="F286" s="1">
        <v>35562</v>
      </c>
      <c r="G286">
        <v>3</v>
      </c>
      <c r="H286">
        <v>74.459999999999994</v>
      </c>
      <c r="I286" t="s">
        <v>290</v>
      </c>
      <c r="J286" t="s">
        <v>291</v>
      </c>
      <c r="K286" t="s">
        <v>171</v>
      </c>
      <c r="L286" t="s">
        <v>18</v>
      </c>
      <c r="M286" t="s">
        <v>292</v>
      </c>
      <c r="N286" t="s">
        <v>173</v>
      </c>
      <c r="P286" t="s">
        <v>173</v>
      </c>
      <c r="Q286" t="s">
        <v>173</v>
      </c>
    </row>
    <row r="287" spans="1:17" x14ac:dyDescent="0.2">
      <c r="A287">
        <v>10533</v>
      </c>
      <c r="B287" t="s">
        <v>88</v>
      </c>
      <c r="C287">
        <v>8</v>
      </c>
      <c r="D287" s="1">
        <v>35562</v>
      </c>
      <c r="E287" s="1">
        <v>35590</v>
      </c>
      <c r="F287" s="1">
        <v>35572</v>
      </c>
      <c r="G287">
        <v>1</v>
      </c>
      <c r="H287">
        <v>188.04</v>
      </c>
      <c r="I287" t="s">
        <v>89</v>
      </c>
      <c r="J287" t="s">
        <v>90</v>
      </c>
      <c r="K287" t="s">
        <v>91</v>
      </c>
      <c r="L287" t="s">
        <v>18</v>
      </c>
      <c r="M287" t="s">
        <v>92</v>
      </c>
      <c r="N287" t="s">
        <v>93</v>
      </c>
      <c r="P287" t="s">
        <v>93</v>
      </c>
      <c r="Q287" t="s">
        <v>93</v>
      </c>
    </row>
    <row r="288" spans="1:17" x14ac:dyDescent="0.2">
      <c r="A288">
        <v>10534</v>
      </c>
      <c r="B288" t="s">
        <v>146</v>
      </c>
      <c r="C288">
        <v>8</v>
      </c>
      <c r="D288" s="1">
        <v>35562</v>
      </c>
      <c r="E288" s="1">
        <v>35590</v>
      </c>
      <c r="F288" s="1">
        <v>35564</v>
      </c>
      <c r="G288">
        <v>2</v>
      </c>
      <c r="H288">
        <v>27.94</v>
      </c>
      <c r="I288" t="s">
        <v>147</v>
      </c>
      <c r="J288" t="s">
        <v>148</v>
      </c>
      <c r="K288" t="s">
        <v>149</v>
      </c>
      <c r="L288" t="s">
        <v>18</v>
      </c>
      <c r="M288">
        <v>60528</v>
      </c>
      <c r="N288" t="s">
        <v>24</v>
      </c>
      <c r="P288" t="s">
        <v>24</v>
      </c>
      <c r="Q288" t="s">
        <v>24</v>
      </c>
    </row>
    <row r="289" spans="1:17" x14ac:dyDescent="0.2">
      <c r="A289">
        <v>10535</v>
      </c>
      <c r="B289" t="s">
        <v>293</v>
      </c>
      <c r="C289">
        <v>4</v>
      </c>
      <c r="D289" s="1">
        <v>35563</v>
      </c>
      <c r="E289" s="1">
        <v>35591</v>
      </c>
      <c r="F289" s="1">
        <v>35571</v>
      </c>
      <c r="G289">
        <v>1</v>
      </c>
      <c r="H289">
        <v>15.64</v>
      </c>
      <c r="I289" t="s">
        <v>294</v>
      </c>
      <c r="J289" t="s">
        <v>295</v>
      </c>
      <c r="K289" t="s">
        <v>71</v>
      </c>
      <c r="L289" t="s">
        <v>18</v>
      </c>
      <c r="M289" s="2" t="s">
        <v>296</v>
      </c>
      <c r="N289" t="s">
        <v>73</v>
      </c>
      <c r="P289" t="s">
        <v>73</v>
      </c>
      <c r="Q289" t="s">
        <v>73</v>
      </c>
    </row>
    <row r="290" spans="1:17" x14ac:dyDescent="0.2">
      <c r="A290">
        <v>10536</v>
      </c>
      <c r="B290" t="s">
        <v>146</v>
      </c>
      <c r="C290">
        <v>3</v>
      </c>
      <c r="D290" s="1">
        <v>35564</v>
      </c>
      <c r="E290" s="1">
        <v>35592</v>
      </c>
      <c r="F290" s="1">
        <v>35587</v>
      </c>
      <c r="G290">
        <v>2</v>
      </c>
      <c r="H290">
        <v>58.88</v>
      </c>
      <c r="I290" t="s">
        <v>147</v>
      </c>
      <c r="J290" t="s">
        <v>148</v>
      </c>
      <c r="K290" t="s">
        <v>149</v>
      </c>
      <c r="L290" t="s">
        <v>18</v>
      </c>
      <c r="M290">
        <v>60528</v>
      </c>
      <c r="N290" t="s">
        <v>24</v>
      </c>
      <c r="P290" t="s">
        <v>24</v>
      </c>
      <c r="Q290" t="s">
        <v>24</v>
      </c>
    </row>
    <row r="291" spans="1:17" x14ac:dyDescent="0.2">
      <c r="A291">
        <v>10537</v>
      </c>
      <c r="B291" t="s">
        <v>47</v>
      </c>
      <c r="C291">
        <v>1</v>
      </c>
      <c r="D291" s="1">
        <v>35564</v>
      </c>
      <c r="E291" s="1">
        <v>35578</v>
      </c>
      <c r="F291" s="1">
        <v>35569</v>
      </c>
      <c r="G291">
        <v>1</v>
      </c>
      <c r="H291">
        <v>78.849999999999994</v>
      </c>
      <c r="I291" t="s">
        <v>48</v>
      </c>
      <c r="J291" t="s">
        <v>49</v>
      </c>
      <c r="K291" t="s">
        <v>50</v>
      </c>
      <c r="L291" t="s">
        <v>18</v>
      </c>
      <c r="M291">
        <v>1204</v>
      </c>
      <c r="N291" t="s">
        <v>46</v>
      </c>
      <c r="P291" t="s">
        <v>46</v>
      </c>
      <c r="Q291" t="s">
        <v>46</v>
      </c>
    </row>
    <row r="292" spans="1:17" x14ac:dyDescent="0.2">
      <c r="A292">
        <v>10538</v>
      </c>
      <c r="B292" t="s">
        <v>168</v>
      </c>
      <c r="C292">
        <v>9</v>
      </c>
      <c r="D292" s="1">
        <v>35565</v>
      </c>
      <c r="E292" s="1">
        <v>35593</v>
      </c>
      <c r="F292" s="1">
        <v>35566</v>
      </c>
      <c r="G292">
        <v>3</v>
      </c>
      <c r="H292">
        <v>4.87</v>
      </c>
      <c r="I292" t="s">
        <v>169</v>
      </c>
      <c r="J292" t="s">
        <v>170</v>
      </c>
      <c r="K292" t="s">
        <v>171</v>
      </c>
      <c r="L292" t="s">
        <v>18</v>
      </c>
      <c r="M292" t="s">
        <v>172</v>
      </c>
      <c r="N292" t="s">
        <v>173</v>
      </c>
      <c r="P292" t="s">
        <v>173</v>
      </c>
      <c r="Q292" t="s">
        <v>173</v>
      </c>
    </row>
    <row r="293" spans="1:17" x14ac:dyDescent="0.2">
      <c r="A293">
        <v>10539</v>
      </c>
      <c r="B293" t="s">
        <v>168</v>
      </c>
      <c r="C293">
        <v>6</v>
      </c>
      <c r="D293" s="1">
        <v>35566</v>
      </c>
      <c r="E293" s="1">
        <v>35594</v>
      </c>
      <c r="F293" s="1">
        <v>35573</v>
      </c>
      <c r="G293">
        <v>3</v>
      </c>
      <c r="H293">
        <v>12.36</v>
      </c>
      <c r="I293" t="s">
        <v>169</v>
      </c>
      <c r="J293" t="s">
        <v>170</v>
      </c>
      <c r="K293" t="s">
        <v>171</v>
      </c>
      <c r="L293" t="s">
        <v>18</v>
      </c>
      <c r="M293" t="s">
        <v>172</v>
      </c>
      <c r="N293" t="s">
        <v>173</v>
      </c>
      <c r="P293" t="s">
        <v>173</v>
      </c>
      <c r="Q293" t="s">
        <v>173</v>
      </c>
    </row>
    <row r="294" spans="1:17" x14ac:dyDescent="0.2">
      <c r="A294">
        <v>10540</v>
      </c>
      <c r="B294" t="s">
        <v>122</v>
      </c>
      <c r="C294">
        <v>3</v>
      </c>
      <c r="D294" s="1">
        <v>35569</v>
      </c>
      <c r="E294" s="1">
        <v>35597</v>
      </c>
      <c r="F294" s="1">
        <v>35594</v>
      </c>
      <c r="G294">
        <v>3</v>
      </c>
      <c r="H294">
        <v>1007.64</v>
      </c>
      <c r="I294" t="s">
        <v>123</v>
      </c>
      <c r="J294" t="s">
        <v>124</v>
      </c>
      <c r="K294" t="s">
        <v>125</v>
      </c>
      <c r="L294" t="s">
        <v>18</v>
      </c>
      <c r="M294" s="2" t="s">
        <v>126</v>
      </c>
      <c r="N294" t="s">
        <v>24</v>
      </c>
      <c r="P294" t="s">
        <v>24</v>
      </c>
      <c r="Q294" t="s">
        <v>24</v>
      </c>
    </row>
    <row r="295" spans="1:17" x14ac:dyDescent="0.2">
      <c r="A295">
        <v>10541</v>
      </c>
      <c r="B295" t="s">
        <v>25</v>
      </c>
      <c r="C295">
        <v>2</v>
      </c>
      <c r="D295" s="1">
        <v>35569</v>
      </c>
      <c r="E295" s="1">
        <v>35597</v>
      </c>
      <c r="F295" s="1">
        <v>35579</v>
      </c>
      <c r="G295">
        <v>1</v>
      </c>
      <c r="H295">
        <v>68.650000000000006</v>
      </c>
      <c r="I295" t="s">
        <v>26</v>
      </c>
      <c r="J295" t="s">
        <v>27</v>
      </c>
      <c r="K295">
        <v>67</v>
      </c>
      <c r="L295" t="s">
        <v>28</v>
      </c>
      <c r="M295" t="s">
        <v>29</v>
      </c>
      <c r="N295" t="s">
        <v>30</v>
      </c>
      <c r="O295" t="s">
        <v>31</v>
      </c>
      <c r="P295" t="s">
        <v>31</v>
      </c>
      <c r="Q295" t="s">
        <v>31</v>
      </c>
    </row>
    <row r="296" spans="1:17" x14ac:dyDescent="0.2">
      <c r="A296">
        <v>10542</v>
      </c>
      <c r="B296" t="s">
        <v>227</v>
      </c>
      <c r="C296">
        <v>1</v>
      </c>
      <c r="D296" s="1">
        <v>35570</v>
      </c>
      <c r="E296" s="1">
        <v>35598</v>
      </c>
      <c r="F296" s="1">
        <v>35576</v>
      </c>
      <c r="G296">
        <v>3</v>
      </c>
      <c r="H296">
        <v>10.95</v>
      </c>
      <c r="I296" t="s">
        <v>228</v>
      </c>
      <c r="J296" t="s">
        <v>229</v>
      </c>
      <c r="K296" t="s">
        <v>230</v>
      </c>
      <c r="L296" t="s">
        <v>18</v>
      </c>
      <c r="M296">
        <v>14776</v>
      </c>
      <c r="N296" t="s">
        <v>24</v>
      </c>
      <c r="P296" t="s">
        <v>24</v>
      </c>
      <c r="Q296" t="s">
        <v>24</v>
      </c>
    </row>
    <row r="297" spans="1:17" x14ac:dyDescent="0.2">
      <c r="A297">
        <v>10543</v>
      </c>
      <c r="B297" t="s">
        <v>155</v>
      </c>
      <c r="C297">
        <v>8</v>
      </c>
      <c r="D297" s="1">
        <v>35571</v>
      </c>
      <c r="E297" s="1">
        <v>35599</v>
      </c>
      <c r="F297" s="1">
        <v>35573</v>
      </c>
      <c r="G297">
        <v>2</v>
      </c>
      <c r="H297">
        <v>48.17</v>
      </c>
      <c r="I297" t="s">
        <v>156</v>
      </c>
      <c r="J297" t="s">
        <v>157</v>
      </c>
      <c r="K297" t="s">
        <v>158</v>
      </c>
      <c r="L297" t="s">
        <v>159</v>
      </c>
      <c r="M297">
        <v>3508</v>
      </c>
      <c r="N297" t="s">
        <v>62</v>
      </c>
      <c r="P297" t="s">
        <v>62</v>
      </c>
      <c r="Q297" t="s">
        <v>62</v>
      </c>
    </row>
    <row r="298" spans="1:17" x14ac:dyDescent="0.2">
      <c r="A298">
        <v>10544</v>
      </c>
      <c r="B298" t="s">
        <v>202</v>
      </c>
      <c r="C298">
        <v>4</v>
      </c>
      <c r="D298" s="1">
        <v>35571</v>
      </c>
      <c r="E298" s="1">
        <v>35599</v>
      </c>
      <c r="F298" s="1">
        <v>35580</v>
      </c>
      <c r="G298">
        <v>1</v>
      </c>
      <c r="H298">
        <v>24.91</v>
      </c>
      <c r="I298" t="s">
        <v>203</v>
      </c>
      <c r="J298" t="s">
        <v>204</v>
      </c>
      <c r="K298" t="s">
        <v>205</v>
      </c>
      <c r="L298" t="s">
        <v>206</v>
      </c>
      <c r="M298">
        <v>97219</v>
      </c>
      <c r="N298" t="s">
        <v>87</v>
      </c>
      <c r="P298" t="s">
        <v>87</v>
      </c>
      <c r="Q298" t="s">
        <v>87</v>
      </c>
    </row>
    <row r="299" spans="1:17" x14ac:dyDescent="0.2">
      <c r="A299">
        <v>10545</v>
      </c>
      <c r="B299" t="s">
        <v>360</v>
      </c>
      <c r="C299">
        <v>8</v>
      </c>
      <c r="D299" s="1">
        <v>35572</v>
      </c>
      <c r="E299" s="1">
        <v>35600</v>
      </c>
      <c r="F299" s="1">
        <v>35607</v>
      </c>
      <c r="G299">
        <v>2</v>
      </c>
      <c r="H299">
        <v>11.92</v>
      </c>
      <c r="I299" t="s">
        <v>361</v>
      </c>
      <c r="J299" t="s">
        <v>362</v>
      </c>
      <c r="K299" t="s">
        <v>363</v>
      </c>
      <c r="L299" t="s">
        <v>116</v>
      </c>
      <c r="M299">
        <v>99362</v>
      </c>
      <c r="N299" t="s">
        <v>87</v>
      </c>
      <c r="P299" t="s">
        <v>87</v>
      </c>
      <c r="Q299" t="s">
        <v>87</v>
      </c>
    </row>
    <row r="300" spans="1:17" x14ac:dyDescent="0.2">
      <c r="A300">
        <v>10546</v>
      </c>
      <c r="B300" t="s">
        <v>32</v>
      </c>
      <c r="C300">
        <v>1</v>
      </c>
      <c r="D300" s="1">
        <v>35573</v>
      </c>
      <c r="E300" s="1">
        <v>35601</v>
      </c>
      <c r="F300" s="1">
        <v>35577</v>
      </c>
      <c r="G300">
        <v>3</v>
      </c>
      <c r="H300">
        <v>194.72</v>
      </c>
      <c r="I300" t="s">
        <v>33</v>
      </c>
      <c r="J300">
        <v>2</v>
      </c>
      <c r="K300" t="s">
        <v>34</v>
      </c>
      <c r="L300" t="s">
        <v>35</v>
      </c>
      <c r="M300" t="s">
        <v>18</v>
      </c>
      <c r="N300">
        <v>69004</v>
      </c>
      <c r="O300" t="s">
        <v>19</v>
      </c>
      <c r="P300" t="s">
        <v>19</v>
      </c>
      <c r="Q300" t="s">
        <v>19</v>
      </c>
    </row>
    <row r="301" spans="1:17" x14ac:dyDescent="0.2">
      <c r="A301">
        <v>10547</v>
      </c>
      <c r="B301" t="s">
        <v>281</v>
      </c>
      <c r="C301">
        <v>3</v>
      </c>
      <c r="D301" s="1">
        <v>35573</v>
      </c>
      <c r="E301" s="1">
        <v>35601</v>
      </c>
      <c r="F301" s="1">
        <v>35583</v>
      </c>
      <c r="G301">
        <v>2</v>
      </c>
      <c r="H301">
        <v>178.43</v>
      </c>
      <c r="I301" t="s">
        <v>282</v>
      </c>
      <c r="J301" t="s">
        <v>283</v>
      </c>
      <c r="K301" t="s">
        <v>171</v>
      </c>
      <c r="L301" t="s">
        <v>18</v>
      </c>
      <c r="M301" t="s">
        <v>284</v>
      </c>
      <c r="N301" t="s">
        <v>173</v>
      </c>
      <c r="P301" t="s">
        <v>173</v>
      </c>
      <c r="Q301" t="s">
        <v>173</v>
      </c>
    </row>
    <row r="302" spans="1:17" x14ac:dyDescent="0.2">
      <c r="A302">
        <v>10548</v>
      </c>
      <c r="B302" t="s">
        <v>20</v>
      </c>
      <c r="C302">
        <v>3</v>
      </c>
      <c r="D302" s="1">
        <v>35576</v>
      </c>
      <c r="E302" s="1">
        <v>35604</v>
      </c>
      <c r="F302" s="1">
        <v>35583</v>
      </c>
      <c r="G302">
        <v>2</v>
      </c>
      <c r="H302">
        <v>1.43</v>
      </c>
      <c r="I302" t="s">
        <v>21</v>
      </c>
      <c r="J302" t="s">
        <v>22</v>
      </c>
      <c r="K302" t="s">
        <v>23</v>
      </c>
      <c r="L302" t="s">
        <v>18</v>
      </c>
      <c r="M302">
        <v>44087</v>
      </c>
      <c r="N302" t="s">
        <v>24</v>
      </c>
      <c r="P302" t="s">
        <v>24</v>
      </c>
      <c r="Q302" t="s">
        <v>24</v>
      </c>
    </row>
    <row r="303" spans="1:17" x14ac:dyDescent="0.2">
      <c r="A303">
        <v>10549</v>
      </c>
      <c r="B303" t="s">
        <v>122</v>
      </c>
      <c r="C303">
        <v>5</v>
      </c>
      <c r="D303" s="1">
        <v>35577</v>
      </c>
      <c r="E303" s="1">
        <v>35591</v>
      </c>
      <c r="F303" s="1">
        <v>35580</v>
      </c>
      <c r="G303">
        <v>1</v>
      </c>
      <c r="H303">
        <v>171.24</v>
      </c>
      <c r="I303" t="s">
        <v>123</v>
      </c>
      <c r="J303" t="s">
        <v>124</v>
      </c>
      <c r="K303" t="s">
        <v>125</v>
      </c>
      <c r="L303" t="s">
        <v>18</v>
      </c>
      <c r="M303" s="2" t="s">
        <v>126</v>
      </c>
      <c r="N303" t="s">
        <v>24</v>
      </c>
      <c r="P303" t="s">
        <v>24</v>
      </c>
      <c r="Q303" t="s">
        <v>24</v>
      </c>
    </row>
    <row r="304" spans="1:17" x14ac:dyDescent="0.2">
      <c r="A304">
        <v>10550</v>
      </c>
      <c r="B304" t="s">
        <v>193</v>
      </c>
      <c r="C304">
        <v>7</v>
      </c>
      <c r="D304" s="1">
        <v>35578</v>
      </c>
      <c r="E304" s="1">
        <v>35606</v>
      </c>
      <c r="F304" s="1">
        <v>35587</v>
      </c>
      <c r="G304">
        <v>3</v>
      </c>
      <c r="H304">
        <v>4.32</v>
      </c>
      <c r="I304" t="s">
        <v>194</v>
      </c>
      <c r="J304" t="s">
        <v>195</v>
      </c>
      <c r="K304">
        <v>33</v>
      </c>
      <c r="L304" t="s">
        <v>196</v>
      </c>
      <c r="M304" t="s">
        <v>18</v>
      </c>
      <c r="N304">
        <v>41101</v>
      </c>
      <c r="O304" t="s">
        <v>154</v>
      </c>
      <c r="P304" t="s">
        <v>154</v>
      </c>
      <c r="Q304" t="s">
        <v>154</v>
      </c>
    </row>
    <row r="305" spans="1:17" x14ac:dyDescent="0.2">
      <c r="A305">
        <v>10551</v>
      </c>
      <c r="B305" t="s">
        <v>239</v>
      </c>
      <c r="C305">
        <v>4</v>
      </c>
      <c r="D305" s="1">
        <v>35578</v>
      </c>
      <c r="E305" s="1">
        <v>35620</v>
      </c>
      <c r="F305" s="1">
        <v>35587</v>
      </c>
      <c r="G305">
        <v>3</v>
      </c>
      <c r="H305">
        <v>72.95</v>
      </c>
      <c r="I305" t="s">
        <v>240</v>
      </c>
      <c r="J305" t="s">
        <v>241</v>
      </c>
      <c r="K305" t="s">
        <v>242</v>
      </c>
      <c r="L305" t="s">
        <v>18</v>
      </c>
      <c r="M305">
        <v>1675</v>
      </c>
      <c r="N305" t="s">
        <v>243</v>
      </c>
      <c r="P305" t="s">
        <v>243</v>
      </c>
      <c r="Q305" t="s">
        <v>243</v>
      </c>
    </row>
    <row r="306" spans="1:17" x14ac:dyDescent="0.2">
      <c r="A306">
        <v>10552</v>
      </c>
      <c r="B306" t="s">
        <v>57</v>
      </c>
      <c r="C306">
        <v>2</v>
      </c>
      <c r="D306" s="1">
        <v>35579</v>
      </c>
      <c r="E306" s="1">
        <v>35607</v>
      </c>
      <c r="F306" s="1">
        <v>35586</v>
      </c>
      <c r="G306">
        <v>1</v>
      </c>
      <c r="H306">
        <v>83.22</v>
      </c>
      <c r="I306" t="s">
        <v>58</v>
      </c>
      <c r="J306" t="s">
        <v>59</v>
      </c>
      <c r="K306" t="s">
        <v>60</v>
      </c>
      <c r="L306" t="s">
        <v>61</v>
      </c>
      <c r="M306">
        <v>5022</v>
      </c>
      <c r="N306" t="s">
        <v>62</v>
      </c>
      <c r="P306" t="s">
        <v>62</v>
      </c>
      <c r="Q306" t="s">
        <v>62</v>
      </c>
    </row>
    <row r="307" spans="1:17" x14ac:dyDescent="0.2">
      <c r="A307">
        <v>10553</v>
      </c>
      <c r="B307" t="s">
        <v>98</v>
      </c>
      <c r="C307">
        <v>2</v>
      </c>
      <c r="D307" s="1">
        <v>35580</v>
      </c>
      <c r="E307" s="1">
        <v>35608</v>
      </c>
      <c r="F307" s="1">
        <v>35584</v>
      </c>
      <c r="G307">
        <v>2</v>
      </c>
      <c r="H307">
        <v>149.49</v>
      </c>
      <c r="I307" t="s">
        <v>99</v>
      </c>
      <c r="J307" t="s">
        <v>100</v>
      </c>
      <c r="K307" t="s">
        <v>101</v>
      </c>
      <c r="L307" t="s">
        <v>18</v>
      </c>
      <c r="M307">
        <v>90110</v>
      </c>
      <c r="N307" t="s">
        <v>102</v>
      </c>
      <c r="P307" t="s">
        <v>102</v>
      </c>
      <c r="Q307" t="s">
        <v>102</v>
      </c>
    </row>
    <row r="308" spans="1:17" x14ac:dyDescent="0.2">
      <c r="A308">
        <v>10554</v>
      </c>
      <c r="B308" t="s">
        <v>74</v>
      </c>
      <c r="C308">
        <v>4</v>
      </c>
      <c r="D308" s="1">
        <v>35580</v>
      </c>
      <c r="E308" s="1">
        <v>35608</v>
      </c>
      <c r="F308" s="1">
        <v>35586</v>
      </c>
      <c r="G308">
        <v>3</v>
      </c>
      <c r="H308">
        <v>120.97</v>
      </c>
      <c r="I308" t="s">
        <v>75</v>
      </c>
      <c r="J308" t="s">
        <v>76</v>
      </c>
      <c r="K308" t="s">
        <v>77</v>
      </c>
      <c r="L308" t="s">
        <v>18</v>
      </c>
      <c r="M308">
        <v>50739</v>
      </c>
      <c r="N308" t="s">
        <v>24</v>
      </c>
      <c r="P308" t="s">
        <v>24</v>
      </c>
      <c r="Q308" t="s">
        <v>24</v>
      </c>
    </row>
    <row r="309" spans="1:17" x14ac:dyDescent="0.2">
      <c r="A309">
        <v>10555</v>
      </c>
      <c r="B309" t="s">
        <v>231</v>
      </c>
      <c r="C309">
        <v>6</v>
      </c>
      <c r="D309" s="1">
        <v>35583</v>
      </c>
      <c r="E309" s="1">
        <v>35611</v>
      </c>
      <c r="F309" s="1">
        <v>35585</v>
      </c>
      <c r="G309">
        <v>3</v>
      </c>
      <c r="H309">
        <v>252.49</v>
      </c>
      <c r="I309" t="s">
        <v>232</v>
      </c>
      <c r="J309" t="s">
        <v>233</v>
      </c>
      <c r="K309" t="s">
        <v>234</v>
      </c>
      <c r="L309" t="s">
        <v>235</v>
      </c>
      <c r="M309">
        <v>83720</v>
      </c>
      <c r="N309" t="s">
        <v>87</v>
      </c>
      <c r="P309" t="s">
        <v>87</v>
      </c>
      <c r="Q309" t="s">
        <v>87</v>
      </c>
    </row>
    <row r="310" spans="1:17" x14ac:dyDescent="0.2">
      <c r="A310">
        <v>10556</v>
      </c>
      <c r="B310" t="s">
        <v>258</v>
      </c>
      <c r="C310">
        <v>2</v>
      </c>
      <c r="D310" s="1">
        <v>35584</v>
      </c>
      <c r="E310" s="1">
        <v>35626</v>
      </c>
      <c r="F310" s="1">
        <v>35594</v>
      </c>
      <c r="G310">
        <v>1</v>
      </c>
      <c r="H310">
        <v>9.8000000000000007</v>
      </c>
      <c r="I310" t="s">
        <v>259</v>
      </c>
      <c r="J310" t="s">
        <v>260</v>
      </c>
      <c r="K310" t="s">
        <v>261</v>
      </c>
      <c r="L310" t="s">
        <v>18</v>
      </c>
      <c r="M310">
        <v>1734</v>
      </c>
      <c r="N310" t="s">
        <v>262</v>
      </c>
      <c r="P310" t="s">
        <v>262</v>
      </c>
      <c r="Q310" t="s">
        <v>262</v>
      </c>
    </row>
    <row r="311" spans="1:17" x14ac:dyDescent="0.2">
      <c r="A311">
        <v>10557</v>
      </c>
      <c r="B311" t="s">
        <v>146</v>
      </c>
      <c r="C311">
        <v>9</v>
      </c>
      <c r="D311" s="1">
        <v>35584</v>
      </c>
      <c r="E311" s="1">
        <v>35598</v>
      </c>
      <c r="F311" s="1">
        <v>35587</v>
      </c>
      <c r="G311">
        <v>2</v>
      </c>
      <c r="H311">
        <v>96.72</v>
      </c>
      <c r="I311" t="s">
        <v>147</v>
      </c>
      <c r="J311" t="s">
        <v>148</v>
      </c>
      <c r="K311" t="s">
        <v>149</v>
      </c>
      <c r="L311" t="s">
        <v>18</v>
      </c>
      <c r="M311">
        <v>60528</v>
      </c>
      <c r="N311" t="s">
        <v>24</v>
      </c>
      <c r="P311" t="s">
        <v>24</v>
      </c>
      <c r="Q311" t="s">
        <v>24</v>
      </c>
    </row>
    <row r="312" spans="1:17" x14ac:dyDescent="0.2">
      <c r="A312">
        <v>10558</v>
      </c>
      <c r="B312" t="s">
        <v>275</v>
      </c>
      <c r="C312">
        <v>1</v>
      </c>
      <c r="D312" s="1">
        <v>35585</v>
      </c>
      <c r="E312" s="1">
        <v>35613</v>
      </c>
      <c r="F312" s="1">
        <v>35591</v>
      </c>
      <c r="G312">
        <v>2</v>
      </c>
      <c r="H312">
        <v>72.97</v>
      </c>
      <c r="I312" t="s">
        <v>276</v>
      </c>
      <c r="J312" t="s">
        <v>277</v>
      </c>
      <c r="K312" t="s">
        <v>278</v>
      </c>
      <c r="L312" t="s">
        <v>279</v>
      </c>
      <c r="M312" t="s">
        <v>280</v>
      </c>
      <c r="N312" t="s">
        <v>173</v>
      </c>
      <c r="P312" t="s">
        <v>173</v>
      </c>
      <c r="Q312" t="s">
        <v>173</v>
      </c>
    </row>
    <row r="313" spans="1:17" x14ac:dyDescent="0.2">
      <c r="A313">
        <v>10559</v>
      </c>
      <c r="B313" t="s">
        <v>94</v>
      </c>
      <c r="C313">
        <v>6</v>
      </c>
      <c r="D313" s="1">
        <v>35586</v>
      </c>
      <c r="E313" s="1">
        <v>35614</v>
      </c>
      <c r="F313" s="1">
        <v>35594</v>
      </c>
      <c r="G313">
        <v>1</v>
      </c>
      <c r="H313">
        <v>8.0500000000000007</v>
      </c>
      <c r="I313" t="s">
        <v>95</v>
      </c>
      <c r="J313">
        <v>24</v>
      </c>
      <c r="K313" t="s">
        <v>96</v>
      </c>
      <c r="L313" t="s">
        <v>97</v>
      </c>
      <c r="M313" t="s">
        <v>18</v>
      </c>
      <c r="N313">
        <v>67000</v>
      </c>
      <c r="O313" t="s">
        <v>19</v>
      </c>
      <c r="P313" t="s">
        <v>19</v>
      </c>
      <c r="Q313" t="s">
        <v>19</v>
      </c>
    </row>
    <row r="314" spans="1:17" x14ac:dyDescent="0.2">
      <c r="A314">
        <v>10560</v>
      </c>
      <c r="B314" t="s">
        <v>103</v>
      </c>
      <c r="C314">
        <v>8</v>
      </c>
      <c r="D314" s="1">
        <v>35587</v>
      </c>
      <c r="E314" s="1">
        <v>35615</v>
      </c>
      <c r="F314" s="1">
        <v>35590</v>
      </c>
      <c r="G314">
        <v>1</v>
      </c>
      <c r="H314">
        <v>36.65</v>
      </c>
      <c r="I314" t="s">
        <v>104</v>
      </c>
      <c r="J314" t="s">
        <v>105</v>
      </c>
      <c r="K314" t="s">
        <v>106</v>
      </c>
      <c r="L314" t="s">
        <v>18</v>
      </c>
      <c r="M314">
        <v>80805</v>
      </c>
      <c r="N314" t="s">
        <v>24</v>
      </c>
      <c r="P314" t="s">
        <v>24</v>
      </c>
      <c r="Q314" t="s">
        <v>24</v>
      </c>
    </row>
    <row r="315" spans="1:17" x14ac:dyDescent="0.2">
      <c r="A315">
        <v>10561</v>
      </c>
      <c r="B315" t="s">
        <v>88</v>
      </c>
      <c r="C315">
        <v>2</v>
      </c>
      <c r="D315" s="1">
        <v>35587</v>
      </c>
      <c r="E315" s="1">
        <v>35615</v>
      </c>
      <c r="F315" s="1">
        <v>35590</v>
      </c>
      <c r="G315">
        <v>2</v>
      </c>
      <c r="H315">
        <v>242.21</v>
      </c>
      <c r="I315" t="s">
        <v>89</v>
      </c>
      <c r="J315" t="s">
        <v>90</v>
      </c>
      <c r="K315" t="s">
        <v>91</v>
      </c>
      <c r="L315" t="s">
        <v>18</v>
      </c>
      <c r="M315" t="s">
        <v>92</v>
      </c>
      <c r="N315" t="s">
        <v>93</v>
      </c>
      <c r="P315" t="s">
        <v>93</v>
      </c>
      <c r="Q315" t="s">
        <v>93</v>
      </c>
    </row>
    <row r="316" spans="1:17" x14ac:dyDescent="0.2">
      <c r="A316">
        <v>10562</v>
      </c>
      <c r="B316" t="s">
        <v>164</v>
      </c>
      <c r="C316">
        <v>1</v>
      </c>
      <c r="D316" s="1">
        <v>35590</v>
      </c>
      <c r="E316" s="1">
        <v>35618</v>
      </c>
      <c r="F316" s="1">
        <v>35593</v>
      </c>
      <c r="G316">
        <v>1</v>
      </c>
      <c r="H316">
        <v>22.95</v>
      </c>
      <c r="I316" t="s">
        <v>165</v>
      </c>
      <c r="J316" t="s">
        <v>166</v>
      </c>
      <c r="K316" t="s">
        <v>167</v>
      </c>
      <c r="L316" t="s">
        <v>18</v>
      </c>
      <c r="M316">
        <v>42100</v>
      </c>
      <c r="N316" t="s">
        <v>131</v>
      </c>
      <c r="P316" t="s">
        <v>131</v>
      </c>
      <c r="Q316" t="s">
        <v>131</v>
      </c>
    </row>
    <row r="317" spans="1:17" x14ac:dyDescent="0.2">
      <c r="A317">
        <v>10563</v>
      </c>
      <c r="B317" t="s">
        <v>160</v>
      </c>
      <c r="C317">
        <v>2</v>
      </c>
      <c r="D317" s="1">
        <v>35591</v>
      </c>
      <c r="E317" s="1">
        <v>35633</v>
      </c>
      <c r="F317" s="1">
        <v>35605</v>
      </c>
      <c r="G317">
        <v>2</v>
      </c>
      <c r="H317">
        <v>60.43</v>
      </c>
      <c r="I317" t="s">
        <v>161</v>
      </c>
      <c r="J317" t="s">
        <v>162</v>
      </c>
      <c r="K317">
        <v>267</v>
      </c>
      <c r="L317" t="s">
        <v>28</v>
      </c>
      <c r="M317" t="s">
        <v>29</v>
      </c>
      <c r="N317" t="s">
        <v>163</v>
      </c>
      <c r="O317" t="s">
        <v>31</v>
      </c>
      <c r="P317" t="s">
        <v>31</v>
      </c>
      <c r="Q317" t="s">
        <v>31</v>
      </c>
    </row>
    <row r="318" spans="1:17" x14ac:dyDescent="0.2">
      <c r="A318">
        <v>10564</v>
      </c>
      <c r="B318" t="s">
        <v>82</v>
      </c>
      <c r="C318">
        <v>4</v>
      </c>
      <c r="D318" s="1">
        <v>35591</v>
      </c>
      <c r="E318" s="1">
        <v>35619</v>
      </c>
      <c r="F318" s="1">
        <v>35597</v>
      </c>
      <c r="G318">
        <v>3</v>
      </c>
      <c r="H318">
        <v>13.75</v>
      </c>
      <c r="I318" t="s">
        <v>83</v>
      </c>
      <c r="J318" t="s">
        <v>84</v>
      </c>
      <c r="K318" t="s">
        <v>85</v>
      </c>
      <c r="L318" t="s">
        <v>86</v>
      </c>
      <c r="M318">
        <v>87110</v>
      </c>
      <c r="N318" t="s">
        <v>87</v>
      </c>
      <c r="P318" t="s">
        <v>87</v>
      </c>
      <c r="Q318" t="s">
        <v>87</v>
      </c>
    </row>
    <row r="319" spans="1:17" x14ac:dyDescent="0.2">
      <c r="A319">
        <v>10565</v>
      </c>
      <c r="B319" t="s">
        <v>248</v>
      </c>
      <c r="C319">
        <v>8</v>
      </c>
      <c r="D319" s="1">
        <v>35592</v>
      </c>
      <c r="E319" s="1">
        <v>35620</v>
      </c>
      <c r="F319" s="1">
        <v>35599</v>
      </c>
      <c r="G319">
        <v>2</v>
      </c>
      <c r="H319">
        <v>7.15</v>
      </c>
      <c r="I319" t="s">
        <v>249</v>
      </c>
      <c r="J319" t="s">
        <v>250</v>
      </c>
      <c r="K319" t="s">
        <v>251</v>
      </c>
      <c r="L319" t="s">
        <v>252</v>
      </c>
      <c r="M319" t="s">
        <v>253</v>
      </c>
      <c r="N319" t="s">
        <v>254</v>
      </c>
      <c r="P319" t="s">
        <v>254</v>
      </c>
      <c r="Q319" t="s">
        <v>254</v>
      </c>
    </row>
    <row r="320" spans="1:17" x14ac:dyDescent="0.2">
      <c r="A320">
        <v>10566</v>
      </c>
      <c r="B320" t="s">
        <v>94</v>
      </c>
      <c r="C320">
        <v>9</v>
      </c>
      <c r="D320" s="1">
        <v>35593</v>
      </c>
      <c r="E320" s="1">
        <v>35621</v>
      </c>
      <c r="F320" s="1">
        <v>35599</v>
      </c>
      <c r="G320">
        <v>1</v>
      </c>
      <c r="H320">
        <v>88.4</v>
      </c>
      <c r="I320" t="s">
        <v>95</v>
      </c>
      <c r="J320">
        <v>24</v>
      </c>
      <c r="K320" t="s">
        <v>96</v>
      </c>
      <c r="L320" t="s">
        <v>97</v>
      </c>
      <c r="M320" t="s">
        <v>18</v>
      </c>
      <c r="N320">
        <v>67000</v>
      </c>
      <c r="O320" t="s">
        <v>19</v>
      </c>
      <c r="P320" t="s">
        <v>19</v>
      </c>
      <c r="Q320" t="s">
        <v>19</v>
      </c>
    </row>
    <row r="321" spans="1:17" x14ac:dyDescent="0.2">
      <c r="A321">
        <v>10567</v>
      </c>
      <c r="B321" t="s">
        <v>183</v>
      </c>
      <c r="C321">
        <v>1</v>
      </c>
      <c r="D321" s="1">
        <v>35593</v>
      </c>
      <c r="E321" s="1">
        <v>35621</v>
      </c>
      <c r="F321" s="1">
        <v>35598</v>
      </c>
      <c r="G321">
        <v>1</v>
      </c>
      <c r="H321">
        <v>33.97</v>
      </c>
      <c r="I321" t="s">
        <v>184</v>
      </c>
      <c r="J321" t="s">
        <v>185</v>
      </c>
      <c r="K321" t="s">
        <v>186</v>
      </c>
      <c r="L321" t="s">
        <v>187</v>
      </c>
      <c r="M321" t="s">
        <v>18</v>
      </c>
      <c r="N321" t="s">
        <v>188</v>
      </c>
      <c r="P321" t="s">
        <v>188</v>
      </c>
      <c r="Q321" t="s">
        <v>188</v>
      </c>
    </row>
    <row r="322" spans="1:17" x14ac:dyDescent="0.2">
      <c r="A322">
        <v>10568</v>
      </c>
      <c r="B322" t="s">
        <v>297</v>
      </c>
      <c r="C322">
        <v>3</v>
      </c>
      <c r="D322" s="1">
        <v>35594</v>
      </c>
      <c r="E322" s="1">
        <v>35622</v>
      </c>
      <c r="F322" s="1">
        <v>35620</v>
      </c>
      <c r="G322">
        <v>3</v>
      </c>
      <c r="H322">
        <v>6.54</v>
      </c>
      <c r="I322" t="s">
        <v>298</v>
      </c>
      <c r="J322" t="s">
        <v>299</v>
      </c>
      <c r="K322">
        <v>23</v>
      </c>
      <c r="L322" t="s">
        <v>300</v>
      </c>
      <c r="M322" t="s">
        <v>18</v>
      </c>
      <c r="N322">
        <v>8022</v>
      </c>
      <c r="O322" t="s">
        <v>154</v>
      </c>
      <c r="P322" t="s">
        <v>154</v>
      </c>
      <c r="Q322" t="s">
        <v>154</v>
      </c>
    </row>
    <row r="323" spans="1:17" x14ac:dyDescent="0.2">
      <c r="A323">
        <v>10569</v>
      </c>
      <c r="B323" t="s">
        <v>82</v>
      </c>
      <c r="C323">
        <v>5</v>
      </c>
      <c r="D323" s="1">
        <v>35597</v>
      </c>
      <c r="E323" s="1">
        <v>35625</v>
      </c>
      <c r="F323" s="1">
        <v>35622</v>
      </c>
      <c r="G323">
        <v>1</v>
      </c>
      <c r="H323">
        <v>58.98</v>
      </c>
      <c r="I323" t="s">
        <v>83</v>
      </c>
      <c r="J323" t="s">
        <v>84</v>
      </c>
      <c r="K323" t="s">
        <v>85</v>
      </c>
      <c r="L323" t="s">
        <v>86</v>
      </c>
      <c r="M323">
        <v>87110</v>
      </c>
      <c r="N323" t="s">
        <v>87</v>
      </c>
      <c r="P323" t="s">
        <v>87</v>
      </c>
      <c r="Q323" t="s">
        <v>87</v>
      </c>
    </row>
    <row r="324" spans="1:17" x14ac:dyDescent="0.2">
      <c r="A324">
        <v>10570</v>
      </c>
      <c r="B324" t="s">
        <v>248</v>
      </c>
      <c r="C324">
        <v>3</v>
      </c>
      <c r="D324" s="1">
        <v>35598</v>
      </c>
      <c r="E324" s="1">
        <v>35626</v>
      </c>
      <c r="F324" s="1">
        <v>35600</v>
      </c>
      <c r="G324">
        <v>3</v>
      </c>
      <c r="H324">
        <v>188.99</v>
      </c>
      <c r="I324" t="s">
        <v>249</v>
      </c>
      <c r="J324" t="s">
        <v>250</v>
      </c>
      <c r="K324" t="s">
        <v>251</v>
      </c>
      <c r="L324" t="s">
        <v>252</v>
      </c>
      <c r="M324" t="s">
        <v>253</v>
      </c>
      <c r="N324" t="s">
        <v>254</v>
      </c>
      <c r="P324" t="s">
        <v>254</v>
      </c>
      <c r="Q324" t="s">
        <v>254</v>
      </c>
    </row>
    <row r="325" spans="1:17" x14ac:dyDescent="0.2">
      <c r="A325">
        <v>10571</v>
      </c>
      <c r="B325" t="s">
        <v>63</v>
      </c>
      <c r="C325">
        <v>8</v>
      </c>
      <c r="D325" s="1">
        <v>35598</v>
      </c>
      <c r="E325" s="1">
        <v>35640</v>
      </c>
      <c r="F325" s="1">
        <v>35615</v>
      </c>
      <c r="G325">
        <v>3</v>
      </c>
      <c r="H325">
        <v>26.06</v>
      </c>
      <c r="I325" t="s">
        <v>64</v>
      </c>
      <c r="J325" t="s">
        <v>65</v>
      </c>
      <c r="K325" t="s">
        <v>66</v>
      </c>
      <c r="L325" t="s">
        <v>18</v>
      </c>
      <c r="M325">
        <v>8010</v>
      </c>
      <c r="N325" t="s">
        <v>67</v>
      </c>
      <c r="P325" t="s">
        <v>67</v>
      </c>
      <c r="Q325" t="s">
        <v>67</v>
      </c>
    </row>
    <row r="326" spans="1:17" x14ac:dyDescent="0.2">
      <c r="A326">
        <v>10572</v>
      </c>
      <c r="B326" t="s">
        <v>141</v>
      </c>
      <c r="C326">
        <v>3</v>
      </c>
      <c r="D326" s="1">
        <v>35599</v>
      </c>
      <c r="E326" s="1">
        <v>35627</v>
      </c>
      <c r="F326" s="1">
        <v>35606</v>
      </c>
      <c r="G326">
        <v>2</v>
      </c>
      <c r="H326">
        <v>116.43</v>
      </c>
      <c r="I326" t="s">
        <v>142</v>
      </c>
      <c r="J326" t="s">
        <v>143</v>
      </c>
      <c r="K326" t="s">
        <v>144</v>
      </c>
      <c r="L326" t="s">
        <v>18</v>
      </c>
      <c r="M326" t="s">
        <v>145</v>
      </c>
      <c r="N326" t="s">
        <v>93</v>
      </c>
      <c r="P326" t="s">
        <v>93</v>
      </c>
      <c r="Q326" t="s">
        <v>93</v>
      </c>
    </row>
    <row r="327" spans="1:17" x14ac:dyDescent="0.2">
      <c r="A327">
        <v>10573</v>
      </c>
      <c r="B327" t="s">
        <v>293</v>
      </c>
      <c r="C327">
        <v>7</v>
      </c>
      <c r="D327" s="1">
        <v>35600</v>
      </c>
      <c r="E327" s="1">
        <v>35628</v>
      </c>
      <c r="F327" s="1">
        <v>35601</v>
      </c>
      <c r="G327">
        <v>3</v>
      </c>
      <c r="H327">
        <v>84.84</v>
      </c>
      <c r="I327" t="s">
        <v>294</v>
      </c>
      <c r="J327" t="s">
        <v>295</v>
      </c>
      <c r="K327" t="s">
        <v>71</v>
      </c>
      <c r="L327" t="s">
        <v>18</v>
      </c>
      <c r="M327" s="2" t="s">
        <v>296</v>
      </c>
      <c r="N327" t="s">
        <v>73</v>
      </c>
      <c r="P327" t="s">
        <v>73</v>
      </c>
      <c r="Q327" t="s">
        <v>73</v>
      </c>
    </row>
    <row r="328" spans="1:17" x14ac:dyDescent="0.2">
      <c r="A328">
        <v>10574</v>
      </c>
      <c r="B328" t="s">
        <v>389</v>
      </c>
      <c r="C328">
        <v>4</v>
      </c>
      <c r="D328" s="1">
        <v>35600</v>
      </c>
      <c r="E328" s="1">
        <v>35628</v>
      </c>
      <c r="F328" s="1">
        <v>35611</v>
      </c>
      <c r="G328">
        <v>2</v>
      </c>
      <c r="H328">
        <v>37.6</v>
      </c>
      <c r="I328" t="s">
        <v>390</v>
      </c>
      <c r="J328" t="s">
        <v>391</v>
      </c>
      <c r="K328" t="s">
        <v>392</v>
      </c>
      <c r="L328" t="s">
        <v>116</v>
      </c>
      <c r="M328">
        <v>98034</v>
      </c>
      <c r="N328" t="s">
        <v>87</v>
      </c>
      <c r="P328" t="s">
        <v>87</v>
      </c>
      <c r="Q328" t="s">
        <v>87</v>
      </c>
    </row>
    <row r="329" spans="1:17" x14ac:dyDescent="0.2">
      <c r="A329">
        <v>10575</v>
      </c>
      <c r="B329" t="s">
        <v>136</v>
      </c>
      <c r="C329">
        <v>5</v>
      </c>
      <c r="D329" s="1">
        <v>35601</v>
      </c>
      <c r="E329" s="1">
        <v>35615</v>
      </c>
      <c r="F329" s="1">
        <v>35611</v>
      </c>
      <c r="G329">
        <v>1</v>
      </c>
      <c r="H329">
        <v>127.34</v>
      </c>
      <c r="I329" t="s">
        <v>137</v>
      </c>
      <c r="J329" t="s">
        <v>138</v>
      </c>
      <c r="K329" t="s">
        <v>139</v>
      </c>
      <c r="L329" t="s">
        <v>18</v>
      </c>
      <c r="M329" s="2" t="s">
        <v>140</v>
      </c>
      <c r="N329" t="s">
        <v>24</v>
      </c>
      <c r="P329" t="s">
        <v>24</v>
      </c>
      <c r="Q329" t="s">
        <v>24</v>
      </c>
    </row>
    <row r="330" spans="1:17" x14ac:dyDescent="0.2">
      <c r="A330">
        <v>10576</v>
      </c>
      <c r="B330" t="s">
        <v>132</v>
      </c>
      <c r="C330">
        <v>3</v>
      </c>
      <c r="D330" s="1">
        <v>35604</v>
      </c>
      <c r="E330" s="1">
        <v>35618</v>
      </c>
      <c r="F330" s="1">
        <v>35611</v>
      </c>
      <c r="G330">
        <v>3</v>
      </c>
      <c r="H330">
        <v>18.559999999999999</v>
      </c>
      <c r="I330" t="s">
        <v>133</v>
      </c>
      <c r="J330" t="s">
        <v>134</v>
      </c>
      <c r="K330" t="s">
        <v>71</v>
      </c>
      <c r="L330" t="s">
        <v>18</v>
      </c>
      <c r="M330" s="2" t="s">
        <v>135</v>
      </c>
      <c r="N330" t="s">
        <v>73</v>
      </c>
      <c r="P330" t="s">
        <v>73</v>
      </c>
      <c r="Q330" t="s">
        <v>73</v>
      </c>
    </row>
    <row r="331" spans="1:17" x14ac:dyDescent="0.2">
      <c r="A331">
        <v>10577</v>
      </c>
      <c r="B331" t="s">
        <v>389</v>
      </c>
      <c r="C331">
        <v>9</v>
      </c>
      <c r="D331" s="1">
        <v>35604</v>
      </c>
      <c r="E331" s="1">
        <v>35646</v>
      </c>
      <c r="F331" s="1">
        <v>35611</v>
      </c>
      <c r="G331">
        <v>2</v>
      </c>
      <c r="H331">
        <v>25.41</v>
      </c>
      <c r="I331" t="s">
        <v>390</v>
      </c>
      <c r="J331" t="s">
        <v>391</v>
      </c>
      <c r="K331" t="s">
        <v>392</v>
      </c>
      <c r="L331" t="s">
        <v>116</v>
      </c>
      <c r="M331">
        <v>98034</v>
      </c>
      <c r="N331" t="s">
        <v>87</v>
      </c>
      <c r="P331" t="s">
        <v>87</v>
      </c>
      <c r="Q331" t="s">
        <v>87</v>
      </c>
    </row>
    <row r="332" spans="1:17" x14ac:dyDescent="0.2">
      <c r="A332">
        <v>10578</v>
      </c>
      <c r="B332" t="s">
        <v>168</v>
      </c>
      <c r="C332">
        <v>4</v>
      </c>
      <c r="D332" s="1">
        <v>35605</v>
      </c>
      <c r="E332" s="1">
        <v>35633</v>
      </c>
      <c r="F332" s="1">
        <v>35636</v>
      </c>
      <c r="G332">
        <v>3</v>
      </c>
      <c r="H332">
        <v>29.6</v>
      </c>
      <c r="I332" t="s">
        <v>169</v>
      </c>
      <c r="J332" t="s">
        <v>170</v>
      </c>
      <c r="K332" t="s">
        <v>171</v>
      </c>
      <c r="L332" t="s">
        <v>18</v>
      </c>
      <c r="M332" t="s">
        <v>172</v>
      </c>
      <c r="N332" t="s">
        <v>173</v>
      </c>
      <c r="P332" t="s">
        <v>173</v>
      </c>
      <c r="Q332" t="s">
        <v>173</v>
      </c>
    </row>
    <row r="333" spans="1:17" x14ac:dyDescent="0.2">
      <c r="A333">
        <v>10579</v>
      </c>
      <c r="B333" t="s">
        <v>393</v>
      </c>
      <c r="C333">
        <v>1</v>
      </c>
      <c r="D333" s="1">
        <v>35606</v>
      </c>
      <c r="E333" s="1">
        <v>35634</v>
      </c>
      <c r="F333" s="1">
        <v>35615</v>
      </c>
      <c r="G333">
        <v>2</v>
      </c>
      <c r="H333">
        <v>13.73</v>
      </c>
      <c r="I333" t="s">
        <v>394</v>
      </c>
      <c r="J333" t="s">
        <v>395</v>
      </c>
      <c r="K333" t="s">
        <v>396</v>
      </c>
      <c r="L333" t="s">
        <v>397</v>
      </c>
      <c r="M333">
        <v>94117</v>
      </c>
      <c r="N333" t="s">
        <v>87</v>
      </c>
      <c r="P333" t="s">
        <v>87</v>
      </c>
      <c r="Q333" t="s">
        <v>87</v>
      </c>
    </row>
    <row r="334" spans="1:17" x14ac:dyDescent="0.2">
      <c r="A334">
        <v>10580</v>
      </c>
      <c r="B334" t="s">
        <v>74</v>
      </c>
      <c r="C334">
        <v>4</v>
      </c>
      <c r="D334" s="1">
        <v>35607</v>
      </c>
      <c r="E334" s="1">
        <v>35635</v>
      </c>
      <c r="F334" s="1">
        <v>35612</v>
      </c>
      <c r="G334">
        <v>3</v>
      </c>
      <c r="H334">
        <v>75.89</v>
      </c>
      <c r="I334" t="s">
        <v>75</v>
      </c>
      <c r="J334" t="s">
        <v>76</v>
      </c>
      <c r="K334" t="s">
        <v>77</v>
      </c>
      <c r="L334" t="s">
        <v>18</v>
      </c>
      <c r="M334">
        <v>50739</v>
      </c>
      <c r="N334" t="s">
        <v>24</v>
      </c>
      <c r="P334" t="s">
        <v>24</v>
      </c>
      <c r="Q334" t="s">
        <v>24</v>
      </c>
    </row>
    <row r="335" spans="1:17" x14ac:dyDescent="0.2">
      <c r="A335">
        <v>10581</v>
      </c>
      <c r="B335" t="s">
        <v>263</v>
      </c>
      <c r="C335">
        <v>3</v>
      </c>
      <c r="D335" s="1">
        <v>35607</v>
      </c>
      <c r="E335" s="1">
        <v>35635</v>
      </c>
      <c r="F335" s="1">
        <v>35613</v>
      </c>
      <c r="G335">
        <v>1</v>
      </c>
      <c r="H335">
        <v>3.01</v>
      </c>
      <c r="I335" t="s">
        <v>264</v>
      </c>
      <c r="J335" t="s">
        <v>265</v>
      </c>
      <c r="K335">
        <v>92</v>
      </c>
      <c r="L335" t="s">
        <v>177</v>
      </c>
      <c r="M335" t="s">
        <v>55</v>
      </c>
      <c r="N335" t="s">
        <v>266</v>
      </c>
      <c r="O335" t="s">
        <v>31</v>
      </c>
      <c r="P335" t="s">
        <v>31</v>
      </c>
      <c r="Q335" t="s">
        <v>31</v>
      </c>
    </row>
    <row r="336" spans="1:17" x14ac:dyDescent="0.2">
      <c r="A336">
        <v>10582</v>
      </c>
      <c r="B336" t="s">
        <v>369</v>
      </c>
      <c r="C336">
        <v>3</v>
      </c>
      <c r="D336" s="1">
        <v>35608</v>
      </c>
      <c r="E336" s="1">
        <v>35636</v>
      </c>
      <c r="F336" s="1">
        <v>35625</v>
      </c>
      <c r="G336">
        <v>2</v>
      </c>
      <c r="H336">
        <v>27.71</v>
      </c>
      <c r="I336" t="s">
        <v>370</v>
      </c>
      <c r="J336" t="s">
        <v>371</v>
      </c>
      <c r="K336" t="s">
        <v>372</v>
      </c>
      <c r="L336" t="s">
        <v>18</v>
      </c>
      <c r="M336">
        <v>68306</v>
      </c>
      <c r="N336" t="s">
        <v>24</v>
      </c>
      <c r="P336" t="s">
        <v>24</v>
      </c>
      <c r="Q336" t="s">
        <v>24</v>
      </c>
    </row>
    <row r="337" spans="1:17" x14ac:dyDescent="0.2">
      <c r="A337">
        <v>10583</v>
      </c>
      <c r="B337" t="s">
        <v>98</v>
      </c>
      <c r="C337">
        <v>2</v>
      </c>
      <c r="D337" s="1">
        <v>35611</v>
      </c>
      <c r="E337" s="1">
        <v>35639</v>
      </c>
      <c r="F337" s="1">
        <v>35615</v>
      </c>
      <c r="G337">
        <v>2</v>
      </c>
      <c r="H337">
        <v>7.28</v>
      </c>
      <c r="I337" t="s">
        <v>99</v>
      </c>
      <c r="J337" t="s">
        <v>100</v>
      </c>
      <c r="K337" t="s">
        <v>101</v>
      </c>
      <c r="L337" t="s">
        <v>18</v>
      </c>
      <c r="M337">
        <v>90110</v>
      </c>
      <c r="N337" t="s">
        <v>102</v>
      </c>
      <c r="P337" t="s">
        <v>102</v>
      </c>
      <c r="Q337" t="s">
        <v>102</v>
      </c>
    </row>
    <row r="338" spans="1:17" x14ac:dyDescent="0.2">
      <c r="A338">
        <v>10584</v>
      </c>
      <c r="B338" t="s">
        <v>94</v>
      </c>
      <c r="C338">
        <v>4</v>
      </c>
      <c r="D338" s="1">
        <v>35611</v>
      </c>
      <c r="E338" s="1">
        <v>35639</v>
      </c>
      <c r="F338" s="1">
        <v>35615</v>
      </c>
      <c r="G338">
        <v>1</v>
      </c>
      <c r="H338">
        <v>59.14</v>
      </c>
      <c r="I338" t="s">
        <v>95</v>
      </c>
      <c r="J338">
        <v>24</v>
      </c>
      <c r="K338" t="s">
        <v>96</v>
      </c>
      <c r="L338" t="s">
        <v>97</v>
      </c>
      <c r="M338" t="s">
        <v>18</v>
      </c>
      <c r="N338">
        <v>67000</v>
      </c>
      <c r="O338" t="s">
        <v>19</v>
      </c>
      <c r="P338" t="s">
        <v>19</v>
      </c>
      <c r="Q338" t="s">
        <v>19</v>
      </c>
    </row>
    <row r="339" spans="1:17" x14ac:dyDescent="0.2">
      <c r="A339">
        <v>10585</v>
      </c>
      <c r="B339" t="s">
        <v>51</v>
      </c>
      <c r="C339">
        <v>7</v>
      </c>
      <c r="D339" s="1">
        <v>35612</v>
      </c>
      <c r="E339" s="1">
        <v>35640</v>
      </c>
      <c r="F339" s="1">
        <v>35621</v>
      </c>
      <c r="G339">
        <v>1</v>
      </c>
      <c r="H339">
        <v>13.41</v>
      </c>
      <c r="I339" t="s">
        <v>52</v>
      </c>
      <c r="J339" t="s">
        <v>53</v>
      </c>
      <c r="K339">
        <v>12</v>
      </c>
      <c r="L339" t="s">
        <v>54</v>
      </c>
      <c r="M339" t="s">
        <v>55</v>
      </c>
      <c r="N339" t="s">
        <v>56</v>
      </c>
      <c r="O339" t="s">
        <v>31</v>
      </c>
      <c r="P339" t="s">
        <v>31</v>
      </c>
      <c r="Q339" t="s">
        <v>31</v>
      </c>
    </row>
    <row r="340" spans="1:17" x14ac:dyDescent="0.2">
      <c r="A340">
        <v>10586</v>
      </c>
      <c r="B340" t="s">
        <v>164</v>
      </c>
      <c r="C340">
        <v>9</v>
      </c>
      <c r="D340" s="1">
        <v>35613</v>
      </c>
      <c r="E340" s="1">
        <v>35641</v>
      </c>
      <c r="F340" s="1">
        <v>35620</v>
      </c>
      <c r="G340">
        <v>1</v>
      </c>
      <c r="H340">
        <v>0.48</v>
      </c>
      <c r="I340" t="s">
        <v>165</v>
      </c>
      <c r="J340" t="s">
        <v>166</v>
      </c>
      <c r="K340" t="s">
        <v>167</v>
      </c>
      <c r="L340" t="s">
        <v>18</v>
      </c>
      <c r="M340">
        <v>42100</v>
      </c>
      <c r="N340" t="s">
        <v>131</v>
      </c>
      <c r="P340" t="s">
        <v>131</v>
      </c>
      <c r="Q340" t="s">
        <v>131</v>
      </c>
    </row>
    <row r="341" spans="1:17" x14ac:dyDescent="0.2">
      <c r="A341">
        <v>10587</v>
      </c>
      <c r="B341" t="s">
        <v>78</v>
      </c>
      <c r="C341">
        <v>1</v>
      </c>
      <c r="D341" s="1">
        <v>35613</v>
      </c>
      <c r="E341" s="1">
        <v>35641</v>
      </c>
      <c r="F341" s="1">
        <v>35620</v>
      </c>
      <c r="G341">
        <v>1</v>
      </c>
      <c r="H341">
        <v>62.52</v>
      </c>
      <c r="I341" t="s">
        <v>79</v>
      </c>
      <c r="J341" t="s">
        <v>80</v>
      </c>
      <c r="K341">
        <v>12</v>
      </c>
      <c r="L341" t="s">
        <v>28</v>
      </c>
      <c r="M341" t="s">
        <v>29</v>
      </c>
      <c r="N341" t="s">
        <v>81</v>
      </c>
      <c r="O341" t="s">
        <v>31</v>
      </c>
      <c r="P341" t="s">
        <v>31</v>
      </c>
      <c r="Q341" t="s">
        <v>31</v>
      </c>
    </row>
    <row r="342" spans="1:17" x14ac:dyDescent="0.2">
      <c r="A342">
        <v>10588</v>
      </c>
      <c r="B342" t="s">
        <v>122</v>
      </c>
      <c r="C342">
        <v>2</v>
      </c>
      <c r="D342" s="1">
        <v>35614</v>
      </c>
      <c r="E342" s="1">
        <v>35642</v>
      </c>
      <c r="F342" s="1">
        <v>35621</v>
      </c>
      <c r="G342">
        <v>3</v>
      </c>
      <c r="H342">
        <v>194.67</v>
      </c>
      <c r="I342" t="s">
        <v>123</v>
      </c>
      <c r="J342" t="s">
        <v>124</v>
      </c>
      <c r="K342" t="s">
        <v>125</v>
      </c>
      <c r="L342" t="s">
        <v>18</v>
      </c>
      <c r="M342" s="2" t="s">
        <v>126</v>
      </c>
      <c r="N342" t="s">
        <v>24</v>
      </c>
      <c r="P342" t="s">
        <v>24</v>
      </c>
      <c r="Q342" t="s">
        <v>24</v>
      </c>
    </row>
    <row r="343" spans="1:17" x14ac:dyDescent="0.2">
      <c r="A343">
        <v>10589</v>
      </c>
      <c r="B343" t="s">
        <v>380</v>
      </c>
      <c r="C343">
        <v>8</v>
      </c>
      <c r="D343" s="1">
        <v>35615</v>
      </c>
      <c r="E343" s="1">
        <v>35643</v>
      </c>
      <c r="F343" s="1">
        <v>35625</v>
      </c>
      <c r="G343">
        <v>2</v>
      </c>
      <c r="H343">
        <v>4.42</v>
      </c>
      <c r="I343" t="s">
        <v>381</v>
      </c>
      <c r="J343" t="s">
        <v>382</v>
      </c>
      <c r="K343" t="s">
        <v>383</v>
      </c>
      <c r="L343" t="s">
        <v>206</v>
      </c>
      <c r="M343">
        <v>97403</v>
      </c>
      <c r="N343" t="s">
        <v>87</v>
      </c>
      <c r="P343" t="s">
        <v>87</v>
      </c>
      <c r="Q343" t="s">
        <v>87</v>
      </c>
    </row>
    <row r="344" spans="1:17" x14ac:dyDescent="0.2">
      <c r="A344">
        <v>10590</v>
      </c>
      <c r="B344" t="s">
        <v>248</v>
      </c>
      <c r="C344">
        <v>4</v>
      </c>
      <c r="D344" s="1">
        <v>35618</v>
      </c>
      <c r="E344" s="1">
        <v>35646</v>
      </c>
      <c r="F344" s="1">
        <v>35625</v>
      </c>
      <c r="G344">
        <v>3</v>
      </c>
      <c r="H344">
        <v>44.77</v>
      </c>
      <c r="I344" t="s">
        <v>249</v>
      </c>
      <c r="J344" t="s">
        <v>250</v>
      </c>
      <c r="K344" t="s">
        <v>251</v>
      </c>
      <c r="L344" t="s">
        <v>252</v>
      </c>
      <c r="M344" t="s">
        <v>253</v>
      </c>
      <c r="N344" t="s">
        <v>254</v>
      </c>
      <c r="P344" t="s">
        <v>254</v>
      </c>
      <c r="Q344" t="s">
        <v>254</v>
      </c>
    </row>
    <row r="345" spans="1:17" x14ac:dyDescent="0.2">
      <c r="A345">
        <v>10591</v>
      </c>
      <c r="B345" t="s">
        <v>301</v>
      </c>
      <c r="C345">
        <v>1</v>
      </c>
      <c r="D345" s="1">
        <v>35618</v>
      </c>
      <c r="E345" s="1">
        <v>35632</v>
      </c>
      <c r="F345" s="1">
        <v>35627</v>
      </c>
      <c r="G345">
        <v>1</v>
      </c>
      <c r="H345">
        <v>55.92</v>
      </c>
      <c r="I345" t="s">
        <v>302</v>
      </c>
      <c r="J345" t="s">
        <v>303</v>
      </c>
      <c r="K345" t="s">
        <v>304</v>
      </c>
      <c r="L345" t="s">
        <v>18</v>
      </c>
      <c r="M345">
        <v>8200</v>
      </c>
      <c r="N345" t="s">
        <v>262</v>
      </c>
      <c r="P345" t="s">
        <v>262</v>
      </c>
      <c r="Q345" t="s">
        <v>262</v>
      </c>
    </row>
    <row r="346" spans="1:17" x14ac:dyDescent="0.2">
      <c r="A346">
        <v>10592</v>
      </c>
      <c r="B346" t="s">
        <v>146</v>
      </c>
      <c r="C346">
        <v>3</v>
      </c>
      <c r="D346" s="1">
        <v>35619</v>
      </c>
      <c r="E346" s="1">
        <v>35647</v>
      </c>
      <c r="F346" s="1">
        <v>35627</v>
      </c>
      <c r="G346">
        <v>1</v>
      </c>
      <c r="H346">
        <v>32.1</v>
      </c>
      <c r="I346" t="s">
        <v>147</v>
      </c>
      <c r="J346" t="s">
        <v>148</v>
      </c>
      <c r="K346" t="s">
        <v>149</v>
      </c>
      <c r="L346" t="s">
        <v>18</v>
      </c>
      <c r="M346">
        <v>60528</v>
      </c>
      <c r="N346" t="s">
        <v>24</v>
      </c>
      <c r="P346" t="s">
        <v>24</v>
      </c>
      <c r="Q346" t="s">
        <v>24</v>
      </c>
    </row>
    <row r="347" spans="1:17" x14ac:dyDescent="0.2">
      <c r="A347">
        <v>10593</v>
      </c>
      <c r="B347" t="s">
        <v>146</v>
      </c>
      <c r="C347">
        <v>7</v>
      </c>
      <c r="D347" s="1">
        <v>35620</v>
      </c>
      <c r="E347" s="1">
        <v>35648</v>
      </c>
      <c r="F347" s="1">
        <v>35655</v>
      </c>
      <c r="G347">
        <v>2</v>
      </c>
      <c r="H347">
        <v>174.2</v>
      </c>
      <c r="I347" t="s">
        <v>147</v>
      </c>
      <c r="J347" t="s">
        <v>148</v>
      </c>
      <c r="K347" t="s">
        <v>149</v>
      </c>
      <c r="L347" t="s">
        <v>18</v>
      </c>
      <c r="M347">
        <v>60528</v>
      </c>
      <c r="N347" t="s">
        <v>24</v>
      </c>
      <c r="P347" t="s">
        <v>24</v>
      </c>
      <c r="Q347" t="s">
        <v>24</v>
      </c>
    </row>
    <row r="348" spans="1:17" x14ac:dyDescent="0.2">
      <c r="A348">
        <v>10594</v>
      </c>
      <c r="B348" t="s">
        <v>197</v>
      </c>
      <c r="C348">
        <v>3</v>
      </c>
      <c r="D348" s="1">
        <v>35620</v>
      </c>
      <c r="E348" s="1">
        <v>35648</v>
      </c>
      <c r="F348" s="1">
        <v>35627</v>
      </c>
      <c r="G348">
        <v>2</v>
      </c>
      <c r="H348">
        <v>5.24</v>
      </c>
      <c r="I348" t="s">
        <v>198</v>
      </c>
      <c r="J348" t="s">
        <v>199</v>
      </c>
      <c r="K348" t="s">
        <v>200</v>
      </c>
      <c r="L348" t="s">
        <v>201</v>
      </c>
      <c r="M348">
        <v>99508</v>
      </c>
      <c r="N348" t="s">
        <v>87</v>
      </c>
      <c r="P348" t="s">
        <v>87</v>
      </c>
      <c r="Q348" t="s">
        <v>87</v>
      </c>
    </row>
    <row r="349" spans="1:17" x14ac:dyDescent="0.2">
      <c r="A349">
        <v>10595</v>
      </c>
      <c r="B349" t="s">
        <v>63</v>
      </c>
      <c r="C349">
        <v>2</v>
      </c>
      <c r="D349" s="1">
        <v>35621</v>
      </c>
      <c r="E349" s="1">
        <v>35649</v>
      </c>
      <c r="F349" s="1">
        <v>35625</v>
      </c>
      <c r="G349">
        <v>1</v>
      </c>
      <c r="H349">
        <v>96.78</v>
      </c>
      <c r="I349" t="s">
        <v>64</v>
      </c>
      <c r="J349" t="s">
        <v>65</v>
      </c>
      <c r="K349" t="s">
        <v>66</v>
      </c>
      <c r="L349" t="s">
        <v>18</v>
      </c>
      <c r="M349">
        <v>8010</v>
      </c>
      <c r="N349" t="s">
        <v>67</v>
      </c>
      <c r="P349" t="s">
        <v>67</v>
      </c>
      <c r="Q349" t="s">
        <v>67</v>
      </c>
    </row>
    <row r="350" spans="1:17" x14ac:dyDescent="0.2">
      <c r="A350">
        <v>10596</v>
      </c>
      <c r="B350" t="s">
        <v>112</v>
      </c>
      <c r="C350">
        <v>8</v>
      </c>
      <c r="D350" s="1">
        <v>35622</v>
      </c>
      <c r="E350" s="1">
        <v>35650</v>
      </c>
      <c r="F350" s="1">
        <v>35654</v>
      </c>
      <c r="G350">
        <v>1</v>
      </c>
      <c r="H350">
        <v>16.34</v>
      </c>
      <c r="I350" t="s">
        <v>113</v>
      </c>
      <c r="J350" t="s">
        <v>114</v>
      </c>
      <c r="K350" t="s">
        <v>115</v>
      </c>
      <c r="L350" t="s">
        <v>116</v>
      </c>
      <c r="M350">
        <v>98124</v>
      </c>
      <c r="N350" t="s">
        <v>87</v>
      </c>
      <c r="P350" t="s">
        <v>87</v>
      </c>
      <c r="Q350" t="s">
        <v>87</v>
      </c>
    </row>
    <row r="351" spans="1:17" x14ac:dyDescent="0.2">
      <c r="A351">
        <v>10597</v>
      </c>
      <c r="B351" t="s">
        <v>271</v>
      </c>
      <c r="C351">
        <v>7</v>
      </c>
      <c r="D351" s="1">
        <v>35622</v>
      </c>
      <c r="E351" s="1">
        <v>35650</v>
      </c>
      <c r="F351" s="1">
        <v>35629</v>
      </c>
      <c r="G351">
        <v>3</v>
      </c>
      <c r="H351">
        <v>35.119999999999997</v>
      </c>
      <c r="I351" t="s">
        <v>272</v>
      </c>
      <c r="J351" t="s">
        <v>273</v>
      </c>
      <c r="K351" t="s">
        <v>274</v>
      </c>
      <c r="L351" t="s">
        <v>18</v>
      </c>
      <c r="M351">
        <v>5020</v>
      </c>
      <c r="N351" t="s">
        <v>67</v>
      </c>
      <c r="P351" t="s">
        <v>67</v>
      </c>
      <c r="Q351" t="s">
        <v>67</v>
      </c>
    </row>
    <row r="352" spans="1:17" x14ac:dyDescent="0.2">
      <c r="A352">
        <v>10598</v>
      </c>
      <c r="B352" t="s">
        <v>82</v>
      </c>
      <c r="C352">
        <v>1</v>
      </c>
      <c r="D352" s="1">
        <v>35625</v>
      </c>
      <c r="E352" s="1">
        <v>35653</v>
      </c>
      <c r="F352" s="1">
        <v>35629</v>
      </c>
      <c r="G352">
        <v>3</v>
      </c>
      <c r="H352">
        <v>44.42</v>
      </c>
      <c r="I352" t="s">
        <v>83</v>
      </c>
      <c r="J352" t="s">
        <v>84</v>
      </c>
      <c r="K352" t="s">
        <v>85</v>
      </c>
      <c r="L352" t="s">
        <v>86</v>
      </c>
      <c r="M352">
        <v>87110</v>
      </c>
      <c r="N352" t="s">
        <v>87</v>
      </c>
      <c r="P352" t="s">
        <v>87</v>
      </c>
      <c r="Q352" t="s">
        <v>87</v>
      </c>
    </row>
    <row r="353" spans="1:17" x14ac:dyDescent="0.2">
      <c r="A353">
        <v>10599</v>
      </c>
      <c r="B353" t="s">
        <v>168</v>
      </c>
      <c r="C353">
        <v>6</v>
      </c>
      <c r="D353" s="1">
        <v>35626</v>
      </c>
      <c r="E353" s="1">
        <v>35668</v>
      </c>
      <c r="F353" s="1">
        <v>35632</v>
      </c>
      <c r="G353">
        <v>3</v>
      </c>
      <c r="H353">
        <v>29.98</v>
      </c>
      <c r="I353" t="s">
        <v>169</v>
      </c>
      <c r="J353" t="s">
        <v>170</v>
      </c>
      <c r="K353" t="s">
        <v>171</v>
      </c>
      <c r="L353" t="s">
        <v>18</v>
      </c>
      <c r="M353" t="s">
        <v>172</v>
      </c>
      <c r="N353" t="s">
        <v>173</v>
      </c>
      <c r="P353" t="s">
        <v>173</v>
      </c>
      <c r="Q353" t="s">
        <v>173</v>
      </c>
    </row>
    <row r="354" spans="1:17" x14ac:dyDescent="0.2">
      <c r="A354">
        <v>10600</v>
      </c>
      <c r="B354" t="s">
        <v>315</v>
      </c>
      <c r="C354">
        <v>4</v>
      </c>
      <c r="D354" s="1">
        <v>35627</v>
      </c>
      <c r="E354" s="1">
        <v>35655</v>
      </c>
      <c r="F354" s="1">
        <v>35632</v>
      </c>
      <c r="G354">
        <v>1</v>
      </c>
      <c r="H354">
        <v>45.13</v>
      </c>
      <c r="I354" t="s">
        <v>316</v>
      </c>
      <c r="J354" t="s">
        <v>317</v>
      </c>
      <c r="K354" t="s">
        <v>318</v>
      </c>
      <c r="L354" t="s">
        <v>206</v>
      </c>
      <c r="M354">
        <v>97827</v>
      </c>
      <c r="N354" t="s">
        <v>87</v>
      </c>
      <c r="P354" t="s">
        <v>87</v>
      </c>
      <c r="Q354" t="s">
        <v>87</v>
      </c>
    </row>
    <row r="355" spans="1:17" x14ac:dyDescent="0.2">
      <c r="A355">
        <v>10601</v>
      </c>
      <c r="B355" t="s">
        <v>57</v>
      </c>
      <c r="C355">
        <v>7</v>
      </c>
      <c r="D355" s="1">
        <v>35627</v>
      </c>
      <c r="E355" s="1">
        <v>35669</v>
      </c>
      <c r="F355" s="1">
        <v>35633</v>
      </c>
      <c r="G355">
        <v>1</v>
      </c>
      <c r="H355">
        <v>58.3</v>
      </c>
      <c r="I355" t="s">
        <v>58</v>
      </c>
      <c r="J355" t="s">
        <v>59</v>
      </c>
      <c r="K355" t="s">
        <v>60</v>
      </c>
      <c r="L355" t="s">
        <v>61</v>
      </c>
      <c r="M355">
        <v>5022</v>
      </c>
      <c r="N355" t="s">
        <v>62</v>
      </c>
      <c r="P355" t="s">
        <v>62</v>
      </c>
      <c r="Q355" t="s">
        <v>62</v>
      </c>
    </row>
    <row r="356" spans="1:17" x14ac:dyDescent="0.2">
      <c r="A356">
        <v>10602</v>
      </c>
      <c r="B356" t="s">
        <v>301</v>
      </c>
      <c r="C356">
        <v>8</v>
      </c>
      <c r="D356" s="1">
        <v>35628</v>
      </c>
      <c r="E356" s="1">
        <v>35656</v>
      </c>
      <c r="F356" s="1">
        <v>35633</v>
      </c>
      <c r="G356">
        <v>2</v>
      </c>
      <c r="H356">
        <v>2.92</v>
      </c>
      <c r="I356" t="s">
        <v>302</v>
      </c>
      <c r="J356" t="s">
        <v>303</v>
      </c>
      <c r="K356" t="s">
        <v>304</v>
      </c>
      <c r="L356" t="s">
        <v>18</v>
      </c>
      <c r="M356">
        <v>8200</v>
      </c>
      <c r="N356" t="s">
        <v>262</v>
      </c>
      <c r="P356" t="s">
        <v>262</v>
      </c>
      <c r="Q356" t="s">
        <v>262</v>
      </c>
    </row>
    <row r="357" spans="1:17" x14ac:dyDescent="0.2">
      <c r="A357">
        <v>10603</v>
      </c>
      <c r="B357" t="s">
        <v>231</v>
      </c>
      <c r="C357">
        <v>8</v>
      </c>
      <c r="D357" s="1">
        <v>35629</v>
      </c>
      <c r="E357" s="1">
        <v>35657</v>
      </c>
      <c r="F357" s="1">
        <v>35650</v>
      </c>
      <c r="G357">
        <v>2</v>
      </c>
      <c r="H357">
        <v>48.77</v>
      </c>
      <c r="I357" t="s">
        <v>232</v>
      </c>
      <c r="J357" t="s">
        <v>233</v>
      </c>
      <c r="K357" t="s">
        <v>234</v>
      </c>
      <c r="L357" t="s">
        <v>235</v>
      </c>
      <c r="M357">
        <v>83720</v>
      </c>
      <c r="N357" t="s">
        <v>87</v>
      </c>
      <c r="P357" t="s">
        <v>87</v>
      </c>
      <c r="Q357" t="s">
        <v>87</v>
      </c>
    </row>
    <row r="358" spans="1:17" x14ac:dyDescent="0.2">
      <c r="A358">
        <v>10604</v>
      </c>
      <c r="B358" t="s">
        <v>239</v>
      </c>
      <c r="C358">
        <v>1</v>
      </c>
      <c r="D358" s="1">
        <v>35629</v>
      </c>
      <c r="E358" s="1">
        <v>35657</v>
      </c>
      <c r="F358" s="1">
        <v>35640</v>
      </c>
      <c r="G358">
        <v>1</v>
      </c>
      <c r="H358">
        <v>7.46</v>
      </c>
      <c r="I358" t="s">
        <v>240</v>
      </c>
      <c r="J358" t="s">
        <v>241</v>
      </c>
      <c r="K358" t="s">
        <v>242</v>
      </c>
      <c r="L358" t="s">
        <v>18</v>
      </c>
      <c r="M358">
        <v>1675</v>
      </c>
      <c r="N358" t="s">
        <v>243</v>
      </c>
      <c r="P358" t="s">
        <v>243</v>
      </c>
      <c r="Q358" t="s">
        <v>243</v>
      </c>
    </row>
    <row r="359" spans="1:17" x14ac:dyDescent="0.2">
      <c r="A359">
        <v>10605</v>
      </c>
      <c r="B359" t="s">
        <v>248</v>
      </c>
      <c r="C359">
        <v>1</v>
      </c>
      <c r="D359" s="1">
        <v>35632</v>
      </c>
      <c r="E359" s="1">
        <v>35660</v>
      </c>
      <c r="F359" s="1">
        <v>35640</v>
      </c>
      <c r="G359">
        <v>2</v>
      </c>
      <c r="H359">
        <v>379.13</v>
      </c>
      <c r="I359" t="s">
        <v>249</v>
      </c>
      <c r="J359" t="s">
        <v>250</v>
      </c>
      <c r="K359" t="s">
        <v>251</v>
      </c>
      <c r="L359" t="s">
        <v>252</v>
      </c>
      <c r="M359" t="s">
        <v>253</v>
      </c>
      <c r="N359" t="s">
        <v>254</v>
      </c>
      <c r="P359" t="s">
        <v>254</v>
      </c>
      <c r="Q359" t="s">
        <v>254</v>
      </c>
    </row>
    <row r="360" spans="1:17" x14ac:dyDescent="0.2">
      <c r="A360">
        <v>10606</v>
      </c>
      <c r="B360" t="s">
        <v>179</v>
      </c>
      <c r="C360">
        <v>4</v>
      </c>
      <c r="D360" s="1">
        <v>35633</v>
      </c>
      <c r="E360" s="1">
        <v>35661</v>
      </c>
      <c r="F360" s="1">
        <v>35642</v>
      </c>
      <c r="G360">
        <v>3</v>
      </c>
      <c r="H360">
        <v>79.400000000000006</v>
      </c>
      <c r="I360" t="s">
        <v>180</v>
      </c>
      <c r="J360" t="s">
        <v>181</v>
      </c>
      <c r="K360">
        <v>414</v>
      </c>
      <c r="L360" t="s">
        <v>177</v>
      </c>
      <c r="M360" t="s">
        <v>55</v>
      </c>
      <c r="N360" t="s">
        <v>182</v>
      </c>
      <c r="O360" t="s">
        <v>31</v>
      </c>
      <c r="P360" t="s">
        <v>31</v>
      </c>
      <c r="Q360" t="s">
        <v>31</v>
      </c>
    </row>
    <row r="361" spans="1:17" x14ac:dyDescent="0.2">
      <c r="A361">
        <v>10607</v>
      </c>
      <c r="B361" t="s">
        <v>231</v>
      </c>
      <c r="C361">
        <v>5</v>
      </c>
      <c r="D361" s="1">
        <v>35633</v>
      </c>
      <c r="E361" s="1">
        <v>35661</v>
      </c>
      <c r="F361" s="1">
        <v>35636</v>
      </c>
      <c r="G361">
        <v>1</v>
      </c>
      <c r="H361">
        <v>200.24</v>
      </c>
      <c r="I361" t="s">
        <v>232</v>
      </c>
      <c r="J361" t="s">
        <v>233</v>
      </c>
      <c r="K361" t="s">
        <v>234</v>
      </c>
      <c r="L361" t="s">
        <v>235</v>
      </c>
      <c r="M361">
        <v>83720</v>
      </c>
      <c r="N361" t="s">
        <v>87</v>
      </c>
      <c r="P361" t="s">
        <v>87</v>
      </c>
      <c r="Q361" t="s">
        <v>87</v>
      </c>
    </row>
    <row r="362" spans="1:17" x14ac:dyDescent="0.2">
      <c r="A362">
        <v>10608</v>
      </c>
      <c r="B362" t="s">
        <v>20</v>
      </c>
      <c r="C362">
        <v>4</v>
      </c>
      <c r="D362" s="1">
        <v>35634</v>
      </c>
      <c r="E362" s="1">
        <v>35662</v>
      </c>
      <c r="F362" s="1">
        <v>35643</v>
      </c>
      <c r="G362">
        <v>2</v>
      </c>
      <c r="H362">
        <v>27.79</v>
      </c>
      <c r="I362" t="s">
        <v>21</v>
      </c>
      <c r="J362" t="s">
        <v>22</v>
      </c>
      <c r="K362" t="s">
        <v>23</v>
      </c>
      <c r="L362" t="s">
        <v>18</v>
      </c>
      <c r="M362">
        <v>44087</v>
      </c>
      <c r="N362" t="s">
        <v>24</v>
      </c>
      <c r="P362" t="s">
        <v>24</v>
      </c>
      <c r="Q362" t="s">
        <v>24</v>
      </c>
    </row>
    <row r="363" spans="1:17" x14ac:dyDescent="0.2">
      <c r="A363">
        <v>10609</v>
      </c>
      <c r="B363" t="s">
        <v>214</v>
      </c>
      <c r="C363">
        <v>7</v>
      </c>
      <c r="D363" s="1">
        <v>35635</v>
      </c>
      <c r="E363" s="1">
        <v>35663</v>
      </c>
      <c r="F363" s="1">
        <v>35641</v>
      </c>
      <c r="G363">
        <v>2</v>
      </c>
      <c r="H363">
        <v>1.85</v>
      </c>
      <c r="I363" t="s">
        <v>215</v>
      </c>
      <c r="J363">
        <v>67</v>
      </c>
      <c r="K363" t="s">
        <v>216</v>
      </c>
      <c r="L363" t="s">
        <v>217</v>
      </c>
      <c r="M363" t="s">
        <v>18</v>
      </c>
      <c r="N363">
        <v>44000</v>
      </c>
      <c r="O363" t="s">
        <v>19</v>
      </c>
      <c r="P363" t="s">
        <v>19</v>
      </c>
      <c r="Q363" t="s">
        <v>19</v>
      </c>
    </row>
    <row r="364" spans="1:17" x14ac:dyDescent="0.2">
      <c r="A364">
        <v>10610</v>
      </c>
      <c r="B364" t="s">
        <v>267</v>
      </c>
      <c r="C364">
        <v>8</v>
      </c>
      <c r="D364" s="1">
        <v>35636</v>
      </c>
      <c r="E364" s="1">
        <v>35664</v>
      </c>
      <c r="F364" s="1">
        <v>35648</v>
      </c>
      <c r="G364">
        <v>1</v>
      </c>
      <c r="H364">
        <v>26.78</v>
      </c>
      <c r="I364" t="s">
        <v>268</v>
      </c>
      <c r="J364" t="s">
        <v>269</v>
      </c>
      <c r="K364" t="s">
        <v>270</v>
      </c>
      <c r="L364" t="s">
        <v>18</v>
      </c>
      <c r="M364">
        <v>31000</v>
      </c>
      <c r="N364" t="s">
        <v>19</v>
      </c>
      <c r="P364" t="s">
        <v>19</v>
      </c>
      <c r="Q364" t="s">
        <v>19</v>
      </c>
    </row>
    <row r="365" spans="1:17" x14ac:dyDescent="0.2">
      <c r="A365">
        <v>10611</v>
      </c>
      <c r="B365" t="s">
        <v>309</v>
      </c>
      <c r="C365">
        <v>6</v>
      </c>
      <c r="D365" s="1">
        <v>35636</v>
      </c>
      <c r="E365" s="1">
        <v>35664</v>
      </c>
      <c r="F365" s="1">
        <v>35643</v>
      </c>
      <c r="G365">
        <v>2</v>
      </c>
      <c r="H365">
        <v>80.650000000000006</v>
      </c>
      <c r="I365" t="s">
        <v>310</v>
      </c>
      <c r="J365" t="s">
        <v>311</v>
      </c>
      <c r="K365" t="s">
        <v>312</v>
      </c>
      <c r="L365" t="s">
        <v>18</v>
      </c>
      <c r="M365" t="s">
        <v>313</v>
      </c>
      <c r="N365" t="s">
        <v>314</v>
      </c>
      <c r="P365" t="s">
        <v>314</v>
      </c>
      <c r="Q365" t="s">
        <v>314</v>
      </c>
    </row>
    <row r="366" spans="1:17" x14ac:dyDescent="0.2">
      <c r="A366">
        <v>10612</v>
      </c>
      <c r="B366" t="s">
        <v>231</v>
      </c>
      <c r="C366">
        <v>1</v>
      </c>
      <c r="D366" s="1">
        <v>35639</v>
      </c>
      <c r="E366" s="1">
        <v>35667</v>
      </c>
      <c r="F366" s="1">
        <v>35643</v>
      </c>
      <c r="G366">
        <v>2</v>
      </c>
      <c r="H366">
        <v>544.08000000000004</v>
      </c>
      <c r="I366" t="s">
        <v>232</v>
      </c>
      <c r="J366" t="s">
        <v>233</v>
      </c>
      <c r="K366" t="s">
        <v>234</v>
      </c>
      <c r="L366" t="s">
        <v>235</v>
      </c>
      <c r="M366">
        <v>83720</v>
      </c>
      <c r="N366" t="s">
        <v>87</v>
      </c>
      <c r="P366" t="s">
        <v>87</v>
      </c>
      <c r="Q366" t="s">
        <v>87</v>
      </c>
    </row>
    <row r="367" spans="1:17" x14ac:dyDescent="0.2">
      <c r="A367">
        <v>10613</v>
      </c>
      <c r="B367" t="s">
        <v>57</v>
      </c>
      <c r="C367">
        <v>4</v>
      </c>
      <c r="D367" s="1">
        <v>35640</v>
      </c>
      <c r="E367" s="1">
        <v>35668</v>
      </c>
      <c r="F367" s="1">
        <v>35643</v>
      </c>
      <c r="G367">
        <v>2</v>
      </c>
      <c r="H367">
        <v>8.11</v>
      </c>
      <c r="I367" t="s">
        <v>58</v>
      </c>
      <c r="J367" t="s">
        <v>59</v>
      </c>
      <c r="K367" t="s">
        <v>60</v>
      </c>
      <c r="L367" t="s">
        <v>61</v>
      </c>
      <c r="M367">
        <v>5022</v>
      </c>
      <c r="N367" t="s">
        <v>62</v>
      </c>
      <c r="P367" t="s">
        <v>62</v>
      </c>
      <c r="Q367" t="s">
        <v>62</v>
      </c>
    </row>
    <row r="368" spans="1:17" x14ac:dyDescent="0.2">
      <c r="A368">
        <v>10614</v>
      </c>
      <c r="B368" t="s">
        <v>369</v>
      </c>
      <c r="C368">
        <v>8</v>
      </c>
      <c r="D368" s="1">
        <v>35640</v>
      </c>
      <c r="E368" s="1">
        <v>35668</v>
      </c>
      <c r="F368" s="1">
        <v>35643</v>
      </c>
      <c r="G368">
        <v>3</v>
      </c>
      <c r="H368">
        <v>1.93</v>
      </c>
      <c r="I368" t="s">
        <v>370</v>
      </c>
      <c r="J368" t="s">
        <v>371</v>
      </c>
      <c r="K368" t="s">
        <v>372</v>
      </c>
      <c r="L368" t="s">
        <v>18</v>
      </c>
      <c r="M368">
        <v>68306</v>
      </c>
      <c r="N368" t="s">
        <v>24</v>
      </c>
      <c r="P368" t="s">
        <v>24</v>
      </c>
      <c r="Q368" t="s">
        <v>24</v>
      </c>
    </row>
    <row r="369" spans="1:17" x14ac:dyDescent="0.2">
      <c r="A369">
        <v>10615</v>
      </c>
      <c r="B369" t="s">
        <v>398</v>
      </c>
      <c r="C369">
        <v>2</v>
      </c>
      <c r="D369" s="1">
        <v>35641</v>
      </c>
      <c r="E369" s="1">
        <v>35669</v>
      </c>
      <c r="F369" s="1">
        <v>35648</v>
      </c>
      <c r="G369">
        <v>3</v>
      </c>
      <c r="H369">
        <v>0.75</v>
      </c>
      <c r="I369" t="s">
        <v>399</v>
      </c>
      <c r="J369" t="s">
        <v>400</v>
      </c>
      <c r="K369" t="s">
        <v>401</v>
      </c>
      <c r="L369" t="s">
        <v>18</v>
      </c>
      <c r="M369">
        <v>21240</v>
      </c>
      <c r="N369" t="s">
        <v>102</v>
      </c>
      <c r="P369" t="s">
        <v>102</v>
      </c>
      <c r="Q369" t="s">
        <v>102</v>
      </c>
    </row>
    <row r="370" spans="1:17" x14ac:dyDescent="0.2">
      <c r="A370">
        <v>10616</v>
      </c>
      <c r="B370" t="s">
        <v>380</v>
      </c>
      <c r="C370">
        <v>1</v>
      </c>
      <c r="D370" s="1">
        <v>35642</v>
      </c>
      <c r="E370" s="1">
        <v>35670</v>
      </c>
      <c r="F370" s="1">
        <v>35647</v>
      </c>
      <c r="G370">
        <v>2</v>
      </c>
      <c r="H370">
        <v>116.53</v>
      </c>
      <c r="I370" t="s">
        <v>381</v>
      </c>
      <c r="J370" t="s">
        <v>382</v>
      </c>
      <c r="K370" t="s">
        <v>383</v>
      </c>
      <c r="L370" t="s">
        <v>206</v>
      </c>
      <c r="M370">
        <v>97403</v>
      </c>
      <c r="N370" t="s">
        <v>87</v>
      </c>
      <c r="P370" t="s">
        <v>87</v>
      </c>
      <c r="Q370" t="s">
        <v>87</v>
      </c>
    </row>
    <row r="371" spans="1:17" x14ac:dyDescent="0.2">
      <c r="A371">
        <v>10617</v>
      </c>
      <c r="B371" t="s">
        <v>380</v>
      </c>
      <c r="C371">
        <v>4</v>
      </c>
      <c r="D371" s="1">
        <v>35642</v>
      </c>
      <c r="E371" s="1">
        <v>35670</v>
      </c>
      <c r="F371" s="1">
        <v>35646</v>
      </c>
      <c r="G371">
        <v>2</v>
      </c>
      <c r="H371">
        <v>18.53</v>
      </c>
      <c r="I371" t="s">
        <v>381</v>
      </c>
      <c r="J371" t="s">
        <v>382</v>
      </c>
      <c r="K371" t="s">
        <v>383</v>
      </c>
      <c r="L371" t="s">
        <v>206</v>
      </c>
      <c r="M371">
        <v>97403</v>
      </c>
      <c r="N371" t="s">
        <v>87</v>
      </c>
      <c r="P371" t="s">
        <v>87</v>
      </c>
      <c r="Q371" t="s">
        <v>87</v>
      </c>
    </row>
    <row r="372" spans="1:17" x14ac:dyDescent="0.2">
      <c r="A372">
        <v>10618</v>
      </c>
      <c r="B372" t="s">
        <v>248</v>
      </c>
      <c r="C372">
        <v>1</v>
      </c>
      <c r="D372" s="1">
        <v>35643</v>
      </c>
      <c r="E372" s="1">
        <v>35685</v>
      </c>
      <c r="F372" s="1">
        <v>35650</v>
      </c>
      <c r="G372">
        <v>1</v>
      </c>
      <c r="H372">
        <v>154.68</v>
      </c>
      <c r="I372" t="s">
        <v>249</v>
      </c>
      <c r="J372" t="s">
        <v>250</v>
      </c>
      <c r="K372" t="s">
        <v>251</v>
      </c>
      <c r="L372" t="s">
        <v>252</v>
      </c>
      <c r="M372" t="s">
        <v>253</v>
      </c>
      <c r="N372" t="s">
        <v>254</v>
      </c>
      <c r="P372" t="s">
        <v>254</v>
      </c>
      <c r="Q372" t="s">
        <v>254</v>
      </c>
    </row>
    <row r="373" spans="1:17" x14ac:dyDescent="0.2">
      <c r="A373">
        <v>10619</v>
      </c>
      <c r="B373" t="s">
        <v>248</v>
      </c>
      <c r="C373">
        <v>3</v>
      </c>
      <c r="D373" s="1">
        <v>35646</v>
      </c>
      <c r="E373" s="1">
        <v>35674</v>
      </c>
      <c r="F373" s="1">
        <v>35649</v>
      </c>
      <c r="G373">
        <v>3</v>
      </c>
      <c r="H373">
        <v>91.05</v>
      </c>
      <c r="I373" t="s">
        <v>249</v>
      </c>
      <c r="J373" t="s">
        <v>250</v>
      </c>
      <c r="K373" t="s">
        <v>251</v>
      </c>
      <c r="L373" t="s">
        <v>252</v>
      </c>
      <c r="M373" t="s">
        <v>253</v>
      </c>
      <c r="N373" t="s">
        <v>254</v>
      </c>
      <c r="P373" t="s">
        <v>254</v>
      </c>
      <c r="Q373" t="s">
        <v>254</v>
      </c>
    </row>
    <row r="374" spans="1:17" x14ac:dyDescent="0.2">
      <c r="A374">
        <v>10620</v>
      </c>
      <c r="B374" t="s">
        <v>364</v>
      </c>
      <c r="C374">
        <v>2</v>
      </c>
      <c r="D374" s="1">
        <v>35647</v>
      </c>
      <c r="E374" s="1">
        <v>35675</v>
      </c>
      <c r="F374" s="1">
        <v>35656</v>
      </c>
      <c r="G374">
        <v>3</v>
      </c>
      <c r="H374">
        <v>0.94</v>
      </c>
      <c r="I374" t="s">
        <v>365</v>
      </c>
      <c r="J374" t="s">
        <v>366</v>
      </c>
      <c r="K374" t="s">
        <v>367</v>
      </c>
      <c r="L374" t="s">
        <v>328</v>
      </c>
      <c r="M374" t="s">
        <v>368</v>
      </c>
      <c r="N374" t="s">
        <v>254</v>
      </c>
      <c r="P374" t="s">
        <v>254</v>
      </c>
      <c r="Q374" t="s">
        <v>254</v>
      </c>
    </row>
    <row r="375" spans="1:17" x14ac:dyDescent="0.2">
      <c r="A375">
        <v>10621</v>
      </c>
      <c r="B375" t="s">
        <v>218</v>
      </c>
      <c r="C375">
        <v>4</v>
      </c>
      <c r="D375" s="1">
        <v>35647</v>
      </c>
      <c r="E375" s="1">
        <v>35675</v>
      </c>
      <c r="F375" s="1">
        <v>35653</v>
      </c>
      <c r="G375">
        <v>2</v>
      </c>
      <c r="H375">
        <v>23.73</v>
      </c>
      <c r="I375" t="s">
        <v>219</v>
      </c>
      <c r="J375" t="s">
        <v>220</v>
      </c>
      <c r="K375" t="s">
        <v>221</v>
      </c>
      <c r="L375" t="s">
        <v>222</v>
      </c>
      <c r="M375" t="s">
        <v>223</v>
      </c>
      <c r="N375" t="s">
        <v>173</v>
      </c>
      <c r="P375" t="s">
        <v>173</v>
      </c>
      <c r="Q375" t="s">
        <v>173</v>
      </c>
    </row>
    <row r="376" spans="1:17" x14ac:dyDescent="0.2">
      <c r="A376">
        <v>10622</v>
      </c>
      <c r="B376" t="s">
        <v>160</v>
      </c>
      <c r="C376">
        <v>4</v>
      </c>
      <c r="D376" s="1">
        <v>35648</v>
      </c>
      <c r="E376" s="1">
        <v>35676</v>
      </c>
      <c r="F376" s="1">
        <v>35653</v>
      </c>
      <c r="G376">
        <v>3</v>
      </c>
      <c r="H376">
        <v>50.97</v>
      </c>
      <c r="I376" t="s">
        <v>161</v>
      </c>
      <c r="J376" t="s">
        <v>162</v>
      </c>
      <c r="K376">
        <v>267</v>
      </c>
      <c r="L376" t="s">
        <v>28</v>
      </c>
      <c r="M376" t="s">
        <v>29</v>
      </c>
      <c r="N376" t="s">
        <v>163</v>
      </c>
      <c r="O376" t="s">
        <v>31</v>
      </c>
      <c r="P376" t="s">
        <v>31</v>
      </c>
      <c r="Q376" t="s">
        <v>31</v>
      </c>
    </row>
    <row r="377" spans="1:17" x14ac:dyDescent="0.2">
      <c r="A377">
        <v>10623</v>
      </c>
      <c r="B377" t="s">
        <v>103</v>
      </c>
      <c r="C377">
        <v>8</v>
      </c>
      <c r="D377" s="1">
        <v>35649</v>
      </c>
      <c r="E377" s="1">
        <v>35677</v>
      </c>
      <c r="F377" s="1">
        <v>35654</v>
      </c>
      <c r="G377">
        <v>2</v>
      </c>
      <c r="H377">
        <v>97.18</v>
      </c>
      <c r="I377" t="s">
        <v>104</v>
      </c>
      <c r="J377" t="s">
        <v>105</v>
      </c>
      <c r="K377" t="s">
        <v>106</v>
      </c>
      <c r="L377" t="s">
        <v>18</v>
      </c>
      <c r="M377">
        <v>80805</v>
      </c>
      <c r="N377" t="s">
        <v>24</v>
      </c>
      <c r="P377" t="s">
        <v>24</v>
      </c>
      <c r="Q377" t="s">
        <v>24</v>
      </c>
    </row>
    <row r="378" spans="1:17" x14ac:dyDescent="0.2">
      <c r="A378">
        <v>10624</v>
      </c>
      <c r="B378" t="s">
        <v>402</v>
      </c>
      <c r="C378">
        <v>4</v>
      </c>
      <c r="D378" s="1">
        <v>35649</v>
      </c>
      <c r="E378" s="1">
        <v>35677</v>
      </c>
      <c r="F378" s="1">
        <v>35661</v>
      </c>
      <c r="G378">
        <v>2</v>
      </c>
      <c r="H378">
        <v>94.8</v>
      </c>
      <c r="I378" t="s">
        <v>403</v>
      </c>
      <c r="J378" t="s">
        <v>404</v>
      </c>
      <c r="K378" t="s">
        <v>405</v>
      </c>
      <c r="L378" t="s">
        <v>406</v>
      </c>
      <c r="M378">
        <v>59801</v>
      </c>
      <c r="N378" t="s">
        <v>87</v>
      </c>
      <c r="P378" t="s">
        <v>87</v>
      </c>
      <c r="Q378" t="s">
        <v>87</v>
      </c>
    </row>
    <row r="379" spans="1:17" x14ac:dyDescent="0.2">
      <c r="A379">
        <v>10625</v>
      </c>
      <c r="B379" t="s">
        <v>207</v>
      </c>
      <c r="C379">
        <v>3</v>
      </c>
      <c r="D379" s="1">
        <v>35650</v>
      </c>
      <c r="E379" s="1">
        <v>35678</v>
      </c>
      <c r="F379" s="1">
        <v>35656</v>
      </c>
      <c r="G379">
        <v>1</v>
      </c>
      <c r="H379">
        <v>43.9</v>
      </c>
      <c r="I379" t="s">
        <v>208</v>
      </c>
      <c r="J379" t="s">
        <v>209</v>
      </c>
      <c r="K379" t="s">
        <v>71</v>
      </c>
      <c r="L379" t="s">
        <v>18</v>
      </c>
      <c r="M379" s="2" t="s">
        <v>210</v>
      </c>
      <c r="N379" t="s">
        <v>73</v>
      </c>
      <c r="P379" t="s">
        <v>73</v>
      </c>
      <c r="Q379" t="s">
        <v>73</v>
      </c>
    </row>
    <row r="380" spans="1:17" x14ac:dyDescent="0.2">
      <c r="A380">
        <v>10626</v>
      </c>
      <c r="B380" t="s">
        <v>141</v>
      </c>
      <c r="C380">
        <v>1</v>
      </c>
      <c r="D380" s="1">
        <v>35653</v>
      </c>
      <c r="E380" s="1">
        <v>35681</v>
      </c>
      <c r="F380" s="1">
        <v>35662</v>
      </c>
      <c r="G380">
        <v>2</v>
      </c>
      <c r="H380">
        <v>138.69</v>
      </c>
      <c r="I380" t="s">
        <v>142</v>
      </c>
      <c r="J380" t="s">
        <v>143</v>
      </c>
      <c r="K380" t="s">
        <v>144</v>
      </c>
      <c r="L380" t="s">
        <v>18</v>
      </c>
      <c r="M380" t="s">
        <v>145</v>
      </c>
      <c r="N380" t="s">
        <v>93</v>
      </c>
      <c r="P380" t="s">
        <v>93</v>
      </c>
      <c r="Q380" t="s">
        <v>93</v>
      </c>
    </row>
    <row r="381" spans="1:17" x14ac:dyDescent="0.2">
      <c r="A381">
        <v>10627</v>
      </c>
      <c r="B381" t="s">
        <v>231</v>
      </c>
      <c r="C381">
        <v>8</v>
      </c>
      <c r="D381" s="1">
        <v>35653</v>
      </c>
      <c r="E381" s="1">
        <v>35695</v>
      </c>
      <c r="F381" s="1">
        <v>35663</v>
      </c>
      <c r="G381">
        <v>3</v>
      </c>
      <c r="H381">
        <v>107.46</v>
      </c>
      <c r="I381" t="s">
        <v>232</v>
      </c>
      <c r="J381" t="s">
        <v>233</v>
      </c>
      <c r="K381" t="s">
        <v>234</v>
      </c>
      <c r="L381" t="s">
        <v>235</v>
      </c>
      <c r="M381">
        <v>83720</v>
      </c>
      <c r="N381" t="s">
        <v>87</v>
      </c>
      <c r="P381" t="s">
        <v>87</v>
      </c>
      <c r="Q381" t="s">
        <v>87</v>
      </c>
    </row>
    <row r="382" spans="1:17" x14ac:dyDescent="0.2">
      <c r="A382">
        <v>10628</v>
      </c>
      <c r="B382" t="s">
        <v>94</v>
      </c>
      <c r="C382">
        <v>4</v>
      </c>
      <c r="D382" s="1">
        <v>35654</v>
      </c>
      <c r="E382" s="1">
        <v>35682</v>
      </c>
      <c r="F382" s="1">
        <v>35662</v>
      </c>
      <c r="G382">
        <v>3</v>
      </c>
      <c r="H382">
        <v>30.36</v>
      </c>
      <c r="I382" t="s">
        <v>95</v>
      </c>
      <c r="J382">
        <v>24</v>
      </c>
      <c r="K382" t="s">
        <v>96</v>
      </c>
      <c r="L382" t="s">
        <v>97</v>
      </c>
      <c r="M382" t="s">
        <v>18</v>
      </c>
      <c r="N382">
        <v>67000</v>
      </c>
      <c r="O382" t="s">
        <v>19</v>
      </c>
      <c r="P382" t="s">
        <v>19</v>
      </c>
      <c r="Q382" t="s">
        <v>19</v>
      </c>
    </row>
    <row r="383" spans="1:17" x14ac:dyDescent="0.2">
      <c r="A383">
        <v>10629</v>
      </c>
      <c r="B383" t="s">
        <v>193</v>
      </c>
      <c r="C383">
        <v>4</v>
      </c>
      <c r="D383" s="1">
        <v>35654</v>
      </c>
      <c r="E383" s="1">
        <v>35682</v>
      </c>
      <c r="F383" s="1">
        <v>35662</v>
      </c>
      <c r="G383">
        <v>3</v>
      </c>
      <c r="H383">
        <v>85.46</v>
      </c>
      <c r="I383" t="s">
        <v>194</v>
      </c>
      <c r="J383" t="s">
        <v>195</v>
      </c>
      <c r="K383">
        <v>33</v>
      </c>
      <c r="L383" t="s">
        <v>196</v>
      </c>
      <c r="M383" t="s">
        <v>18</v>
      </c>
      <c r="N383">
        <v>41101</v>
      </c>
      <c r="O383" t="s">
        <v>154</v>
      </c>
      <c r="P383" t="s">
        <v>154</v>
      </c>
      <c r="Q383" t="s">
        <v>154</v>
      </c>
    </row>
    <row r="384" spans="1:17" x14ac:dyDescent="0.2">
      <c r="A384">
        <v>10630</v>
      </c>
      <c r="B384" t="s">
        <v>227</v>
      </c>
      <c r="C384">
        <v>1</v>
      </c>
      <c r="D384" s="1">
        <v>35655</v>
      </c>
      <c r="E384" s="1">
        <v>35683</v>
      </c>
      <c r="F384" s="1">
        <v>35661</v>
      </c>
      <c r="G384">
        <v>2</v>
      </c>
      <c r="H384">
        <v>32.35</v>
      </c>
      <c r="I384" t="s">
        <v>228</v>
      </c>
      <c r="J384" t="s">
        <v>229</v>
      </c>
      <c r="K384" t="s">
        <v>230</v>
      </c>
      <c r="L384" t="s">
        <v>18</v>
      </c>
      <c r="M384">
        <v>14776</v>
      </c>
      <c r="N384" t="s">
        <v>24</v>
      </c>
      <c r="P384" t="s">
        <v>24</v>
      </c>
      <c r="Q384" t="s">
        <v>24</v>
      </c>
    </row>
    <row r="385" spans="1:17" x14ac:dyDescent="0.2">
      <c r="A385">
        <v>10631</v>
      </c>
      <c r="B385" t="s">
        <v>267</v>
      </c>
      <c r="C385">
        <v>8</v>
      </c>
      <c r="D385" s="1">
        <v>35656</v>
      </c>
      <c r="E385" s="1">
        <v>35684</v>
      </c>
      <c r="F385" s="1">
        <v>35657</v>
      </c>
      <c r="G385">
        <v>1</v>
      </c>
      <c r="H385">
        <v>0.87</v>
      </c>
      <c r="I385" t="s">
        <v>268</v>
      </c>
      <c r="J385" t="s">
        <v>269</v>
      </c>
      <c r="K385" t="s">
        <v>270</v>
      </c>
      <c r="L385" t="s">
        <v>18</v>
      </c>
      <c r="M385">
        <v>31000</v>
      </c>
      <c r="N385" t="s">
        <v>19</v>
      </c>
      <c r="P385" t="s">
        <v>19</v>
      </c>
      <c r="Q385" t="s">
        <v>19</v>
      </c>
    </row>
    <row r="386" spans="1:17" x14ac:dyDescent="0.2">
      <c r="A386">
        <v>10632</v>
      </c>
      <c r="B386" t="s">
        <v>189</v>
      </c>
      <c r="C386">
        <v>8</v>
      </c>
      <c r="D386" s="1">
        <v>35656</v>
      </c>
      <c r="E386" s="1">
        <v>35684</v>
      </c>
      <c r="F386" s="1">
        <v>35661</v>
      </c>
      <c r="G386">
        <v>1</v>
      </c>
      <c r="H386">
        <v>41.38</v>
      </c>
      <c r="I386" t="s">
        <v>190</v>
      </c>
      <c r="J386" t="s">
        <v>191</v>
      </c>
      <c r="K386" t="s">
        <v>192</v>
      </c>
      <c r="L386" t="s">
        <v>18</v>
      </c>
      <c r="M386">
        <v>70563</v>
      </c>
      <c r="N386" t="s">
        <v>24</v>
      </c>
      <c r="P386" t="s">
        <v>24</v>
      </c>
      <c r="Q386" t="s">
        <v>24</v>
      </c>
    </row>
    <row r="387" spans="1:17" x14ac:dyDescent="0.2">
      <c r="A387">
        <v>10633</v>
      </c>
      <c r="B387" t="s">
        <v>63</v>
      </c>
      <c r="C387">
        <v>7</v>
      </c>
      <c r="D387" s="1">
        <v>35657</v>
      </c>
      <c r="E387" s="1">
        <v>35685</v>
      </c>
      <c r="F387" s="1">
        <v>35660</v>
      </c>
      <c r="G387">
        <v>3</v>
      </c>
      <c r="H387">
        <v>477.9</v>
      </c>
      <c r="I387" t="s">
        <v>64</v>
      </c>
      <c r="J387" t="s">
        <v>65</v>
      </c>
      <c r="K387" t="s">
        <v>66</v>
      </c>
      <c r="L387" t="s">
        <v>18</v>
      </c>
      <c r="M387">
        <v>8010</v>
      </c>
      <c r="N387" t="s">
        <v>67</v>
      </c>
      <c r="P387" t="s">
        <v>67</v>
      </c>
      <c r="Q387" t="s">
        <v>67</v>
      </c>
    </row>
    <row r="388" spans="1:17" x14ac:dyDescent="0.2">
      <c r="A388">
        <v>10634</v>
      </c>
      <c r="B388" t="s">
        <v>335</v>
      </c>
      <c r="C388">
        <v>4</v>
      </c>
      <c r="D388" s="1">
        <v>35657</v>
      </c>
      <c r="E388" s="1">
        <v>35685</v>
      </c>
      <c r="F388" s="1">
        <v>35663</v>
      </c>
      <c r="G388">
        <v>3</v>
      </c>
      <c r="H388">
        <v>487.38</v>
      </c>
      <c r="I388" t="s">
        <v>336</v>
      </c>
      <c r="J388">
        <v>184</v>
      </c>
      <c r="K388" t="s">
        <v>337</v>
      </c>
      <c r="L388" t="s">
        <v>338</v>
      </c>
      <c r="M388" t="s">
        <v>18</v>
      </c>
      <c r="N388">
        <v>59000</v>
      </c>
      <c r="O388" t="s">
        <v>19</v>
      </c>
      <c r="P388" t="s">
        <v>19</v>
      </c>
      <c r="Q388" t="s">
        <v>19</v>
      </c>
    </row>
    <row r="389" spans="1:17" x14ac:dyDescent="0.2">
      <c r="A389">
        <v>10635</v>
      </c>
      <c r="B389" t="s">
        <v>127</v>
      </c>
      <c r="C389">
        <v>8</v>
      </c>
      <c r="D389" s="1">
        <v>35660</v>
      </c>
      <c r="E389" s="1">
        <v>35688</v>
      </c>
      <c r="F389" s="1">
        <v>35663</v>
      </c>
      <c r="G389">
        <v>3</v>
      </c>
      <c r="H389">
        <v>47.46</v>
      </c>
      <c r="I389" t="s">
        <v>128</v>
      </c>
      <c r="J389" t="s">
        <v>129</v>
      </c>
      <c r="K389" t="s">
        <v>130</v>
      </c>
      <c r="L389" t="s">
        <v>18</v>
      </c>
      <c r="M389">
        <v>24100</v>
      </c>
      <c r="N389" t="s">
        <v>131</v>
      </c>
      <c r="P389" t="s">
        <v>131</v>
      </c>
      <c r="Q389" t="s">
        <v>131</v>
      </c>
    </row>
    <row r="390" spans="1:17" x14ac:dyDescent="0.2">
      <c r="A390">
        <v>10636</v>
      </c>
      <c r="B390" t="s">
        <v>98</v>
      </c>
      <c r="C390">
        <v>4</v>
      </c>
      <c r="D390" s="1">
        <v>35661</v>
      </c>
      <c r="E390" s="1">
        <v>35689</v>
      </c>
      <c r="F390" s="1">
        <v>35668</v>
      </c>
      <c r="G390">
        <v>1</v>
      </c>
      <c r="H390">
        <v>1.1499999999999999</v>
      </c>
      <c r="I390" t="s">
        <v>99</v>
      </c>
      <c r="J390" t="s">
        <v>100</v>
      </c>
      <c r="K390" t="s">
        <v>101</v>
      </c>
      <c r="L390" t="s">
        <v>18</v>
      </c>
      <c r="M390">
        <v>90110</v>
      </c>
      <c r="N390" t="s">
        <v>102</v>
      </c>
      <c r="P390" t="s">
        <v>102</v>
      </c>
      <c r="Q390" t="s">
        <v>102</v>
      </c>
    </row>
    <row r="391" spans="1:17" x14ac:dyDescent="0.2">
      <c r="A391">
        <v>10637</v>
      </c>
      <c r="B391" t="s">
        <v>305</v>
      </c>
      <c r="C391">
        <v>6</v>
      </c>
      <c r="D391" s="1">
        <v>35661</v>
      </c>
      <c r="E391" s="1">
        <v>35689</v>
      </c>
      <c r="F391" s="1">
        <v>35668</v>
      </c>
      <c r="G391">
        <v>1</v>
      </c>
      <c r="H391">
        <v>201.29</v>
      </c>
      <c r="I391" t="s">
        <v>306</v>
      </c>
      <c r="J391" t="s">
        <v>307</v>
      </c>
      <c r="K391">
        <v>891</v>
      </c>
      <c r="L391" t="s">
        <v>177</v>
      </c>
      <c r="M391" t="s">
        <v>55</v>
      </c>
      <c r="N391" t="s">
        <v>308</v>
      </c>
      <c r="O391" t="s">
        <v>31</v>
      </c>
      <c r="P391" t="s">
        <v>31</v>
      </c>
      <c r="Q391" t="s">
        <v>31</v>
      </c>
    </row>
    <row r="392" spans="1:17" x14ac:dyDescent="0.2">
      <c r="A392">
        <v>10638</v>
      </c>
      <c r="B392" t="s">
        <v>330</v>
      </c>
      <c r="C392">
        <v>3</v>
      </c>
      <c r="D392" s="1">
        <v>35662</v>
      </c>
      <c r="E392" s="1">
        <v>35690</v>
      </c>
      <c r="F392" s="1">
        <v>35674</v>
      </c>
      <c r="G392">
        <v>1</v>
      </c>
      <c r="H392">
        <v>158.44</v>
      </c>
      <c r="I392" t="s">
        <v>331</v>
      </c>
      <c r="J392" t="s">
        <v>332</v>
      </c>
      <c r="K392" t="s">
        <v>333</v>
      </c>
      <c r="L392" t="s">
        <v>334</v>
      </c>
      <c r="M392">
        <v>4980</v>
      </c>
      <c r="N392" t="s">
        <v>62</v>
      </c>
      <c r="P392" t="s">
        <v>62</v>
      </c>
      <c r="Q392" t="s">
        <v>62</v>
      </c>
    </row>
    <row r="393" spans="1:17" x14ac:dyDescent="0.2">
      <c r="A393">
        <v>10639</v>
      </c>
      <c r="B393" t="s">
        <v>319</v>
      </c>
      <c r="C393">
        <v>7</v>
      </c>
      <c r="D393" s="1">
        <v>35662</v>
      </c>
      <c r="E393" s="1">
        <v>35690</v>
      </c>
      <c r="F393" s="1">
        <v>35669</v>
      </c>
      <c r="G393">
        <v>3</v>
      </c>
      <c r="H393">
        <v>38.64</v>
      </c>
      <c r="I393" t="s">
        <v>320</v>
      </c>
      <c r="J393" t="s">
        <v>321</v>
      </c>
      <c r="K393" t="s">
        <v>322</v>
      </c>
      <c r="L393" t="s">
        <v>18</v>
      </c>
      <c r="M393">
        <v>4110</v>
      </c>
      <c r="N393" t="s">
        <v>323</v>
      </c>
      <c r="P393" t="s">
        <v>323</v>
      </c>
      <c r="Q393" t="s">
        <v>323</v>
      </c>
    </row>
    <row r="394" spans="1:17" x14ac:dyDescent="0.2">
      <c r="A394">
        <v>10640</v>
      </c>
      <c r="B394" t="s">
        <v>189</v>
      </c>
      <c r="C394">
        <v>4</v>
      </c>
      <c r="D394" s="1">
        <v>35663</v>
      </c>
      <c r="E394" s="1">
        <v>35691</v>
      </c>
      <c r="F394" s="1">
        <v>35670</v>
      </c>
      <c r="G394">
        <v>1</v>
      </c>
      <c r="H394">
        <v>23.55</v>
      </c>
      <c r="I394" t="s">
        <v>190</v>
      </c>
      <c r="J394" t="s">
        <v>191</v>
      </c>
      <c r="K394" t="s">
        <v>192</v>
      </c>
      <c r="L394" t="s">
        <v>18</v>
      </c>
      <c r="M394">
        <v>70563</v>
      </c>
      <c r="N394" t="s">
        <v>24</v>
      </c>
      <c r="P394" t="s">
        <v>24</v>
      </c>
      <c r="Q394" t="s">
        <v>24</v>
      </c>
    </row>
    <row r="395" spans="1:17" x14ac:dyDescent="0.2">
      <c r="A395">
        <v>10641</v>
      </c>
      <c r="B395" t="s">
        <v>57</v>
      </c>
      <c r="C395">
        <v>4</v>
      </c>
      <c r="D395" s="1">
        <v>35664</v>
      </c>
      <c r="E395" s="1">
        <v>35692</v>
      </c>
      <c r="F395" s="1">
        <v>35668</v>
      </c>
      <c r="G395">
        <v>2</v>
      </c>
      <c r="H395">
        <v>179.61</v>
      </c>
      <c r="I395" t="s">
        <v>58</v>
      </c>
      <c r="J395" t="s">
        <v>59</v>
      </c>
      <c r="K395" t="s">
        <v>60</v>
      </c>
      <c r="L395" t="s">
        <v>61</v>
      </c>
      <c r="M395">
        <v>5022</v>
      </c>
      <c r="N395" t="s">
        <v>62</v>
      </c>
      <c r="P395" t="s">
        <v>62</v>
      </c>
      <c r="Q395" t="s">
        <v>62</v>
      </c>
    </row>
    <row r="396" spans="1:17" x14ac:dyDescent="0.2">
      <c r="A396">
        <v>10642</v>
      </c>
      <c r="B396" t="s">
        <v>258</v>
      </c>
      <c r="C396">
        <v>7</v>
      </c>
      <c r="D396" s="1">
        <v>35664</v>
      </c>
      <c r="E396" s="1">
        <v>35692</v>
      </c>
      <c r="F396" s="1">
        <v>35678</v>
      </c>
      <c r="G396">
        <v>3</v>
      </c>
      <c r="H396">
        <v>41.89</v>
      </c>
      <c r="I396" t="s">
        <v>259</v>
      </c>
      <c r="J396" t="s">
        <v>260</v>
      </c>
      <c r="K396" t="s">
        <v>261</v>
      </c>
      <c r="L396" t="s">
        <v>18</v>
      </c>
      <c r="M396">
        <v>1734</v>
      </c>
      <c r="N396" t="s">
        <v>262</v>
      </c>
      <c r="P396" t="s">
        <v>262</v>
      </c>
      <c r="Q396" t="s">
        <v>262</v>
      </c>
    </row>
    <row r="397" spans="1:17" x14ac:dyDescent="0.2">
      <c r="A397">
        <v>10643</v>
      </c>
      <c r="B397" t="s">
        <v>407</v>
      </c>
      <c r="C397">
        <v>6</v>
      </c>
      <c r="D397" s="1">
        <v>35667</v>
      </c>
      <c r="E397" s="1">
        <v>35695</v>
      </c>
      <c r="F397" s="1">
        <v>35675</v>
      </c>
      <c r="G397">
        <v>1</v>
      </c>
      <c r="H397">
        <v>29.46</v>
      </c>
      <c r="I397" t="s">
        <v>408</v>
      </c>
      <c r="J397" t="s">
        <v>409</v>
      </c>
      <c r="K397" t="s">
        <v>410</v>
      </c>
      <c r="L397" t="s">
        <v>18</v>
      </c>
      <c r="M397">
        <v>12209</v>
      </c>
      <c r="N397" t="s">
        <v>24</v>
      </c>
      <c r="P397" t="s">
        <v>24</v>
      </c>
      <c r="Q397" t="s">
        <v>24</v>
      </c>
    </row>
    <row r="398" spans="1:17" x14ac:dyDescent="0.2">
      <c r="A398">
        <v>10644</v>
      </c>
      <c r="B398" t="s">
        <v>51</v>
      </c>
      <c r="C398">
        <v>3</v>
      </c>
      <c r="D398" s="1">
        <v>35667</v>
      </c>
      <c r="E398" s="1">
        <v>35695</v>
      </c>
      <c r="F398" s="1">
        <v>35674</v>
      </c>
      <c r="G398">
        <v>2</v>
      </c>
      <c r="H398">
        <v>0.14000000000000001</v>
      </c>
      <c r="I398" t="s">
        <v>52</v>
      </c>
      <c r="J398" t="s">
        <v>53</v>
      </c>
      <c r="K398">
        <v>12</v>
      </c>
      <c r="L398" t="s">
        <v>54</v>
      </c>
      <c r="M398" t="s">
        <v>55</v>
      </c>
      <c r="N398" t="s">
        <v>56</v>
      </c>
      <c r="O398" t="s">
        <v>31</v>
      </c>
      <c r="P398" t="s">
        <v>31</v>
      </c>
      <c r="Q398" t="s">
        <v>31</v>
      </c>
    </row>
    <row r="399" spans="1:17" x14ac:dyDescent="0.2">
      <c r="A399">
        <v>10645</v>
      </c>
      <c r="B399" t="s">
        <v>25</v>
      </c>
      <c r="C399">
        <v>4</v>
      </c>
      <c r="D399" s="1">
        <v>35668</v>
      </c>
      <c r="E399" s="1">
        <v>35696</v>
      </c>
      <c r="F399" s="1">
        <v>35675</v>
      </c>
      <c r="G399">
        <v>1</v>
      </c>
      <c r="H399">
        <v>12.41</v>
      </c>
      <c r="I399" t="s">
        <v>26</v>
      </c>
      <c r="J399" t="s">
        <v>27</v>
      </c>
      <c r="K399">
        <v>67</v>
      </c>
      <c r="L399" t="s">
        <v>28</v>
      </c>
      <c r="M399" t="s">
        <v>29</v>
      </c>
      <c r="N399" t="s">
        <v>30</v>
      </c>
      <c r="O399" t="s">
        <v>31</v>
      </c>
      <c r="P399" t="s">
        <v>31</v>
      </c>
      <c r="Q399" t="s">
        <v>31</v>
      </c>
    </row>
    <row r="400" spans="1:17" x14ac:dyDescent="0.2">
      <c r="A400">
        <v>10646</v>
      </c>
      <c r="B400" t="s">
        <v>183</v>
      </c>
      <c r="C400">
        <v>9</v>
      </c>
      <c r="D400" s="1">
        <v>35669</v>
      </c>
      <c r="E400" s="1">
        <v>35711</v>
      </c>
      <c r="F400" s="1">
        <v>35676</v>
      </c>
      <c r="G400">
        <v>3</v>
      </c>
      <c r="H400">
        <v>142.33000000000001</v>
      </c>
      <c r="I400" t="s">
        <v>184</v>
      </c>
      <c r="J400" t="s">
        <v>185</v>
      </c>
      <c r="K400" t="s">
        <v>186</v>
      </c>
      <c r="L400" t="s">
        <v>187</v>
      </c>
      <c r="M400" t="s">
        <v>18</v>
      </c>
      <c r="N400" t="s">
        <v>188</v>
      </c>
      <c r="P400" t="s">
        <v>188</v>
      </c>
      <c r="Q400" t="s">
        <v>188</v>
      </c>
    </row>
    <row r="401" spans="1:17" x14ac:dyDescent="0.2">
      <c r="A401">
        <v>10647</v>
      </c>
      <c r="B401" t="s">
        <v>78</v>
      </c>
      <c r="C401">
        <v>4</v>
      </c>
      <c r="D401" s="1">
        <v>35669</v>
      </c>
      <c r="E401" s="1">
        <v>35683</v>
      </c>
      <c r="F401" s="1">
        <v>35676</v>
      </c>
      <c r="G401">
        <v>2</v>
      </c>
      <c r="H401">
        <v>45.54</v>
      </c>
      <c r="I401" t="s">
        <v>79</v>
      </c>
      <c r="J401" t="s">
        <v>80</v>
      </c>
      <c r="K401">
        <v>12</v>
      </c>
      <c r="L401" t="s">
        <v>28</v>
      </c>
      <c r="M401" t="s">
        <v>29</v>
      </c>
      <c r="N401" t="s">
        <v>81</v>
      </c>
      <c r="O401" t="s">
        <v>31</v>
      </c>
      <c r="P401" t="s">
        <v>31</v>
      </c>
      <c r="Q401" t="s">
        <v>31</v>
      </c>
    </row>
    <row r="402" spans="1:17" x14ac:dyDescent="0.2">
      <c r="A402">
        <v>10648</v>
      </c>
      <c r="B402" t="s">
        <v>160</v>
      </c>
      <c r="C402">
        <v>5</v>
      </c>
      <c r="D402" s="1">
        <v>35670</v>
      </c>
      <c r="E402" s="1">
        <v>35712</v>
      </c>
      <c r="F402" s="1">
        <v>35682</v>
      </c>
      <c r="G402">
        <v>2</v>
      </c>
      <c r="H402">
        <v>14.25</v>
      </c>
      <c r="I402" t="s">
        <v>161</v>
      </c>
      <c r="J402" t="s">
        <v>162</v>
      </c>
      <c r="K402">
        <v>267</v>
      </c>
      <c r="L402" t="s">
        <v>28</v>
      </c>
      <c r="M402" t="s">
        <v>29</v>
      </c>
      <c r="N402" t="s">
        <v>163</v>
      </c>
      <c r="O402" t="s">
        <v>31</v>
      </c>
      <c r="P402" t="s">
        <v>31</v>
      </c>
      <c r="Q402" t="s">
        <v>31</v>
      </c>
    </row>
    <row r="403" spans="1:17" x14ac:dyDescent="0.2">
      <c r="A403">
        <v>10649</v>
      </c>
      <c r="B403" t="s">
        <v>384</v>
      </c>
      <c r="C403">
        <v>5</v>
      </c>
      <c r="D403" s="1">
        <v>35670</v>
      </c>
      <c r="E403" s="1">
        <v>35698</v>
      </c>
      <c r="F403" s="1">
        <v>35671</v>
      </c>
      <c r="G403">
        <v>3</v>
      </c>
      <c r="H403">
        <v>6.2</v>
      </c>
      <c r="I403" t="s">
        <v>385</v>
      </c>
      <c r="J403" t="s">
        <v>386</v>
      </c>
      <c r="K403" t="s">
        <v>387</v>
      </c>
      <c r="L403" t="s">
        <v>18</v>
      </c>
      <c r="M403" t="s">
        <v>388</v>
      </c>
      <c r="N403" t="s">
        <v>41</v>
      </c>
      <c r="P403" t="s">
        <v>41</v>
      </c>
      <c r="Q403" t="s">
        <v>41</v>
      </c>
    </row>
    <row r="404" spans="1:17" x14ac:dyDescent="0.2">
      <c r="A404">
        <v>10650</v>
      </c>
      <c r="B404" t="s">
        <v>263</v>
      </c>
      <c r="C404">
        <v>5</v>
      </c>
      <c r="D404" s="1">
        <v>35671</v>
      </c>
      <c r="E404" s="1">
        <v>35699</v>
      </c>
      <c r="F404" s="1">
        <v>35676</v>
      </c>
      <c r="G404">
        <v>3</v>
      </c>
      <c r="H404">
        <v>176.81</v>
      </c>
      <c r="I404" t="s">
        <v>264</v>
      </c>
      <c r="J404" t="s">
        <v>265</v>
      </c>
      <c r="K404">
        <v>92</v>
      </c>
      <c r="L404" t="s">
        <v>177</v>
      </c>
      <c r="M404" t="s">
        <v>55</v>
      </c>
      <c r="N404" t="s">
        <v>266</v>
      </c>
      <c r="O404" t="s">
        <v>31</v>
      </c>
      <c r="P404" t="s">
        <v>31</v>
      </c>
      <c r="Q404" t="s">
        <v>31</v>
      </c>
    </row>
    <row r="405" spans="1:17" x14ac:dyDescent="0.2">
      <c r="A405">
        <v>10651</v>
      </c>
      <c r="B405" t="s">
        <v>189</v>
      </c>
      <c r="C405">
        <v>8</v>
      </c>
      <c r="D405" s="1">
        <v>35674</v>
      </c>
      <c r="E405" s="1">
        <v>35702</v>
      </c>
      <c r="F405" s="1">
        <v>35684</v>
      </c>
      <c r="G405">
        <v>2</v>
      </c>
      <c r="H405">
        <v>20.6</v>
      </c>
      <c r="I405" t="s">
        <v>190</v>
      </c>
      <c r="J405" t="s">
        <v>191</v>
      </c>
      <c r="K405" t="s">
        <v>192</v>
      </c>
      <c r="L405" t="s">
        <v>18</v>
      </c>
      <c r="M405">
        <v>70563</v>
      </c>
      <c r="N405" t="s">
        <v>24</v>
      </c>
      <c r="P405" t="s">
        <v>24</v>
      </c>
      <c r="Q405" t="s">
        <v>24</v>
      </c>
    </row>
    <row r="406" spans="1:17" x14ac:dyDescent="0.2">
      <c r="A406">
        <v>10652</v>
      </c>
      <c r="B406" t="s">
        <v>348</v>
      </c>
      <c r="C406">
        <v>4</v>
      </c>
      <c r="D406" s="1">
        <v>35674</v>
      </c>
      <c r="E406" s="1">
        <v>35702</v>
      </c>
      <c r="F406" s="1">
        <v>35681</v>
      </c>
      <c r="G406">
        <v>2</v>
      </c>
      <c r="H406">
        <v>7.14</v>
      </c>
      <c r="I406" t="s">
        <v>349</v>
      </c>
      <c r="J406" t="s">
        <v>350</v>
      </c>
      <c r="K406">
        <v>442</v>
      </c>
      <c r="L406" t="s">
        <v>351</v>
      </c>
      <c r="M406" t="s">
        <v>55</v>
      </c>
      <c r="N406" t="s">
        <v>352</v>
      </c>
      <c r="O406" t="s">
        <v>31</v>
      </c>
      <c r="P406" t="s">
        <v>31</v>
      </c>
      <c r="Q406" t="s">
        <v>31</v>
      </c>
    </row>
    <row r="407" spans="1:17" x14ac:dyDescent="0.2">
      <c r="A407">
        <v>10653</v>
      </c>
      <c r="B407" t="s">
        <v>103</v>
      </c>
      <c r="C407">
        <v>1</v>
      </c>
      <c r="D407" s="1">
        <v>35675</v>
      </c>
      <c r="E407" s="1">
        <v>35703</v>
      </c>
      <c r="F407" s="1">
        <v>35692</v>
      </c>
      <c r="G407">
        <v>1</v>
      </c>
      <c r="H407">
        <v>93.25</v>
      </c>
      <c r="I407" t="s">
        <v>104</v>
      </c>
      <c r="J407" t="s">
        <v>105</v>
      </c>
      <c r="K407" t="s">
        <v>106</v>
      </c>
      <c r="L407" t="s">
        <v>18</v>
      </c>
      <c r="M407">
        <v>80805</v>
      </c>
      <c r="N407" t="s">
        <v>24</v>
      </c>
      <c r="P407" t="s">
        <v>24</v>
      </c>
      <c r="Q407" t="s">
        <v>24</v>
      </c>
    </row>
    <row r="408" spans="1:17" x14ac:dyDescent="0.2">
      <c r="A408">
        <v>10654</v>
      </c>
      <c r="B408" t="s">
        <v>141</v>
      </c>
      <c r="C408">
        <v>5</v>
      </c>
      <c r="D408" s="1">
        <v>35675</v>
      </c>
      <c r="E408" s="1">
        <v>35703</v>
      </c>
      <c r="F408" s="1">
        <v>35684</v>
      </c>
      <c r="G408">
        <v>1</v>
      </c>
      <c r="H408">
        <v>55.26</v>
      </c>
      <c r="I408" t="s">
        <v>142</v>
      </c>
      <c r="J408" t="s">
        <v>143</v>
      </c>
      <c r="K408" t="s">
        <v>144</v>
      </c>
      <c r="L408" t="s">
        <v>18</v>
      </c>
      <c r="M408" t="s">
        <v>145</v>
      </c>
      <c r="N408" t="s">
        <v>93</v>
      </c>
      <c r="P408" t="s">
        <v>93</v>
      </c>
      <c r="Q408" t="s">
        <v>93</v>
      </c>
    </row>
    <row r="409" spans="1:17" x14ac:dyDescent="0.2">
      <c r="A409">
        <v>10655</v>
      </c>
      <c r="B409" t="s">
        <v>164</v>
      </c>
      <c r="C409">
        <v>1</v>
      </c>
      <c r="D409" s="1">
        <v>35676</v>
      </c>
      <c r="E409" s="1">
        <v>35704</v>
      </c>
      <c r="F409" s="1">
        <v>35684</v>
      </c>
      <c r="G409">
        <v>2</v>
      </c>
      <c r="H409">
        <v>4.41</v>
      </c>
      <c r="I409" t="s">
        <v>165</v>
      </c>
      <c r="J409" t="s">
        <v>166</v>
      </c>
      <c r="K409" t="s">
        <v>167</v>
      </c>
      <c r="L409" t="s">
        <v>18</v>
      </c>
      <c r="M409">
        <v>42100</v>
      </c>
      <c r="N409" t="s">
        <v>131</v>
      </c>
      <c r="P409" t="s">
        <v>131</v>
      </c>
      <c r="Q409" t="s">
        <v>131</v>
      </c>
    </row>
    <row r="410" spans="1:17" x14ac:dyDescent="0.2">
      <c r="A410">
        <v>10656</v>
      </c>
      <c r="B410" t="s">
        <v>380</v>
      </c>
      <c r="C410">
        <v>6</v>
      </c>
      <c r="D410" s="1">
        <v>35677</v>
      </c>
      <c r="E410" s="1">
        <v>35705</v>
      </c>
      <c r="F410" s="1">
        <v>35683</v>
      </c>
      <c r="G410">
        <v>1</v>
      </c>
      <c r="H410">
        <v>57.15</v>
      </c>
      <c r="I410" t="s">
        <v>381</v>
      </c>
      <c r="J410" t="s">
        <v>382</v>
      </c>
      <c r="K410" t="s">
        <v>383</v>
      </c>
      <c r="L410" t="s">
        <v>206</v>
      </c>
      <c r="M410">
        <v>97403</v>
      </c>
      <c r="N410" t="s">
        <v>87</v>
      </c>
      <c r="P410" t="s">
        <v>87</v>
      </c>
      <c r="Q410" t="s">
        <v>87</v>
      </c>
    </row>
    <row r="411" spans="1:17" x14ac:dyDescent="0.2">
      <c r="A411">
        <v>10657</v>
      </c>
      <c r="B411" t="s">
        <v>231</v>
      </c>
      <c r="C411">
        <v>2</v>
      </c>
      <c r="D411" s="1">
        <v>35677</v>
      </c>
      <c r="E411" s="1">
        <v>35705</v>
      </c>
      <c r="F411" s="1">
        <v>35688</v>
      </c>
      <c r="G411">
        <v>2</v>
      </c>
      <c r="H411">
        <v>352.69</v>
      </c>
      <c r="I411" t="s">
        <v>232</v>
      </c>
      <c r="J411" t="s">
        <v>233</v>
      </c>
      <c r="K411" t="s">
        <v>234</v>
      </c>
      <c r="L411" t="s">
        <v>235</v>
      </c>
      <c r="M411">
        <v>83720</v>
      </c>
      <c r="N411" t="s">
        <v>87</v>
      </c>
      <c r="P411" t="s">
        <v>87</v>
      </c>
      <c r="Q411" t="s">
        <v>87</v>
      </c>
    </row>
    <row r="412" spans="1:17" x14ac:dyDescent="0.2">
      <c r="A412">
        <v>10658</v>
      </c>
      <c r="B412" t="s">
        <v>122</v>
      </c>
      <c r="C412">
        <v>4</v>
      </c>
      <c r="D412" s="1">
        <v>35678</v>
      </c>
      <c r="E412" s="1">
        <v>35706</v>
      </c>
      <c r="F412" s="1">
        <v>35681</v>
      </c>
      <c r="G412">
        <v>1</v>
      </c>
      <c r="H412">
        <v>364.15</v>
      </c>
      <c r="I412" t="s">
        <v>123</v>
      </c>
      <c r="J412" t="s">
        <v>124</v>
      </c>
      <c r="K412" t="s">
        <v>125</v>
      </c>
      <c r="L412" t="s">
        <v>18</v>
      </c>
      <c r="M412" s="2" t="s">
        <v>126</v>
      </c>
      <c r="N412" t="s">
        <v>24</v>
      </c>
      <c r="P412" t="s">
        <v>24</v>
      </c>
      <c r="Q412" t="s">
        <v>24</v>
      </c>
    </row>
    <row r="413" spans="1:17" x14ac:dyDescent="0.2">
      <c r="A413">
        <v>10659</v>
      </c>
      <c r="B413" t="s">
        <v>305</v>
      </c>
      <c r="C413">
        <v>7</v>
      </c>
      <c r="D413" s="1">
        <v>35678</v>
      </c>
      <c r="E413" s="1">
        <v>35706</v>
      </c>
      <c r="F413" s="1">
        <v>35683</v>
      </c>
      <c r="G413">
        <v>2</v>
      </c>
      <c r="H413">
        <v>105.81</v>
      </c>
      <c r="I413" t="s">
        <v>306</v>
      </c>
      <c r="J413" t="s">
        <v>307</v>
      </c>
      <c r="K413">
        <v>891</v>
      </c>
      <c r="L413" t="s">
        <v>177</v>
      </c>
      <c r="M413" t="s">
        <v>55</v>
      </c>
      <c r="N413" t="s">
        <v>308</v>
      </c>
      <c r="O413" t="s">
        <v>31</v>
      </c>
      <c r="P413" t="s">
        <v>31</v>
      </c>
      <c r="Q413" t="s">
        <v>31</v>
      </c>
    </row>
    <row r="414" spans="1:17" x14ac:dyDescent="0.2">
      <c r="A414">
        <v>10660</v>
      </c>
      <c r="B414" t="s">
        <v>315</v>
      </c>
      <c r="C414">
        <v>8</v>
      </c>
      <c r="D414" s="1">
        <v>35681</v>
      </c>
      <c r="E414" s="1">
        <v>35709</v>
      </c>
      <c r="F414" s="1">
        <v>35718</v>
      </c>
      <c r="G414">
        <v>1</v>
      </c>
      <c r="H414">
        <v>111.29</v>
      </c>
      <c r="I414" t="s">
        <v>316</v>
      </c>
      <c r="J414" t="s">
        <v>317</v>
      </c>
      <c r="K414" t="s">
        <v>318</v>
      </c>
      <c r="L414" t="s">
        <v>206</v>
      </c>
      <c r="M414">
        <v>97827</v>
      </c>
      <c r="N414" t="s">
        <v>87</v>
      </c>
      <c r="P414" t="s">
        <v>87</v>
      </c>
      <c r="Q414" t="s">
        <v>87</v>
      </c>
    </row>
    <row r="415" spans="1:17" x14ac:dyDescent="0.2">
      <c r="A415">
        <v>10661</v>
      </c>
      <c r="B415" t="s">
        <v>183</v>
      </c>
      <c r="C415">
        <v>7</v>
      </c>
      <c r="D415" s="1">
        <v>35682</v>
      </c>
      <c r="E415" s="1">
        <v>35710</v>
      </c>
      <c r="F415" s="1">
        <v>35688</v>
      </c>
      <c r="G415">
        <v>3</v>
      </c>
      <c r="H415">
        <v>17.55</v>
      </c>
      <c r="I415" t="s">
        <v>184</v>
      </c>
      <c r="J415" t="s">
        <v>185</v>
      </c>
      <c r="K415" t="s">
        <v>186</v>
      </c>
      <c r="L415" t="s">
        <v>187</v>
      </c>
      <c r="M415" t="s">
        <v>18</v>
      </c>
      <c r="N415" t="s">
        <v>188</v>
      </c>
      <c r="P415" t="s">
        <v>188</v>
      </c>
      <c r="Q415" t="s">
        <v>188</v>
      </c>
    </row>
    <row r="416" spans="1:17" x14ac:dyDescent="0.2">
      <c r="A416">
        <v>10662</v>
      </c>
      <c r="B416" t="s">
        <v>202</v>
      </c>
      <c r="C416">
        <v>3</v>
      </c>
      <c r="D416" s="1">
        <v>35682</v>
      </c>
      <c r="E416" s="1">
        <v>35710</v>
      </c>
      <c r="F416" s="1">
        <v>35691</v>
      </c>
      <c r="G416">
        <v>2</v>
      </c>
      <c r="H416">
        <v>1.28</v>
      </c>
      <c r="I416" t="s">
        <v>203</v>
      </c>
      <c r="J416" t="s">
        <v>204</v>
      </c>
      <c r="K416" t="s">
        <v>205</v>
      </c>
      <c r="L416" t="s">
        <v>206</v>
      </c>
      <c r="M416">
        <v>97219</v>
      </c>
      <c r="N416" t="s">
        <v>87</v>
      </c>
      <c r="P416" t="s">
        <v>87</v>
      </c>
      <c r="Q416" t="s">
        <v>87</v>
      </c>
    </row>
    <row r="417" spans="1:17" x14ac:dyDescent="0.2">
      <c r="A417">
        <v>10663</v>
      </c>
      <c r="B417" t="s">
        <v>244</v>
      </c>
      <c r="C417">
        <v>2</v>
      </c>
      <c r="D417" s="1">
        <v>35683</v>
      </c>
      <c r="E417" s="1">
        <v>35697</v>
      </c>
      <c r="F417" s="1">
        <v>35706</v>
      </c>
      <c r="G417">
        <v>2</v>
      </c>
      <c r="H417">
        <v>113.15</v>
      </c>
      <c r="I417" t="s">
        <v>245</v>
      </c>
      <c r="J417">
        <v>12</v>
      </c>
      <c r="K417" t="s">
        <v>246</v>
      </c>
      <c r="L417" t="s">
        <v>247</v>
      </c>
      <c r="M417" t="s">
        <v>18</v>
      </c>
      <c r="N417">
        <v>13008</v>
      </c>
      <c r="O417" t="s">
        <v>19</v>
      </c>
      <c r="P417" t="s">
        <v>19</v>
      </c>
      <c r="Q417" t="s">
        <v>19</v>
      </c>
    </row>
    <row r="418" spans="1:17" x14ac:dyDescent="0.2">
      <c r="A418">
        <v>10664</v>
      </c>
      <c r="B418" t="s">
        <v>239</v>
      </c>
      <c r="C418">
        <v>1</v>
      </c>
      <c r="D418" s="1">
        <v>35683</v>
      </c>
      <c r="E418" s="1">
        <v>35711</v>
      </c>
      <c r="F418" s="1">
        <v>35692</v>
      </c>
      <c r="G418">
        <v>3</v>
      </c>
      <c r="H418">
        <v>1.27</v>
      </c>
      <c r="I418" t="s">
        <v>240</v>
      </c>
      <c r="J418" t="s">
        <v>241</v>
      </c>
      <c r="K418" t="s">
        <v>242</v>
      </c>
      <c r="L418" t="s">
        <v>18</v>
      </c>
      <c r="M418">
        <v>1675</v>
      </c>
      <c r="N418" t="s">
        <v>243</v>
      </c>
      <c r="P418" t="s">
        <v>243</v>
      </c>
      <c r="Q418" t="s">
        <v>243</v>
      </c>
    </row>
    <row r="419" spans="1:17" x14ac:dyDescent="0.2">
      <c r="A419">
        <v>10665</v>
      </c>
      <c r="B419" t="s">
        <v>202</v>
      </c>
      <c r="C419">
        <v>1</v>
      </c>
      <c r="D419" s="1">
        <v>35684</v>
      </c>
      <c r="E419" s="1">
        <v>35712</v>
      </c>
      <c r="F419" s="1">
        <v>35690</v>
      </c>
      <c r="G419">
        <v>2</v>
      </c>
      <c r="H419">
        <v>26.31</v>
      </c>
      <c r="I419" t="s">
        <v>203</v>
      </c>
      <c r="J419" t="s">
        <v>204</v>
      </c>
      <c r="K419" t="s">
        <v>205</v>
      </c>
      <c r="L419" t="s">
        <v>206</v>
      </c>
      <c r="M419">
        <v>97219</v>
      </c>
      <c r="N419" t="s">
        <v>87</v>
      </c>
      <c r="P419" t="s">
        <v>87</v>
      </c>
      <c r="Q419" t="s">
        <v>87</v>
      </c>
    </row>
    <row r="420" spans="1:17" x14ac:dyDescent="0.2">
      <c r="A420">
        <v>10666</v>
      </c>
      <c r="B420" t="s">
        <v>47</v>
      </c>
      <c r="C420">
        <v>7</v>
      </c>
      <c r="D420" s="1">
        <v>35685</v>
      </c>
      <c r="E420" s="1">
        <v>35713</v>
      </c>
      <c r="F420" s="1">
        <v>35695</v>
      </c>
      <c r="G420">
        <v>2</v>
      </c>
      <c r="H420">
        <v>232.42</v>
      </c>
      <c r="I420" t="s">
        <v>48</v>
      </c>
      <c r="J420" t="s">
        <v>49</v>
      </c>
      <c r="K420" t="s">
        <v>50</v>
      </c>
      <c r="L420" t="s">
        <v>18</v>
      </c>
      <c r="M420">
        <v>1204</v>
      </c>
      <c r="N420" t="s">
        <v>46</v>
      </c>
      <c r="P420" t="s">
        <v>46</v>
      </c>
      <c r="Q420" t="s">
        <v>46</v>
      </c>
    </row>
    <row r="421" spans="1:17" x14ac:dyDescent="0.2">
      <c r="A421">
        <v>10667</v>
      </c>
      <c r="B421" t="s">
        <v>63</v>
      </c>
      <c r="C421">
        <v>7</v>
      </c>
      <c r="D421" s="1">
        <v>35685</v>
      </c>
      <c r="E421" s="1">
        <v>35713</v>
      </c>
      <c r="F421" s="1">
        <v>35692</v>
      </c>
      <c r="G421">
        <v>1</v>
      </c>
      <c r="H421">
        <v>78.09</v>
      </c>
      <c r="I421" t="s">
        <v>64</v>
      </c>
      <c r="J421" t="s">
        <v>65</v>
      </c>
      <c r="K421" t="s">
        <v>66</v>
      </c>
      <c r="L421" t="s">
        <v>18</v>
      </c>
      <c r="M421">
        <v>8010</v>
      </c>
      <c r="N421" t="s">
        <v>67</v>
      </c>
      <c r="P421" t="s">
        <v>67</v>
      </c>
      <c r="Q421" t="s">
        <v>67</v>
      </c>
    </row>
    <row r="422" spans="1:17" x14ac:dyDescent="0.2">
      <c r="A422">
        <v>10668</v>
      </c>
      <c r="B422" t="s">
        <v>189</v>
      </c>
      <c r="C422">
        <v>1</v>
      </c>
      <c r="D422" s="1">
        <v>35688</v>
      </c>
      <c r="E422" s="1">
        <v>35716</v>
      </c>
      <c r="F422" s="1">
        <v>35696</v>
      </c>
      <c r="G422">
        <v>2</v>
      </c>
      <c r="H422">
        <v>47.22</v>
      </c>
      <c r="I422" t="s">
        <v>190</v>
      </c>
      <c r="J422" t="s">
        <v>191</v>
      </c>
      <c r="K422" t="s">
        <v>192</v>
      </c>
      <c r="L422" t="s">
        <v>18</v>
      </c>
      <c r="M422">
        <v>70563</v>
      </c>
      <c r="N422" t="s">
        <v>24</v>
      </c>
      <c r="P422" t="s">
        <v>24</v>
      </c>
      <c r="Q422" t="s">
        <v>24</v>
      </c>
    </row>
    <row r="423" spans="1:17" x14ac:dyDescent="0.2">
      <c r="A423">
        <v>10669</v>
      </c>
      <c r="B423" t="s">
        <v>258</v>
      </c>
      <c r="C423">
        <v>2</v>
      </c>
      <c r="D423" s="1">
        <v>35688</v>
      </c>
      <c r="E423" s="1">
        <v>35716</v>
      </c>
      <c r="F423" s="1">
        <v>35695</v>
      </c>
      <c r="G423">
        <v>1</v>
      </c>
      <c r="H423">
        <v>24.39</v>
      </c>
      <c r="I423" t="s">
        <v>259</v>
      </c>
      <c r="J423" t="s">
        <v>260</v>
      </c>
      <c r="K423" t="s">
        <v>261</v>
      </c>
      <c r="L423" t="s">
        <v>18</v>
      </c>
      <c r="M423">
        <v>1734</v>
      </c>
      <c r="N423" t="s">
        <v>262</v>
      </c>
      <c r="P423" t="s">
        <v>262</v>
      </c>
      <c r="Q423" t="s">
        <v>262</v>
      </c>
    </row>
    <row r="424" spans="1:17" x14ac:dyDescent="0.2">
      <c r="A424">
        <v>10670</v>
      </c>
      <c r="B424" t="s">
        <v>103</v>
      </c>
      <c r="C424">
        <v>4</v>
      </c>
      <c r="D424" s="1">
        <v>35689</v>
      </c>
      <c r="E424" s="1">
        <v>35717</v>
      </c>
      <c r="F424" s="1">
        <v>35691</v>
      </c>
      <c r="G424">
        <v>1</v>
      </c>
      <c r="H424">
        <v>203.48</v>
      </c>
      <c r="I424" t="s">
        <v>104</v>
      </c>
      <c r="J424" t="s">
        <v>105</v>
      </c>
      <c r="K424" t="s">
        <v>106</v>
      </c>
      <c r="L424" t="s">
        <v>18</v>
      </c>
      <c r="M424">
        <v>80805</v>
      </c>
      <c r="N424" t="s">
        <v>24</v>
      </c>
      <c r="P424" t="s">
        <v>24</v>
      </c>
      <c r="Q424" t="s">
        <v>24</v>
      </c>
    </row>
    <row r="425" spans="1:17" x14ac:dyDescent="0.2">
      <c r="A425">
        <v>10671</v>
      </c>
      <c r="B425" t="s">
        <v>411</v>
      </c>
      <c r="C425">
        <v>1</v>
      </c>
      <c r="D425" s="1">
        <v>35690</v>
      </c>
      <c r="E425" s="1">
        <v>35718</v>
      </c>
      <c r="F425" s="1">
        <v>35697</v>
      </c>
      <c r="G425">
        <v>1</v>
      </c>
      <c r="H425">
        <v>30.34</v>
      </c>
      <c r="I425" t="s">
        <v>412</v>
      </c>
      <c r="J425">
        <v>54</v>
      </c>
      <c r="K425" t="s">
        <v>413</v>
      </c>
      <c r="L425" t="s">
        <v>217</v>
      </c>
      <c r="M425" t="s">
        <v>18</v>
      </c>
      <c r="N425">
        <v>44000</v>
      </c>
      <c r="O425" t="s">
        <v>19</v>
      </c>
      <c r="P425" t="s">
        <v>19</v>
      </c>
      <c r="Q425" t="s">
        <v>19</v>
      </c>
    </row>
    <row r="426" spans="1:17" x14ac:dyDescent="0.2">
      <c r="A426">
        <v>10672</v>
      </c>
      <c r="B426" t="s">
        <v>141</v>
      </c>
      <c r="C426">
        <v>9</v>
      </c>
      <c r="D426" s="1">
        <v>35690</v>
      </c>
      <c r="E426" s="1">
        <v>35704</v>
      </c>
      <c r="F426" s="1">
        <v>35699</v>
      </c>
      <c r="G426">
        <v>2</v>
      </c>
      <c r="H426">
        <v>95.75</v>
      </c>
      <c r="I426" t="s">
        <v>142</v>
      </c>
      <c r="J426" t="s">
        <v>143</v>
      </c>
      <c r="K426" t="s">
        <v>144</v>
      </c>
      <c r="L426" t="s">
        <v>18</v>
      </c>
      <c r="M426" t="s">
        <v>145</v>
      </c>
      <c r="N426" t="s">
        <v>93</v>
      </c>
      <c r="P426" t="s">
        <v>93</v>
      </c>
      <c r="Q426" t="s">
        <v>93</v>
      </c>
    </row>
    <row r="427" spans="1:17" x14ac:dyDescent="0.2">
      <c r="A427">
        <v>10673</v>
      </c>
      <c r="B427" t="s">
        <v>398</v>
      </c>
      <c r="C427">
        <v>2</v>
      </c>
      <c r="D427" s="1">
        <v>35691</v>
      </c>
      <c r="E427" s="1">
        <v>35719</v>
      </c>
      <c r="F427" s="1">
        <v>35692</v>
      </c>
      <c r="G427">
        <v>1</v>
      </c>
      <c r="H427">
        <v>22.76</v>
      </c>
      <c r="I427" t="s">
        <v>399</v>
      </c>
      <c r="J427" t="s">
        <v>400</v>
      </c>
      <c r="K427" t="s">
        <v>401</v>
      </c>
      <c r="L427" t="s">
        <v>18</v>
      </c>
      <c r="M427">
        <v>21240</v>
      </c>
      <c r="N427" t="s">
        <v>102</v>
      </c>
      <c r="P427" t="s">
        <v>102</v>
      </c>
      <c r="Q427" t="s">
        <v>102</v>
      </c>
    </row>
    <row r="428" spans="1:17" x14ac:dyDescent="0.2">
      <c r="A428">
        <v>10674</v>
      </c>
      <c r="B428" t="s">
        <v>218</v>
      </c>
      <c r="C428">
        <v>4</v>
      </c>
      <c r="D428" s="1">
        <v>35691</v>
      </c>
      <c r="E428" s="1">
        <v>35719</v>
      </c>
      <c r="F428" s="1">
        <v>35703</v>
      </c>
      <c r="G428">
        <v>2</v>
      </c>
      <c r="H428">
        <v>0.9</v>
      </c>
      <c r="I428" t="s">
        <v>219</v>
      </c>
      <c r="J428" t="s">
        <v>220</v>
      </c>
      <c r="K428" t="s">
        <v>221</v>
      </c>
      <c r="L428" t="s">
        <v>222</v>
      </c>
      <c r="M428" t="s">
        <v>223</v>
      </c>
      <c r="N428" t="s">
        <v>173</v>
      </c>
      <c r="P428" t="s">
        <v>173</v>
      </c>
      <c r="Q428" t="s">
        <v>173</v>
      </c>
    </row>
    <row r="429" spans="1:17" x14ac:dyDescent="0.2">
      <c r="A429">
        <v>10675</v>
      </c>
      <c r="B429" t="s">
        <v>103</v>
      </c>
      <c r="C429">
        <v>5</v>
      </c>
      <c r="D429" s="1">
        <v>35692</v>
      </c>
      <c r="E429" s="1">
        <v>35720</v>
      </c>
      <c r="F429" s="1">
        <v>35696</v>
      </c>
      <c r="G429">
        <v>2</v>
      </c>
      <c r="H429">
        <v>31.85</v>
      </c>
      <c r="I429" t="s">
        <v>104</v>
      </c>
      <c r="J429" t="s">
        <v>105</v>
      </c>
      <c r="K429" t="s">
        <v>106</v>
      </c>
      <c r="L429" t="s">
        <v>18</v>
      </c>
      <c r="M429">
        <v>80805</v>
      </c>
      <c r="N429" t="s">
        <v>24</v>
      </c>
      <c r="P429" t="s">
        <v>24</v>
      </c>
      <c r="Q429" t="s">
        <v>24</v>
      </c>
    </row>
    <row r="430" spans="1:17" x14ac:dyDescent="0.2">
      <c r="A430">
        <v>10676</v>
      </c>
      <c r="B430" t="s">
        <v>132</v>
      </c>
      <c r="C430">
        <v>2</v>
      </c>
      <c r="D430" s="1">
        <v>35695</v>
      </c>
      <c r="E430" s="1">
        <v>35723</v>
      </c>
      <c r="F430" s="1">
        <v>35702</v>
      </c>
      <c r="G430">
        <v>2</v>
      </c>
      <c r="H430">
        <v>2.0099999999999998</v>
      </c>
      <c r="I430" t="s">
        <v>133</v>
      </c>
      <c r="J430" t="s">
        <v>134</v>
      </c>
      <c r="K430" t="s">
        <v>71</v>
      </c>
      <c r="L430" t="s">
        <v>18</v>
      </c>
      <c r="M430" s="2" t="s">
        <v>135</v>
      </c>
      <c r="N430" t="s">
        <v>73</v>
      </c>
      <c r="P430" t="s">
        <v>73</v>
      </c>
      <c r="Q430" t="s">
        <v>73</v>
      </c>
    </row>
    <row r="431" spans="1:17" x14ac:dyDescent="0.2">
      <c r="A431">
        <v>10677</v>
      </c>
      <c r="B431" t="s">
        <v>293</v>
      </c>
      <c r="C431">
        <v>1</v>
      </c>
      <c r="D431" s="1">
        <v>35695</v>
      </c>
      <c r="E431" s="1">
        <v>35723</v>
      </c>
      <c r="F431" s="1">
        <v>35699</v>
      </c>
      <c r="G431">
        <v>3</v>
      </c>
      <c r="H431">
        <v>4.03</v>
      </c>
      <c r="I431" t="s">
        <v>294</v>
      </c>
      <c r="J431" t="s">
        <v>295</v>
      </c>
      <c r="K431" t="s">
        <v>71</v>
      </c>
      <c r="L431" t="s">
        <v>18</v>
      </c>
      <c r="M431" s="2" t="s">
        <v>296</v>
      </c>
      <c r="N431" t="s">
        <v>73</v>
      </c>
      <c r="P431" t="s">
        <v>73</v>
      </c>
      <c r="Q431" t="s">
        <v>73</v>
      </c>
    </row>
    <row r="432" spans="1:17" x14ac:dyDescent="0.2">
      <c r="A432">
        <v>10678</v>
      </c>
      <c r="B432" t="s">
        <v>231</v>
      </c>
      <c r="C432">
        <v>7</v>
      </c>
      <c r="D432" s="1">
        <v>35696</v>
      </c>
      <c r="E432" s="1">
        <v>35724</v>
      </c>
      <c r="F432" s="1">
        <v>35719</v>
      </c>
      <c r="G432">
        <v>3</v>
      </c>
      <c r="H432">
        <v>388.98</v>
      </c>
      <c r="I432" t="s">
        <v>232</v>
      </c>
      <c r="J432" t="s">
        <v>233</v>
      </c>
      <c r="K432" t="s">
        <v>234</v>
      </c>
      <c r="L432" t="s">
        <v>235</v>
      </c>
      <c r="M432">
        <v>83720</v>
      </c>
      <c r="N432" t="s">
        <v>87</v>
      </c>
      <c r="P432" t="s">
        <v>87</v>
      </c>
      <c r="Q432" t="s">
        <v>87</v>
      </c>
    </row>
    <row r="433" spans="1:17" x14ac:dyDescent="0.2">
      <c r="A433">
        <v>10679</v>
      </c>
      <c r="B433" t="s">
        <v>94</v>
      </c>
      <c r="C433">
        <v>8</v>
      </c>
      <c r="D433" s="1">
        <v>35696</v>
      </c>
      <c r="E433" s="1">
        <v>35724</v>
      </c>
      <c r="F433" s="1">
        <v>35703</v>
      </c>
      <c r="G433">
        <v>3</v>
      </c>
      <c r="H433">
        <v>27.94</v>
      </c>
      <c r="I433" t="s">
        <v>95</v>
      </c>
      <c r="J433">
        <v>24</v>
      </c>
      <c r="K433" t="s">
        <v>96</v>
      </c>
      <c r="L433" t="s">
        <v>97</v>
      </c>
      <c r="M433" t="s">
        <v>18</v>
      </c>
      <c r="N433">
        <v>67000</v>
      </c>
      <c r="O433" t="s">
        <v>19</v>
      </c>
      <c r="P433" t="s">
        <v>19</v>
      </c>
      <c r="Q433" t="s">
        <v>19</v>
      </c>
    </row>
    <row r="434" spans="1:17" x14ac:dyDescent="0.2">
      <c r="A434">
        <v>10680</v>
      </c>
      <c r="B434" t="s">
        <v>197</v>
      </c>
      <c r="C434">
        <v>1</v>
      </c>
      <c r="D434" s="1">
        <v>35697</v>
      </c>
      <c r="E434" s="1">
        <v>35725</v>
      </c>
      <c r="F434" s="1">
        <v>35699</v>
      </c>
      <c r="G434">
        <v>1</v>
      </c>
      <c r="H434">
        <v>26.61</v>
      </c>
      <c r="I434" t="s">
        <v>198</v>
      </c>
      <c r="J434" t="s">
        <v>199</v>
      </c>
      <c r="K434" t="s">
        <v>200</v>
      </c>
      <c r="L434" t="s">
        <v>201</v>
      </c>
      <c r="M434">
        <v>99508</v>
      </c>
      <c r="N434" t="s">
        <v>87</v>
      </c>
      <c r="P434" t="s">
        <v>87</v>
      </c>
      <c r="Q434" t="s">
        <v>87</v>
      </c>
    </row>
    <row r="435" spans="1:17" x14ac:dyDescent="0.2">
      <c r="A435">
        <v>10681</v>
      </c>
      <c r="B435" t="s">
        <v>380</v>
      </c>
      <c r="C435">
        <v>3</v>
      </c>
      <c r="D435" s="1">
        <v>35698</v>
      </c>
      <c r="E435" s="1">
        <v>35726</v>
      </c>
      <c r="F435" s="1">
        <v>35703</v>
      </c>
      <c r="G435">
        <v>3</v>
      </c>
      <c r="H435">
        <v>76.13</v>
      </c>
      <c r="I435" t="s">
        <v>381</v>
      </c>
      <c r="J435" t="s">
        <v>382</v>
      </c>
      <c r="K435" t="s">
        <v>383</v>
      </c>
      <c r="L435" t="s">
        <v>206</v>
      </c>
      <c r="M435">
        <v>97403</v>
      </c>
      <c r="N435" t="s">
        <v>87</v>
      </c>
      <c r="P435" t="s">
        <v>87</v>
      </c>
      <c r="Q435" t="s">
        <v>87</v>
      </c>
    </row>
    <row r="436" spans="1:17" x14ac:dyDescent="0.2">
      <c r="A436">
        <v>10682</v>
      </c>
      <c r="B436" t="s">
        <v>293</v>
      </c>
      <c r="C436">
        <v>3</v>
      </c>
      <c r="D436" s="1">
        <v>35698</v>
      </c>
      <c r="E436" s="1">
        <v>35726</v>
      </c>
      <c r="F436" s="1">
        <v>35704</v>
      </c>
      <c r="G436">
        <v>2</v>
      </c>
      <c r="H436">
        <v>36.130000000000003</v>
      </c>
      <c r="I436" t="s">
        <v>294</v>
      </c>
      <c r="J436" t="s">
        <v>295</v>
      </c>
      <c r="K436" t="s">
        <v>71</v>
      </c>
      <c r="L436" t="s">
        <v>18</v>
      </c>
      <c r="M436" s="2" t="s">
        <v>296</v>
      </c>
      <c r="N436" t="s">
        <v>73</v>
      </c>
      <c r="P436" t="s">
        <v>73</v>
      </c>
      <c r="Q436" t="s">
        <v>73</v>
      </c>
    </row>
    <row r="437" spans="1:17" x14ac:dyDescent="0.2">
      <c r="A437">
        <v>10683</v>
      </c>
      <c r="B437" t="s">
        <v>214</v>
      </c>
      <c r="C437">
        <v>2</v>
      </c>
      <c r="D437" s="1">
        <v>35699</v>
      </c>
      <c r="E437" s="1">
        <v>35727</v>
      </c>
      <c r="F437" s="1">
        <v>35704</v>
      </c>
      <c r="G437">
        <v>1</v>
      </c>
      <c r="H437">
        <v>4.4000000000000004</v>
      </c>
      <c r="I437" t="s">
        <v>215</v>
      </c>
      <c r="J437">
        <v>67</v>
      </c>
      <c r="K437" t="s">
        <v>216</v>
      </c>
      <c r="L437" t="s">
        <v>217</v>
      </c>
      <c r="M437" t="s">
        <v>18</v>
      </c>
      <c r="N437">
        <v>44000</v>
      </c>
      <c r="O437" t="s">
        <v>19</v>
      </c>
      <c r="P437" t="s">
        <v>19</v>
      </c>
      <c r="Q437" t="s">
        <v>19</v>
      </c>
    </row>
    <row r="438" spans="1:17" x14ac:dyDescent="0.2">
      <c r="A438">
        <v>10684</v>
      </c>
      <c r="B438" t="s">
        <v>74</v>
      </c>
      <c r="C438">
        <v>3</v>
      </c>
      <c r="D438" s="1">
        <v>35699</v>
      </c>
      <c r="E438" s="1">
        <v>35727</v>
      </c>
      <c r="F438" s="1">
        <v>35703</v>
      </c>
      <c r="G438">
        <v>1</v>
      </c>
      <c r="H438">
        <v>145.63</v>
      </c>
      <c r="I438" t="s">
        <v>75</v>
      </c>
      <c r="J438" t="s">
        <v>76</v>
      </c>
      <c r="K438" t="s">
        <v>77</v>
      </c>
      <c r="L438" t="s">
        <v>18</v>
      </c>
      <c r="M438">
        <v>50739</v>
      </c>
      <c r="N438" t="s">
        <v>24</v>
      </c>
      <c r="P438" t="s">
        <v>24</v>
      </c>
      <c r="Q438" t="s">
        <v>24</v>
      </c>
    </row>
    <row r="439" spans="1:17" x14ac:dyDescent="0.2">
      <c r="A439">
        <v>10685</v>
      </c>
      <c r="B439" t="s">
        <v>348</v>
      </c>
      <c r="C439">
        <v>4</v>
      </c>
      <c r="D439" s="1">
        <v>35702</v>
      </c>
      <c r="E439" s="1">
        <v>35716</v>
      </c>
      <c r="F439" s="1">
        <v>35706</v>
      </c>
      <c r="G439">
        <v>2</v>
      </c>
      <c r="H439">
        <v>33.75</v>
      </c>
      <c r="I439" t="s">
        <v>349</v>
      </c>
      <c r="J439" t="s">
        <v>350</v>
      </c>
      <c r="K439">
        <v>442</v>
      </c>
      <c r="L439" t="s">
        <v>351</v>
      </c>
      <c r="M439" t="s">
        <v>55</v>
      </c>
      <c r="N439" t="s">
        <v>352</v>
      </c>
      <c r="O439" t="s">
        <v>31</v>
      </c>
      <c r="P439" t="s">
        <v>31</v>
      </c>
      <c r="Q439" t="s">
        <v>31</v>
      </c>
    </row>
    <row r="440" spans="1:17" x14ac:dyDescent="0.2">
      <c r="A440">
        <v>10686</v>
      </c>
      <c r="B440" t="s">
        <v>271</v>
      </c>
      <c r="C440">
        <v>2</v>
      </c>
      <c r="D440" s="1">
        <v>35703</v>
      </c>
      <c r="E440" s="1">
        <v>35731</v>
      </c>
      <c r="F440" s="1">
        <v>35711</v>
      </c>
      <c r="G440">
        <v>1</v>
      </c>
      <c r="H440">
        <v>96.5</v>
      </c>
      <c r="I440" t="s">
        <v>272</v>
      </c>
      <c r="J440" t="s">
        <v>273</v>
      </c>
      <c r="K440" t="s">
        <v>274</v>
      </c>
      <c r="L440" t="s">
        <v>18</v>
      </c>
      <c r="M440">
        <v>5020</v>
      </c>
      <c r="N440" t="s">
        <v>67</v>
      </c>
      <c r="P440" t="s">
        <v>67</v>
      </c>
      <c r="Q440" t="s">
        <v>67</v>
      </c>
    </row>
    <row r="441" spans="1:17" x14ac:dyDescent="0.2">
      <c r="A441">
        <v>10687</v>
      </c>
      <c r="B441" t="s">
        <v>183</v>
      </c>
      <c r="C441">
        <v>9</v>
      </c>
      <c r="D441" s="1">
        <v>35703</v>
      </c>
      <c r="E441" s="1">
        <v>35731</v>
      </c>
      <c r="F441" s="1">
        <v>35733</v>
      </c>
      <c r="G441">
        <v>2</v>
      </c>
      <c r="H441">
        <v>296.43</v>
      </c>
      <c r="I441" t="s">
        <v>184</v>
      </c>
      <c r="J441" t="s">
        <v>185</v>
      </c>
      <c r="K441" t="s">
        <v>186</v>
      </c>
      <c r="L441" t="s">
        <v>187</v>
      </c>
      <c r="M441" t="s">
        <v>18</v>
      </c>
      <c r="N441" t="s">
        <v>188</v>
      </c>
      <c r="P441" t="s">
        <v>188</v>
      </c>
      <c r="Q441" t="s">
        <v>188</v>
      </c>
    </row>
    <row r="442" spans="1:17" x14ac:dyDescent="0.2">
      <c r="A442">
        <v>10688</v>
      </c>
      <c r="B442" t="s">
        <v>301</v>
      </c>
      <c r="C442">
        <v>4</v>
      </c>
      <c r="D442" s="1">
        <v>35704</v>
      </c>
      <c r="E442" s="1">
        <v>35718</v>
      </c>
      <c r="F442" s="1">
        <v>35710</v>
      </c>
      <c r="G442">
        <v>2</v>
      </c>
      <c r="H442">
        <v>299.08999999999997</v>
      </c>
      <c r="I442" t="s">
        <v>302</v>
      </c>
      <c r="J442" t="s">
        <v>303</v>
      </c>
      <c r="K442" t="s">
        <v>304</v>
      </c>
      <c r="L442" t="s">
        <v>18</v>
      </c>
      <c r="M442">
        <v>8200</v>
      </c>
      <c r="N442" t="s">
        <v>262</v>
      </c>
      <c r="P442" t="s">
        <v>262</v>
      </c>
      <c r="Q442" t="s">
        <v>262</v>
      </c>
    </row>
    <row r="443" spans="1:17" x14ac:dyDescent="0.2">
      <c r="A443">
        <v>10689</v>
      </c>
      <c r="B443" t="s">
        <v>141</v>
      </c>
      <c r="C443">
        <v>1</v>
      </c>
      <c r="D443" s="1">
        <v>35704</v>
      </c>
      <c r="E443" s="1">
        <v>35732</v>
      </c>
      <c r="F443" s="1">
        <v>35710</v>
      </c>
      <c r="G443">
        <v>2</v>
      </c>
      <c r="H443">
        <v>13.42</v>
      </c>
      <c r="I443" t="s">
        <v>142</v>
      </c>
      <c r="J443" t="s">
        <v>143</v>
      </c>
      <c r="K443" t="s">
        <v>144</v>
      </c>
      <c r="L443" t="s">
        <v>18</v>
      </c>
      <c r="M443" t="s">
        <v>145</v>
      </c>
      <c r="N443" t="s">
        <v>93</v>
      </c>
      <c r="P443" t="s">
        <v>93</v>
      </c>
      <c r="Q443" t="s">
        <v>93</v>
      </c>
    </row>
    <row r="444" spans="1:17" x14ac:dyDescent="0.2">
      <c r="A444">
        <v>10690</v>
      </c>
      <c r="B444" t="s">
        <v>25</v>
      </c>
      <c r="C444">
        <v>1</v>
      </c>
      <c r="D444" s="1">
        <v>35705</v>
      </c>
      <c r="E444" s="1">
        <v>35733</v>
      </c>
      <c r="F444" s="1">
        <v>35706</v>
      </c>
      <c r="G444">
        <v>1</v>
      </c>
      <c r="H444">
        <v>15.8</v>
      </c>
      <c r="I444" t="s">
        <v>26</v>
      </c>
      <c r="J444" t="s">
        <v>27</v>
      </c>
      <c r="K444">
        <v>67</v>
      </c>
      <c r="L444" t="s">
        <v>28</v>
      </c>
      <c r="M444" t="s">
        <v>29</v>
      </c>
      <c r="N444" t="s">
        <v>30</v>
      </c>
      <c r="O444" t="s">
        <v>31</v>
      </c>
      <c r="P444" t="s">
        <v>31</v>
      </c>
      <c r="Q444" t="s">
        <v>31</v>
      </c>
    </row>
    <row r="445" spans="1:17" x14ac:dyDescent="0.2">
      <c r="A445">
        <v>10691</v>
      </c>
      <c r="B445" t="s">
        <v>122</v>
      </c>
      <c r="C445">
        <v>2</v>
      </c>
      <c r="D445" s="1">
        <v>35706</v>
      </c>
      <c r="E445" s="1">
        <v>35748</v>
      </c>
      <c r="F445" s="1">
        <v>35725</v>
      </c>
      <c r="G445">
        <v>2</v>
      </c>
      <c r="H445">
        <v>810.05</v>
      </c>
      <c r="I445" t="s">
        <v>123</v>
      </c>
      <c r="J445" t="s">
        <v>124</v>
      </c>
      <c r="K445" t="s">
        <v>125</v>
      </c>
      <c r="L445" t="s">
        <v>18</v>
      </c>
      <c r="M445" s="2" t="s">
        <v>126</v>
      </c>
      <c r="N445" t="s">
        <v>24</v>
      </c>
      <c r="P445" t="s">
        <v>24</v>
      </c>
      <c r="Q445" t="s">
        <v>24</v>
      </c>
    </row>
    <row r="446" spans="1:17" x14ac:dyDescent="0.2">
      <c r="A446">
        <v>10692</v>
      </c>
      <c r="B446" t="s">
        <v>407</v>
      </c>
      <c r="C446">
        <v>4</v>
      </c>
      <c r="D446" s="1">
        <v>35706</v>
      </c>
      <c r="E446" s="1">
        <v>35734</v>
      </c>
      <c r="F446" s="1">
        <v>35716</v>
      </c>
      <c r="G446">
        <v>2</v>
      </c>
      <c r="H446">
        <v>61.02</v>
      </c>
      <c r="I446" t="s">
        <v>414</v>
      </c>
      <c r="J446" t="s">
        <v>409</v>
      </c>
      <c r="K446" t="s">
        <v>410</v>
      </c>
      <c r="L446" t="s">
        <v>18</v>
      </c>
      <c r="M446">
        <v>12209</v>
      </c>
      <c r="N446" t="s">
        <v>24</v>
      </c>
      <c r="P446" t="s">
        <v>24</v>
      </c>
      <c r="Q446" t="s">
        <v>24</v>
      </c>
    </row>
    <row r="447" spans="1:17" x14ac:dyDescent="0.2">
      <c r="A447">
        <v>10693</v>
      </c>
      <c r="B447" t="s">
        <v>112</v>
      </c>
      <c r="C447">
        <v>3</v>
      </c>
      <c r="D447" s="1">
        <v>35709</v>
      </c>
      <c r="E447" s="1">
        <v>35723</v>
      </c>
      <c r="F447" s="1">
        <v>35713</v>
      </c>
      <c r="G447">
        <v>3</v>
      </c>
      <c r="H447">
        <v>139.34</v>
      </c>
      <c r="I447" t="s">
        <v>113</v>
      </c>
      <c r="J447" t="s">
        <v>114</v>
      </c>
      <c r="K447" t="s">
        <v>115</v>
      </c>
      <c r="L447" t="s">
        <v>116</v>
      </c>
      <c r="M447">
        <v>98124</v>
      </c>
      <c r="N447" t="s">
        <v>87</v>
      </c>
      <c r="P447" t="s">
        <v>87</v>
      </c>
      <c r="Q447" t="s">
        <v>87</v>
      </c>
    </row>
    <row r="448" spans="1:17" x14ac:dyDescent="0.2">
      <c r="A448">
        <v>10694</v>
      </c>
      <c r="B448" t="s">
        <v>122</v>
      </c>
      <c r="C448">
        <v>8</v>
      </c>
      <c r="D448" s="1">
        <v>35709</v>
      </c>
      <c r="E448" s="1">
        <v>35737</v>
      </c>
      <c r="F448" s="1">
        <v>35712</v>
      </c>
      <c r="G448">
        <v>3</v>
      </c>
      <c r="H448">
        <v>398.36</v>
      </c>
      <c r="I448" t="s">
        <v>123</v>
      </c>
      <c r="J448" t="s">
        <v>124</v>
      </c>
      <c r="K448" t="s">
        <v>125</v>
      </c>
      <c r="L448" t="s">
        <v>18</v>
      </c>
      <c r="M448" s="2" t="s">
        <v>126</v>
      </c>
      <c r="N448" t="s">
        <v>24</v>
      </c>
      <c r="P448" t="s">
        <v>24</v>
      </c>
      <c r="Q448" t="s">
        <v>24</v>
      </c>
    </row>
    <row r="449" spans="1:17" x14ac:dyDescent="0.2">
      <c r="A449">
        <v>10695</v>
      </c>
      <c r="B449" t="s">
        <v>398</v>
      </c>
      <c r="C449">
        <v>7</v>
      </c>
      <c r="D449" s="1">
        <v>35710</v>
      </c>
      <c r="E449" s="1">
        <v>35752</v>
      </c>
      <c r="F449" s="1">
        <v>35717</v>
      </c>
      <c r="G449">
        <v>1</v>
      </c>
      <c r="H449">
        <v>16.72</v>
      </c>
      <c r="I449" t="s">
        <v>399</v>
      </c>
      <c r="J449" t="s">
        <v>400</v>
      </c>
      <c r="K449" t="s">
        <v>401</v>
      </c>
      <c r="L449" t="s">
        <v>18</v>
      </c>
      <c r="M449">
        <v>21240</v>
      </c>
      <c r="N449" t="s">
        <v>102</v>
      </c>
      <c r="P449" t="s">
        <v>102</v>
      </c>
      <c r="Q449" t="s">
        <v>102</v>
      </c>
    </row>
    <row r="450" spans="1:17" x14ac:dyDescent="0.2">
      <c r="A450">
        <v>10696</v>
      </c>
      <c r="B450" t="s">
        <v>112</v>
      </c>
      <c r="C450">
        <v>8</v>
      </c>
      <c r="D450" s="1">
        <v>35711</v>
      </c>
      <c r="E450" s="1">
        <v>35753</v>
      </c>
      <c r="F450" s="1">
        <v>35717</v>
      </c>
      <c r="G450">
        <v>3</v>
      </c>
      <c r="H450">
        <v>102.55</v>
      </c>
      <c r="I450" t="s">
        <v>113</v>
      </c>
      <c r="J450" t="s">
        <v>114</v>
      </c>
      <c r="K450" t="s">
        <v>115</v>
      </c>
      <c r="L450" t="s">
        <v>116</v>
      </c>
      <c r="M450">
        <v>98124</v>
      </c>
      <c r="N450" t="s">
        <v>87</v>
      </c>
      <c r="P450" t="s">
        <v>87</v>
      </c>
      <c r="Q450" t="s">
        <v>87</v>
      </c>
    </row>
    <row r="451" spans="1:17" x14ac:dyDescent="0.2">
      <c r="A451">
        <v>10697</v>
      </c>
      <c r="B451" t="s">
        <v>330</v>
      </c>
      <c r="C451">
        <v>3</v>
      </c>
      <c r="D451" s="1">
        <v>35711</v>
      </c>
      <c r="E451" s="1">
        <v>35739</v>
      </c>
      <c r="F451" s="1">
        <v>35717</v>
      </c>
      <c r="G451">
        <v>1</v>
      </c>
      <c r="H451">
        <v>45.52</v>
      </c>
      <c r="I451" t="s">
        <v>331</v>
      </c>
      <c r="J451" t="s">
        <v>332</v>
      </c>
      <c r="K451" t="s">
        <v>333</v>
      </c>
      <c r="L451" t="s">
        <v>334</v>
      </c>
      <c r="M451">
        <v>4980</v>
      </c>
      <c r="N451" t="s">
        <v>62</v>
      </c>
      <c r="P451" t="s">
        <v>62</v>
      </c>
      <c r="Q451" t="s">
        <v>62</v>
      </c>
    </row>
    <row r="452" spans="1:17" x14ac:dyDescent="0.2">
      <c r="A452">
        <v>10698</v>
      </c>
      <c r="B452" t="s">
        <v>63</v>
      </c>
      <c r="C452">
        <v>4</v>
      </c>
      <c r="D452" s="1">
        <v>35712</v>
      </c>
      <c r="E452" s="1">
        <v>35740</v>
      </c>
      <c r="F452" s="1">
        <v>35720</v>
      </c>
      <c r="G452">
        <v>1</v>
      </c>
      <c r="H452">
        <v>272.47000000000003</v>
      </c>
      <c r="I452" t="s">
        <v>64</v>
      </c>
      <c r="J452" t="s">
        <v>65</v>
      </c>
      <c r="K452" t="s">
        <v>66</v>
      </c>
      <c r="L452" t="s">
        <v>18</v>
      </c>
      <c r="M452">
        <v>8010</v>
      </c>
      <c r="N452" t="s">
        <v>67</v>
      </c>
      <c r="P452" t="s">
        <v>67</v>
      </c>
      <c r="Q452" t="s">
        <v>67</v>
      </c>
    </row>
    <row r="453" spans="1:17" x14ac:dyDescent="0.2">
      <c r="A453">
        <v>10699</v>
      </c>
      <c r="B453" t="s">
        <v>136</v>
      </c>
      <c r="C453">
        <v>3</v>
      </c>
      <c r="D453" s="1">
        <v>35712</v>
      </c>
      <c r="E453" s="1">
        <v>35740</v>
      </c>
      <c r="F453" s="1">
        <v>35716</v>
      </c>
      <c r="G453">
        <v>3</v>
      </c>
      <c r="H453">
        <v>0.57999999999999996</v>
      </c>
      <c r="I453" t="s">
        <v>137</v>
      </c>
      <c r="J453" t="s">
        <v>138</v>
      </c>
      <c r="K453" t="s">
        <v>139</v>
      </c>
      <c r="L453" t="s">
        <v>18</v>
      </c>
      <c r="M453" s="2" t="s">
        <v>140</v>
      </c>
      <c r="N453" t="s">
        <v>24</v>
      </c>
      <c r="P453" t="s">
        <v>24</v>
      </c>
      <c r="Q453" t="s">
        <v>24</v>
      </c>
    </row>
    <row r="454" spans="1:17" x14ac:dyDescent="0.2">
      <c r="A454">
        <v>10700</v>
      </c>
      <c r="B454" t="s">
        <v>231</v>
      </c>
      <c r="C454">
        <v>3</v>
      </c>
      <c r="D454" s="1">
        <v>35713</v>
      </c>
      <c r="E454" s="1">
        <v>35741</v>
      </c>
      <c r="F454" s="1">
        <v>35719</v>
      </c>
      <c r="G454">
        <v>1</v>
      </c>
      <c r="H454">
        <v>65.099999999999994</v>
      </c>
      <c r="I454" t="s">
        <v>232</v>
      </c>
      <c r="J454" t="s">
        <v>233</v>
      </c>
      <c r="K454" t="s">
        <v>234</v>
      </c>
      <c r="L454" t="s">
        <v>235</v>
      </c>
      <c r="M454">
        <v>83720</v>
      </c>
      <c r="N454" t="s">
        <v>87</v>
      </c>
      <c r="P454" t="s">
        <v>87</v>
      </c>
      <c r="Q454" t="s">
        <v>87</v>
      </c>
    </row>
    <row r="455" spans="1:17" x14ac:dyDescent="0.2">
      <c r="A455">
        <v>10701</v>
      </c>
      <c r="B455" t="s">
        <v>183</v>
      </c>
      <c r="C455">
        <v>6</v>
      </c>
      <c r="D455" s="1">
        <v>35716</v>
      </c>
      <c r="E455" s="1">
        <v>35730</v>
      </c>
      <c r="F455" s="1">
        <v>35718</v>
      </c>
      <c r="G455">
        <v>3</v>
      </c>
      <c r="H455">
        <v>220.31</v>
      </c>
      <c r="I455" t="s">
        <v>184</v>
      </c>
      <c r="J455" t="s">
        <v>185</v>
      </c>
      <c r="K455" t="s">
        <v>186</v>
      </c>
      <c r="L455" t="s">
        <v>187</v>
      </c>
      <c r="M455" t="s">
        <v>18</v>
      </c>
      <c r="N455" t="s">
        <v>188</v>
      </c>
      <c r="P455" t="s">
        <v>188</v>
      </c>
      <c r="Q455" t="s">
        <v>188</v>
      </c>
    </row>
    <row r="456" spans="1:17" x14ac:dyDescent="0.2">
      <c r="A456">
        <v>10702</v>
      </c>
      <c r="B456" t="s">
        <v>407</v>
      </c>
      <c r="C456">
        <v>4</v>
      </c>
      <c r="D456" s="1">
        <v>35716</v>
      </c>
      <c r="E456" s="1">
        <v>35758</v>
      </c>
      <c r="F456" s="1">
        <v>35724</v>
      </c>
      <c r="G456">
        <v>1</v>
      </c>
      <c r="H456">
        <v>23.94</v>
      </c>
      <c r="I456" t="s">
        <v>414</v>
      </c>
      <c r="J456" t="s">
        <v>409</v>
      </c>
      <c r="K456" t="s">
        <v>410</v>
      </c>
      <c r="L456" t="s">
        <v>18</v>
      </c>
      <c r="M456">
        <v>12209</v>
      </c>
      <c r="N456" t="s">
        <v>24</v>
      </c>
      <c r="P456" t="s">
        <v>24</v>
      </c>
      <c r="Q456" t="s">
        <v>24</v>
      </c>
    </row>
    <row r="457" spans="1:17" x14ac:dyDescent="0.2">
      <c r="A457">
        <v>10703</v>
      </c>
      <c r="B457" t="s">
        <v>88</v>
      </c>
      <c r="C457">
        <v>6</v>
      </c>
      <c r="D457" s="1">
        <v>35717</v>
      </c>
      <c r="E457" s="1">
        <v>35745</v>
      </c>
      <c r="F457" s="1">
        <v>35723</v>
      </c>
      <c r="G457">
        <v>2</v>
      </c>
      <c r="H457">
        <v>152.30000000000001</v>
      </c>
      <c r="I457" t="s">
        <v>89</v>
      </c>
      <c r="J457" t="s">
        <v>90</v>
      </c>
      <c r="K457" t="s">
        <v>91</v>
      </c>
      <c r="L457" t="s">
        <v>18</v>
      </c>
      <c r="M457" t="s">
        <v>92</v>
      </c>
      <c r="N457" t="s">
        <v>93</v>
      </c>
      <c r="P457" t="s">
        <v>93</v>
      </c>
      <c r="Q457" t="s">
        <v>93</v>
      </c>
    </row>
    <row r="458" spans="1:17" x14ac:dyDescent="0.2">
      <c r="A458">
        <v>10704</v>
      </c>
      <c r="B458" t="s">
        <v>305</v>
      </c>
      <c r="C458">
        <v>6</v>
      </c>
      <c r="D458" s="1">
        <v>35717</v>
      </c>
      <c r="E458" s="1">
        <v>35745</v>
      </c>
      <c r="F458" s="1">
        <v>35741</v>
      </c>
      <c r="G458">
        <v>1</v>
      </c>
      <c r="H458">
        <v>4.78</v>
      </c>
      <c r="I458" t="s">
        <v>306</v>
      </c>
      <c r="J458" t="s">
        <v>307</v>
      </c>
      <c r="K458">
        <v>891</v>
      </c>
      <c r="L458" t="s">
        <v>177</v>
      </c>
      <c r="M458" t="s">
        <v>55</v>
      </c>
      <c r="N458" t="s">
        <v>308</v>
      </c>
      <c r="O458" t="s">
        <v>31</v>
      </c>
      <c r="P458" t="s">
        <v>31</v>
      </c>
      <c r="Q458" t="s">
        <v>31</v>
      </c>
    </row>
    <row r="459" spans="1:17" x14ac:dyDescent="0.2">
      <c r="A459">
        <v>10705</v>
      </c>
      <c r="B459" t="s">
        <v>57</v>
      </c>
      <c r="C459">
        <v>9</v>
      </c>
      <c r="D459" s="1">
        <v>35718</v>
      </c>
      <c r="E459" s="1">
        <v>35746</v>
      </c>
      <c r="F459" s="1">
        <v>35752</v>
      </c>
      <c r="G459">
        <v>2</v>
      </c>
      <c r="H459">
        <v>3.52</v>
      </c>
      <c r="I459" t="s">
        <v>58</v>
      </c>
      <c r="J459" t="s">
        <v>59</v>
      </c>
      <c r="K459" t="s">
        <v>60</v>
      </c>
      <c r="L459" t="s">
        <v>61</v>
      </c>
      <c r="M459">
        <v>5022</v>
      </c>
      <c r="N459" t="s">
        <v>62</v>
      </c>
      <c r="P459" t="s">
        <v>62</v>
      </c>
      <c r="Q459" t="s">
        <v>62</v>
      </c>
    </row>
    <row r="460" spans="1:17" x14ac:dyDescent="0.2">
      <c r="A460">
        <v>10706</v>
      </c>
      <c r="B460" t="s">
        <v>197</v>
      </c>
      <c r="C460">
        <v>8</v>
      </c>
      <c r="D460" s="1">
        <v>35719</v>
      </c>
      <c r="E460" s="1">
        <v>35747</v>
      </c>
      <c r="F460" s="1">
        <v>35724</v>
      </c>
      <c r="G460">
        <v>3</v>
      </c>
      <c r="H460">
        <v>135.63</v>
      </c>
      <c r="I460" t="s">
        <v>198</v>
      </c>
      <c r="J460" t="s">
        <v>199</v>
      </c>
      <c r="K460" t="s">
        <v>200</v>
      </c>
      <c r="L460" t="s">
        <v>201</v>
      </c>
      <c r="M460">
        <v>99508</v>
      </c>
      <c r="N460" t="s">
        <v>87</v>
      </c>
      <c r="P460" t="s">
        <v>87</v>
      </c>
      <c r="Q460" t="s">
        <v>87</v>
      </c>
    </row>
    <row r="461" spans="1:17" x14ac:dyDescent="0.2">
      <c r="A461">
        <v>10707</v>
      </c>
      <c r="B461" t="s">
        <v>275</v>
      </c>
      <c r="C461">
        <v>4</v>
      </c>
      <c r="D461" s="1">
        <v>35719</v>
      </c>
      <c r="E461" s="1">
        <v>35733</v>
      </c>
      <c r="F461" s="1">
        <v>35726</v>
      </c>
      <c r="G461">
        <v>3</v>
      </c>
      <c r="H461">
        <v>21.74</v>
      </c>
      <c r="I461" t="s">
        <v>276</v>
      </c>
      <c r="J461" t="s">
        <v>277</v>
      </c>
      <c r="K461" t="s">
        <v>278</v>
      </c>
      <c r="L461" t="s">
        <v>279</v>
      </c>
      <c r="M461" t="s">
        <v>280</v>
      </c>
      <c r="N461" t="s">
        <v>173</v>
      </c>
      <c r="P461" t="s">
        <v>173</v>
      </c>
      <c r="Q461" t="s">
        <v>173</v>
      </c>
    </row>
    <row r="462" spans="1:17" x14ac:dyDescent="0.2">
      <c r="A462">
        <v>10708</v>
      </c>
      <c r="B462" t="s">
        <v>211</v>
      </c>
      <c r="C462">
        <v>6</v>
      </c>
      <c r="D462" s="1">
        <v>35720</v>
      </c>
      <c r="E462" s="1">
        <v>35762</v>
      </c>
      <c r="F462" s="1">
        <v>35739</v>
      </c>
      <c r="G462">
        <v>2</v>
      </c>
      <c r="H462">
        <v>2.96</v>
      </c>
      <c r="I462" t="s">
        <v>212</v>
      </c>
      <c r="J462" t="s">
        <v>213</v>
      </c>
      <c r="K462" t="s">
        <v>205</v>
      </c>
      <c r="L462" t="s">
        <v>206</v>
      </c>
      <c r="M462">
        <v>97201</v>
      </c>
      <c r="N462" t="s">
        <v>87</v>
      </c>
      <c r="P462" t="s">
        <v>87</v>
      </c>
      <c r="Q462" t="s">
        <v>87</v>
      </c>
    </row>
    <row r="463" spans="1:17" x14ac:dyDescent="0.2">
      <c r="A463">
        <v>10709</v>
      </c>
      <c r="B463" t="s">
        <v>348</v>
      </c>
      <c r="C463">
        <v>1</v>
      </c>
      <c r="D463" s="1">
        <v>35720</v>
      </c>
      <c r="E463" s="1">
        <v>35748</v>
      </c>
      <c r="F463" s="1">
        <v>35754</v>
      </c>
      <c r="G463">
        <v>3</v>
      </c>
      <c r="H463">
        <v>210.8</v>
      </c>
      <c r="I463" t="s">
        <v>349</v>
      </c>
      <c r="J463" t="s">
        <v>350</v>
      </c>
      <c r="K463">
        <v>442</v>
      </c>
      <c r="L463" t="s">
        <v>351</v>
      </c>
      <c r="M463" t="s">
        <v>55</v>
      </c>
      <c r="N463" t="s">
        <v>352</v>
      </c>
      <c r="O463" t="s">
        <v>31</v>
      </c>
      <c r="P463" t="s">
        <v>31</v>
      </c>
      <c r="Q463" t="s">
        <v>31</v>
      </c>
    </row>
    <row r="464" spans="1:17" x14ac:dyDescent="0.2">
      <c r="A464">
        <v>10710</v>
      </c>
      <c r="B464" t="s">
        <v>344</v>
      </c>
      <c r="C464">
        <v>1</v>
      </c>
      <c r="D464" s="1">
        <v>35723</v>
      </c>
      <c r="E464" s="1">
        <v>35751</v>
      </c>
      <c r="F464" s="1">
        <v>35726</v>
      </c>
      <c r="G464">
        <v>1</v>
      </c>
      <c r="H464">
        <v>4.9800000000000004</v>
      </c>
      <c r="I464" t="s">
        <v>345</v>
      </c>
      <c r="J464" t="s">
        <v>346</v>
      </c>
      <c r="K464" t="s">
        <v>347</v>
      </c>
      <c r="L464" t="s">
        <v>18</v>
      </c>
      <c r="M464">
        <v>10100</v>
      </c>
      <c r="N464" t="s">
        <v>131</v>
      </c>
      <c r="P464" t="s">
        <v>131</v>
      </c>
      <c r="Q464" t="s">
        <v>131</v>
      </c>
    </row>
    <row r="465" spans="1:17" x14ac:dyDescent="0.2">
      <c r="A465">
        <v>10711</v>
      </c>
      <c r="B465" t="s">
        <v>231</v>
      </c>
      <c r="C465">
        <v>5</v>
      </c>
      <c r="D465" s="1">
        <v>35724</v>
      </c>
      <c r="E465" s="1">
        <v>35766</v>
      </c>
      <c r="F465" s="1">
        <v>35732</v>
      </c>
      <c r="G465">
        <v>2</v>
      </c>
      <c r="H465">
        <v>52.41</v>
      </c>
      <c r="I465" t="s">
        <v>232</v>
      </c>
      <c r="J465" t="s">
        <v>233</v>
      </c>
      <c r="K465" t="s">
        <v>234</v>
      </c>
      <c r="L465" t="s">
        <v>235</v>
      </c>
      <c r="M465">
        <v>83720</v>
      </c>
      <c r="N465" t="s">
        <v>87</v>
      </c>
      <c r="P465" t="s">
        <v>87</v>
      </c>
      <c r="Q465" t="s">
        <v>87</v>
      </c>
    </row>
    <row r="466" spans="1:17" x14ac:dyDescent="0.2">
      <c r="A466">
        <v>10712</v>
      </c>
      <c r="B466" t="s">
        <v>183</v>
      </c>
      <c r="C466">
        <v>3</v>
      </c>
      <c r="D466" s="1">
        <v>35724</v>
      </c>
      <c r="E466" s="1">
        <v>35752</v>
      </c>
      <c r="F466" s="1">
        <v>35734</v>
      </c>
      <c r="G466">
        <v>1</v>
      </c>
      <c r="H466">
        <v>89.93</v>
      </c>
      <c r="I466" t="s">
        <v>184</v>
      </c>
      <c r="J466" t="s">
        <v>185</v>
      </c>
      <c r="K466" t="s">
        <v>186</v>
      </c>
      <c r="L466" t="s">
        <v>187</v>
      </c>
      <c r="M466" t="s">
        <v>18</v>
      </c>
      <c r="N466" t="s">
        <v>188</v>
      </c>
      <c r="P466" t="s">
        <v>188</v>
      </c>
      <c r="Q466" t="s">
        <v>188</v>
      </c>
    </row>
    <row r="467" spans="1:17" x14ac:dyDescent="0.2">
      <c r="A467">
        <v>10713</v>
      </c>
      <c r="B467" t="s">
        <v>231</v>
      </c>
      <c r="C467">
        <v>1</v>
      </c>
      <c r="D467" s="1">
        <v>35725</v>
      </c>
      <c r="E467" s="1">
        <v>35753</v>
      </c>
      <c r="F467" s="1">
        <v>35727</v>
      </c>
      <c r="G467">
        <v>1</v>
      </c>
      <c r="H467">
        <v>167.05</v>
      </c>
      <c r="I467" t="s">
        <v>232</v>
      </c>
      <c r="J467" t="s">
        <v>233</v>
      </c>
      <c r="K467" t="s">
        <v>234</v>
      </c>
      <c r="L467" t="s">
        <v>235</v>
      </c>
      <c r="M467">
        <v>83720</v>
      </c>
      <c r="N467" t="s">
        <v>87</v>
      </c>
      <c r="P467" t="s">
        <v>87</v>
      </c>
      <c r="Q467" t="s">
        <v>87</v>
      </c>
    </row>
    <row r="468" spans="1:17" x14ac:dyDescent="0.2">
      <c r="A468">
        <v>10714</v>
      </c>
      <c r="B468" t="s">
        <v>231</v>
      </c>
      <c r="C468">
        <v>5</v>
      </c>
      <c r="D468" s="1">
        <v>35725</v>
      </c>
      <c r="E468" s="1">
        <v>35753</v>
      </c>
      <c r="F468" s="1">
        <v>35730</v>
      </c>
      <c r="G468">
        <v>3</v>
      </c>
      <c r="H468">
        <v>24.49</v>
      </c>
      <c r="I468" t="s">
        <v>232</v>
      </c>
      <c r="J468" t="s">
        <v>233</v>
      </c>
      <c r="K468" t="s">
        <v>234</v>
      </c>
      <c r="L468" t="s">
        <v>235</v>
      </c>
      <c r="M468">
        <v>83720</v>
      </c>
      <c r="N468" t="s">
        <v>87</v>
      </c>
      <c r="P468" t="s">
        <v>87</v>
      </c>
      <c r="Q468" t="s">
        <v>87</v>
      </c>
    </row>
    <row r="469" spans="1:17" x14ac:dyDescent="0.2">
      <c r="A469">
        <v>10715</v>
      </c>
      <c r="B469" t="s">
        <v>244</v>
      </c>
      <c r="C469">
        <v>3</v>
      </c>
      <c r="D469" s="1">
        <v>35726</v>
      </c>
      <c r="E469" s="1">
        <v>35740</v>
      </c>
      <c r="F469" s="1">
        <v>35732</v>
      </c>
      <c r="G469">
        <v>1</v>
      </c>
      <c r="H469">
        <v>63.2</v>
      </c>
      <c r="I469" t="s">
        <v>245</v>
      </c>
      <c r="J469">
        <v>12</v>
      </c>
      <c r="K469" t="s">
        <v>246</v>
      </c>
      <c r="L469" t="s">
        <v>247</v>
      </c>
      <c r="M469" t="s">
        <v>18</v>
      </c>
      <c r="N469">
        <v>13008</v>
      </c>
      <c r="O469" t="s">
        <v>19</v>
      </c>
      <c r="P469" t="s">
        <v>19</v>
      </c>
      <c r="Q469" t="s">
        <v>19</v>
      </c>
    </row>
    <row r="470" spans="1:17" x14ac:dyDescent="0.2">
      <c r="A470">
        <v>10716</v>
      </c>
      <c r="B470" t="s">
        <v>357</v>
      </c>
      <c r="C470">
        <v>4</v>
      </c>
      <c r="D470" s="1">
        <v>35727</v>
      </c>
      <c r="E470" s="1">
        <v>35755</v>
      </c>
      <c r="F470" s="1">
        <v>35730</v>
      </c>
      <c r="G470">
        <v>2</v>
      </c>
      <c r="H470">
        <v>22.57</v>
      </c>
      <c r="I470" t="s">
        <v>358</v>
      </c>
      <c r="J470" t="s">
        <v>359</v>
      </c>
      <c r="K470" t="s">
        <v>342</v>
      </c>
      <c r="L470" t="s">
        <v>18</v>
      </c>
      <c r="M470">
        <v>1010</v>
      </c>
      <c r="N470" t="s">
        <v>343</v>
      </c>
      <c r="P470" t="s">
        <v>343</v>
      </c>
      <c r="Q470" t="s">
        <v>343</v>
      </c>
    </row>
    <row r="471" spans="1:17" x14ac:dyDescent="0.2">
      <c r="A471">
        <v>10717</v>
      </c>
      <c r="B471" t="s">
        <v>103</v>
      </c>
      <c r="C471">
        <v>1</v>
      </c>
      <c r="D471" s="1">
        <v>35727</v>
      </c>
      <c r="E471" s="1">
        <v>35755</v>
      </c>
      <c r="F471" s="1">
        <v>35732</v>
      </c>
      <c r="G471">
        <v>2</v>
      </c>
      <c r="H471">
        <v>59.25</v>
      </c>
      <c r="I471" t="s">
        <v>104</v>
      </c>
      <c r="J471" t="s">
        <v>105</v>
      </c>
      <c r="K471" t="s">
        <v>106</v>
      </c>
      <c r="L471" t="s">
        <v>18</v>
      </c>
      <c r="M471">
        <v>80805</v>
      </c>
      <c r="N471" t="s">
        <v>24</v>
      </c>
      <c r="P471" t="s">
        <v>24</v>
      </c>
      <c r="Q471" t="s">
        <v>24</v>
      </c>
    </row>
    <row r="472" spans="1:17" x14ac:dyDescent="0.2">
      <c r="A472">
        <v>10718</v>
      </c>
      <c r="B472" t="s">
        <v>227</v>
      </c>
      <c r="C472">
        <v>1</v>
      </c>
      <c r="D472" s="1">
        <v>35730</v>
      </c>
      <c r="E472" s="1">
        <v>35758</v>
      </c>
      <c r="F472" s="1">
        <v>35732</v>
      </c>
      <c r="G472">
        <v>3</v>
      </c>
      <c r="H472">
        <v>170.88</v>
      </c>
      <c r="I472" t="s">
        <v>228</v>
      </c>
      <c r="J472" t="s">
        <v>229</v>
      </c>
      <c r="K472" t="s">
        <v>230</v>
      </c>
      <c r="L472" t="s">
        <v>18</v>
      </c>
      <c r="M472">
        <v>14776</v>
      </c>
      <c r="N472" t="s">
        <v>24</v>
      </c>
      <c r="P472" t="s">
        <v>24</v>
      </c>
      <c r="Q472" t="s">
        <v>24</v>
      </c>
    </row>
    <row r="473" spans="1:17" x14ac:dyDescent="0.2">
      <c r="A473">
        <v>10719</v>
      </c>
      <c r="B473" t="s">
        <v>393</v>
      </c>
      <c r="C473">
        <v>8</v>
      </c>
      <c r="D473" s="1">
        <v>35730</v>
      </c>
      <c r="E473" s="1">
        <v>35758</v>
      </c>
      <c r="F473" s="1">
        <v>35739</v>
      </c>
      <c r="G473">
        <v>2</v>
      </c>
      <c r="H473">
        <v>51.44</v>
      </c>
      <c r="I473" t="s">
        <v>394</v>
      </c>
      <c r="J473" t="s">
        <v>395</v>
      </c>
      <c r="K473" t="s">
        <v>396</v>
      </c>
      <c r="L473" t="s">
        <v>397</v>
      </c>
      <c r="M473">
        <v>94117</v>
      </c>
      <c r="N473" t="s">
        <v>87</v>
      </c>
      <c r="P473" t="s">
        <v>87</v>
      </c>
      <c r="Q473" t="s">
        <v>87</v>
      </c>
    </row>
    <row r="474" spans="1:17" x14ac:dyDescent="0.2">
      <c r="A474">
        <v>10720</v>
      </c>
      <c r="B474" t="s">
        <v>78</v>
      </c>
      <c r="C474">
        <v>8</v>
      </c>
      <c r="D474" s="1">
        <v>35731</v>
      </c>
      <c r="E474" s="1">
        <v>35745</v>
      </c>
      <c r="F474" s="1">
        <v>35739</v>
      </c>
      <c r="G474">
        <v>2</v>
      </c>
      <c r="H474">
        <v>9.5299999999999994</v>
      </c>
      <c r="I474" t="s">
        <v>79</v>
      </c>
      <c r="J474" t="s">
        <v>80</v>
      </c>
      <c r="K474">
        <v>12</v>
      </c>
      <c r="L474" t="s">
        <v>28</v>
      </c>
      <c r="M474" t="s">
        <v>29</v>
      </c>
      <c r="N474" t="s">
        <v>81</v>
      </c>
      <c r="O474" t="s">
        <v>31</v>
      </c>
      <c r="P474" t="s">
        <v>31</v>
      </c>
      <c r="Q474" t="s">
        <v>31</v>
      </c>
    </row>
    <row r="475" spans="1:17" x14ac:dyDescent="0.2">
      <c r="A475">
        <v>10721</v>
      </c>
      <c r="B475" t="s">
        <v>122</v>
      </c>
      <c r="C475">
        <v>5</v>
      </c>
      <c r="D475" s="1">
        <v>35732</v>
      </c>
      <c r="E475" s="1">
        <v>35760</v>
      </c>
      <c r="F475" s="1">
        <v>35734</v>
      </c>
      <c r="G475">
        <v>3</v>
      </c>
      <c r="H475">
        <v>48.92</v>
      </c>
      <c r="I475" t="s">
        <v>123</v>
      </c>
      <c r="J475" t="s">
        <v>124</v>
      </c>
      <c r="K475" t="s">
        <v>125</v>
      </c>
      <c r="L475" t="s">
        <v>18</v>
      </c>
      <c r="M475" s="2" t="s">
        <v>126</v>
      </c>
      <c r="N475" t="s">
        <v>24</v>
      </c>
      <c r="P475" t="s">
        <v>24</v>
      </c>
      <c r="Q475" t="s">
        <v>24</v>
      </c>
    </row>
    <row r="476" spans="1:17" x14ac:dyDescent="0.2">
      <c r="A476">
        <v>10722</v>
      </c>
      <c r="B476" t="s">
        <v>231</v>
      </c>
      <c r="C476">
        <v>8</v>
      </c>
      <c r="D476" s="1">
        <v>35732</v>
      </c>
      <c r="E476" s="1">
        <v>35774</v>
      </c>
      <c r="F476" s="1">
        <v>35738</v>
      </c>
      <c r="G476">
        <v>1</v>
      </c>
      <c r="H476">
        <v>74.58</v>
      </c>
      <c r="I476" t="s">
        <v>232</v>
      </c>
      <c r="J476" t="s">
        <v>233</v>
      </c>
      <c r="K476" t="s">
        <v>234</v>
      </c>
      <c r="L476" t="s">
        <v>235</v>
      </c>
      <c r="M476">
        <v>83720</v>
      </c>
      <c r="N476" t="s">
        <v>87</v>
      </c>
      <c r="P476" t="s">
        <v>87</v>
      </c>
      <c r="Q476" t="s">
        <v>87</v>
      </c>
    </row>
    <row r="477" spans="1:17" x14ac:dyDescent="0.2">
      <c r="A477">
        <v>10723</v>
      </c>
      <c r="B477" t="s">
        <v>112</v>
      </c>
      <c r="C477">
        <v>3</v>
      </c>
      <c r="D477" s="1">
        <v>35733</v>
      </c>
      <c r="E477" s="1">
        <v>35761</v>
      </c>
      <c r="F477" s="1">
        <v>35759</v>
      </c>
      <c r="G477">
        <v>1</v>
      </c>
      <c r="H477">
        <v>21.72</v>
      </c>
      <c r="I477" t="s">
        <v>113</v>
      </c>
      <c r="J477" t="s">
        <v>114</v>
      </c>
      <c r="K477" t="s">
        <v>115</v>
      </c>
      <c r="L477" t="s">
        <v>116</v>
      </c>
      <c r="M477">
        <v>98124</v>
      </c>
      <c r="N477" t="s">
        <v>87</v>
      </c>
      <c r="P477" t="s">
        <v>87</v>
      </c>
      <c r="Q477" t="s">
        <v>87</v>
      </c>
    </row>
    <row r="478" spans="1:17" x14ac:dyDescent="0.2">
      <c r="A478">
        <v>10724</v>
      </c>
      <c r="B478" t="s">
        <v>248</v>
      </c>
      <c r="C478">
        <v>8</v>
      </c>
      <c r="D478" s="1">
        <v>35733</v>
      </c>
      <c r="E478" s="1">
        <v>35775</v>
      </c>
      <c r="F478" s="1">
        <v>35739</v>
      </c>
      <c r="G478">
        <v>2</v>
      </c>
      <c r="H478">
        <v>57.75</v>
      </c>
      <c r="I478" t="s">
        <v>249</v>
      </c>
      <c r="J478" t="s">
        <v>250</v>
      </c>
      <c r="K478" t="s">
        <v>251</v>
      </c>
      <c r="L478" t="s">
        <v>252</v>
      </c>
      <c r="M478" t="s">
        <v>253</v>
      </c>
      <c r="N478" t="s">
        <v>254</v>
      </c>
      <c r="P478" t="s">
        <v>254</v>
      </c>
      <c r="Q478" t="s">
        <v>254</v>
      </c>
    </row>
    <row r="479" spans="1:17" x14ac:dyDescent="0.2">
      <c r="A479">
        <v>10725</v>
      </c>
      <c r="B479" t="s">
        <v>263</v>
      </c>
      <c r="C479">
        <v>4</v>
      </c>
      <c r="D479" s="1">
        <v>35734</v>
      </c>
      <c r="E479" s="1">
        <v>35762</v>
      </c>
      <c r="F479" s="1">
        <v>35739</v>
      </c>
      <c r="G479">
        <v>3</v>
      </c>
      <c r="H479">
        <v>10.83</v>
      </c>
      <c r="I479" t="s">
        <v>264</v>
      </c>
      <c r="J479" t="s">
        <v>265</v>
      </c>
      <c r="K479">
        <v>92</v>
      </c>
      <c r="L479" t="s">
        <v>177</v>
      </c>
      <c r="M479" t="s">
        <v>55</v>
      </c>
      <c r="N479" t="s">
        <v>266</v>
      </c>
      <c r="O479" t="s">
        <v>31</v>
      </c>
      <c r="P479" t="s">
        <v>31</v>
      </c>
      <c r="Q479" t="s">
        <v>31</v>
      </c>
    </row>
    <row r="480" spans="1:17" x14ac:dyDescent="0.2">
      <c r="A480">
        <v>10726</v>
      </c>
      <c r="B480" t="s">
        <v>289</v>
      </c>
      <c r="C480">
        <v>4</v>
      </c>
      <c r="D480" s="1">
        <v>35737</v>
      </c>
      <c r="E480" s="1">
        <v>35751</v>
      </c>
      <c r="F480" s="1">
        <v>35769</v>
      </c>
      <c r="G480">
        <v>1</v>
      </c>
      <c r="H480">
        <v>16.559999999999999</v>
      </c>
      <c r="I480" t="s">
        <v>290</v>
      </c>
      <c r="J480" t="s">
        <v>291</v>
      </c>
      <c r="K480" t="s">
        <v>171</v>
      </c>
      <c r="L480" t="s">
        <v>18</v>
      </c>
      <c r="M480" t="s">
        <v>292</v>
      </c>
      <c r="N480" t="s">
        <v>173</v>
      </c>
      <c r="P480" t="s">
        <v>173</v>
      </c>
      <c r="Q480" t="s">
        <v>173</v>
      </c>
    </row>
    <row r="481" spans="1:17" x14ac:dyDescent="0.2">
      <c r="A481">
        <v>10727</v>
      </c>
      <c r="B481" t="s">
        <v>164</v>
      </c>
      <c r="C481">
        <v>2</v>
      </c>
      <c r="D481" s="1">
        <v>35737</v>
      </c>
      <c r="E481" s="1">
        <v>35765</v>
      </c>
      <c r="F481" s="1">
        <v>35769</v>
      </c>
      <c r="G481">
        <v>1</v>
      </c>
      <c r="H481">
        <v>89.9</v>
      </c>
      <c r="I481" t="s">
        <v>165</v>
      </c>
      <c r="J481" t="s">
        <v>166</v>
      </c>
      <c r="K481" t="s">
        <v>167</v>
      </c>
      <c r="L481" t="s">
        <v>18</v>
      </c>
      <c r="M481">
        <v>42100</v>
      </c>
      <c r="N481" t="s">
        <v>131</v>
      </c>
      <c r="P481" t="s">
        <v>131</v>
      </c>
      <c r="Q481" t="s">
        <v>131</v>
      </c>
    </row>
    <row r="482" spans="1:17" x14ac:dyDescent="0.2">
      <c r="A482">
        <v>10728</v>
      </c>
      <c r="B482" t="s">
        <v>305</v>
      </c>
      <c r="C482">
        <v>4</v>
      </c>
      <c r="D482" s="1">
        <v>35738</v>
      </c>
      <c r="E482" s="1">
        <v>35766</v>
      </c>
      <c r="F482" s="1">
        <v>35745</v>
      </c>
      <c r="G482">
        <v>2</v>
      </c>
      <c r="H482">
        <v>58.33</v>
      </c>
      <c r="I482" t="s">
        <v>306</v>
      </c>
      <c r="J482" t="s">
        <v>307</v>
      </c>
      <c r="K482">
        <v>891</v>
      </c>
      <c r="L482" t="s">
        <v>177</v>
      </c>
      <c r="M482" t="s">
        <v>55</v>
      </c>
      <c r="N482" t="s">
        <v>308</v>
      </c>
      <c r="O482" t="s">
        <v>31</v>
      </c>
      <c r="P482" t="s">
        <v>31</v>
      </c>
      <c r="Q482" t="s">
        <v>31</v>
      </c>
    </row>
    <row r="483" spans="1:17" x14ac:dyDescent="0.2">
      <c r="A483">
        <v>10729</v>
      </c>
      <c r="B483" t="s">
        <v>330</v>
      </c>
      <c r="C483">
        <v>8</v>
      </c>
      <c r="D483" s="1">
        <v>35738</v>
      </c>
      <c r="E483" s="1">
        <v>35780</v>
      </c>
      <c r="F483" s="1">
        <v>35748</v>
      </c>
      <c r="G483">
        <v>3</v>
      </c>
      <c r="H483">
        <v>141.06</v>
      </c>
      <c r="I483" t="s">
        <v>331</v>
      </c>
      <c r="J483" t="s">
        <v>332</v>
      </c>
      <c r="K483" t="s">
        <v>333</v>
      </c>
      <c r="L483" t="s">
        <v>334</v>
      </c>
      <c r="M483">
        <v>4980</v>
      </c>
      <c r="N483" t="s">
        <v>62</v>
      </c>
      <c r="P483" t="s">
        <v>62</v>
      </c>
      <c r="Q483" t="s">
        <v>62</v>
      </c>
    </row>
    <row r="484" spans="1:17" x14ac:dyDescent="0.2">
      <c r="A484">
        <v>10730</v>
      </c>
      <c r="B484" t="s">
        <v>244</v>
      </c>
      <c r="C484">
        <v>5</v>
      </c>
      <c r="D484" s="1">
        <v>35739</v>
      </c>
      <c r="E484" s="1">
        <v>35767</v>
      </c>
      <c r="F484" s="1">
        <v>35748</v>
      </c>
      <c r="G484">
        <v>1</v>
      </c>
      <c r="H484">
        <v>20.12</v>
      </c>
      <c r="I484" t="s">
        <v>245</v>
      </c>
      <c r="J484">
        <v>12</v>
      </c>
      <c r="K484" t="s">
        <v>246</v>
      </c>
      <c r="L484" t="s">
        <v>247</v>
      </c>
      <c r="M484" t="s">
        <v>18</v>
      </c>
      <c r="N484">
        <v>13008</v>
      </c>
      <c r="O484" t="s">
        <v>19</v>
      </c>
      <c r="P484" t="s">
        <v>19</v>
      </c>
      <c r="Q484" t="s">
        <v>19</v>
      </c>
    </row>
    <row r="485" spans="1:17" x14ac:dyDescent="0.2">
      <c r="A485">
        <v>10731</v>
      </c>
      <c r="B485" t="s">
        <v>42</v>
      </c>
      <c r="C485">
        <v>7</v>
      </c>
      <c r="D485" s="1">
        <v>35740</v>
      </c>
      <c r="E485" s="1">
        <v>35768</v>
      </c>
      <c r="F485" s="1">
        <v>35748</v>
      </c>
      <c r="G485">
        <v>1</v>
      </c>
      <c r="H485">
        <v>96.65</v>
      </c>
      <c r="I485" t="s">
        <v>43</v>
      </c>
      <c r="J485" t="s">
        <v>44</v>
      </c>
      <c r="K485" t="s">
        <v>45</v>
      </c>
      <c r="L485" t="s">
        <v>18</v>
      </c>
      <c r="M485">
        <v>3012</v>
      </c>
      <c r="N485" t="s">
        <v>46</v>
      </c>
      <c r="P485" t="s">
        <v>46</v>
      </c>
      <c r="Q485" t="s">
        <v>46</v>
      </c>
    </row>
    <row r="486" spans="1:17" x14ac:dyDescent="0.2">
      <c r="A486">
        <v>10732</v>
      </c>
      <c r="B486" t="s">
        <v>244</v>
      </c>
      <c r="C486">
        <v>3</v>
      </c>
      <c r="D486" s="1">
        <v>35740</v>
      </c>
      <c r="E486" s="1">
        <v>35768</v>
      </c>
      <c r="F486" s="1">
        <v>35741</v>
      </c>
      <c r="G486">
        <v>1</v>
      </c>
      <c r="H486">
        <v>16.97</v>
      </c>
      <c r="I486" t="s">
        <v>245</v>
      </c>
      <c r="J486">
        <v>12</v>
      </c>
      <c r="K486" t="s">
        <v>246</v>
      </c>
      <c r="L486" t="s">
        <v>247</v>
      </c>
      <c r="M486" t="s">
        <v>18</v>
      </c>
      <c r="N486">
        <v>13008</v>
      </c>
      <c r="O486" t="s">
        <v>19</v>
      </c>
      <c r="P486" t="s">
        <v>19</v>
      </c>
      <c r="Q486" t="s">
        <v>19</v>
      </c>
    </row>
    <row r="487" spans="1:17" x14ac:dyDescent="0.2">
      <c r="A487">
        <v>10733</v>
      </c>
      <c r="B487" t="s">
        <v>141</v>
      </c>
      <c r="C487">
        <v>1</v>
      </c>
      <c r="D487" s="1">
        <v>35741</v>
      </c>
      <c r="E487" s="1">
        <v>35769</v>
      </c>
      <c r="F487" s="1">
        <v>35744</v>
      </c>
      <c r="G487">
        <v>3</v>
      </c>
      <c r="H487">
        <v>110.11</v>
      </c>
      <c r="I487" t="s">
        <v>142</v>
      </c>
      <c r="J487" t="s">
        <v>143</v>
      </c>
      <c r="K487" t="s">
        <v>144</v>
      </c>
      <c r="L487" t="s">
        <v>18</v>
      </c>
      <c r="M487" t="s">
        <v>145</v>
      </c>
      <c r="N487" t="s">
        <v>93</v>
      </c>
      <c r="P487" t="s">
        <v>93</v>
      </c>
      <c r="Q487" t="s">
        <v>93</v>
      </c>
    </row>
    <row r="488" spans="1:17" x14ac:dyDescent="0.2">
      <c r="A488">
        <v>10734</v>
      </c>
      <c r="B488" t="s">
        <v>348</v>
      </c>
      <c r="C488">
        <v>2</v>
      </c>
      <c r="D488" s="1">
        <v>35741</v>
      </c>
      <c r="E488" s="1">
        <v>35769</v>
      </c>
      <c r="F488" s="1">
        <v>35746</v>
      </c>
      <c r="G488">
        <v>3</v>
      </c>
      <c r="H488">
        <v>1.63</v>
      </c>
      <c r="I488" t="s">
        <v>349</v>
      </c>
      <c r="J488" t="s">
        <v>350</v>
      </c>
      <c r="K488">
        <v>442</v>
      </c>
      <c r="L488" t="s">
        <v>351</v>
      </c>
      <c r="M488" t="s">
        <v>55</v>
      </c>
      <c r="N488" t="s">
        <v>352</v>
      </c>
      <c r="O488" t="s">
        <v>31</v>
      </c>
      <c r="P488" t="s">
        <v>31</v>
      </c>
      <c r="Q488" t="s">
        <v>31</v>
      </c>
    </row>
    <row r="489" spans="1:17" x14ac:dyDescent="0.2">
      <c r="A489">
        <v>10735</v>
      </c>
      <c r="B489" t="s">
        <v>393</v>
      </c>
      <c r="C489">
        <v>6</v>
      </c>
      <c r="D489" s="1">
        <v>35744</v>
      </c>
      <c r="E489" s="1">
        <v>35772</v>
      </c>
      <c r="F489" s="1">
        <v>35755</v>
      </c>
      <c r="G489">
        <v>2</v>
      </c>
      <c r="H489">
        <v>45.97</v>
      </c>
      <c r="I489" t="s">
        <v>394</v>
      </c>
      <c r="J489" t="s">
        <v>395</v>
      </c>
      <c r="K489" t="s">
        <v>396</v>
      </c>
      <c r="L489" t="s">
        <v>397</v>
      </c>
      <c r="M489">
        <v>94117</v>
      </c>
      <c r="N489" t="s">
        <v>87</v>
      </c>
      <c r="P489" t="s">
        <v>87</v>
      </c>
      <c r="Q489" t="s">
        <v>87</v>
      </c>
    </row>
    <row r="490" spans="1:17" x14ac:dyDescent="0.2">
      <c r="A490">
        <v>10736</v>
      </c>
      <c r="B490" t="s">
        <v>183</v>
      </c>
      <c r="C490">
        <v>9</v>
      </c>
      <c r="D490" s="1">
        <v>35745</v>
      </c>
      <c r="E490" s="1">
        <v>35773</v>
      </c>
      <c r="F490" s="1">
        <v>35755</v>
      </c>
      <c r="G490">
        <v>2</v>
      </c>
      <c r="H490">
        <v>44.1</v>
      </c>
      <c r="I490" t="s">
        <v>184</v>
      </c>
      <c r="J490" t="s">
        <v>185</v>
      </c>
      <c r="K490" t="s">
        <v>186</v>
      </c>
      <c r="L490" t="s">
        <v>187</v>
      </c>
      <c r="M490" t="s">
        <v>18</v>
      </c>
      <c r="N490" t="s">
        <v>188</v>
      </c>
      <c r="P490" t="s">
        <v>188</v>
      </c>
      <c r="Q490" t="s">
        <v>188</v>
      </c>
    </row>
    <row r="491" spans="1:17" x14ac:dyDescent="0.2">
      <c r="A491">
        <v>10737</v>
      </c>
      <c r="B491" t="s">
        <v>14</v>
      </c>
      <c r="C491">
        <v>2</v>
      </c>
      <c r="D491" s="1">
        <v>35745</v>
      </c>
      <c r="E491" s="1">
        <v>35773</v>
      </c>
      <c r="F491" s="1">
        <v>35752</v>
      </c>
      <c r="G491">
        <v>2</v>
      </c>
      <c r="H491">
        <v>7.79</v>
      </c>
      <c r="I491" t="s">
        <v>15</v>
      </c>
      <c r="J491" t="s">
        <v>16</v>
      </c>
      <c r="K491" t="s">
        <v>17</v>
      </c>
      <c r="L491" t="s">
        <v>18</v>
      </c>
      <c r="M491">
        <v>51100</v>
      </c>
      <c r="N491" t="s">
        <v>19</v>
      </c>
      <c r="P491" t="s">
        <v>19</v>
      </c>
      <c r="Q491" t="s">
        <v>19</v>
      </c>
    </row>
    <row r="492" spans="1:17" x14ac:dyDescent="0.2">
      <c r="A492">
        <v>10738</v>
      </c>
      <c r="B492" t="s">
        <v>415</v>
      </c>
      <c r="C492">
        <v>2</v>
      </c>
      <c r="D492" s="1">
        <v>35746</v>
      </c>
      <c r="E492" s="1">
        <v>35774</v>
      </c>
      <c r="F492" s="1">
        <v>35752</v>
      </c>
      <c r="G492">
        <v>1</v>
      </c>
      <c r="H492">
        <v>2.91</v>
      </c>
      <c r="I492" t="s">
        <v>416</v>
      </c>
      <c r="J492">
        <v>25</v>
      </c>
      <c r="K492" t="s">
        <v>417</v>
      </c>
      <c r="L492" t="s">
        <v>418</v>
      </c>
      <c r="M492" t="s">
        <v>18</v>
      </c>
      <c r="N492">
        <v>75016</v>
      </c>
      <c r="O492" t="s">
        <v>19</v>
      </c>
      <c r="P492" t="s">
        <v>19</v>
      </c>
      <c r="Q492" t="s">
        <v>19</v>
      </c>
    </row>
    <row r="493" spans="1:17" x14ac:dyDescent="0.2">
      <c r="A493">
        <v>10739</v>
      </c>
      <c r="B493" t="s">
        <v>14</v>
      </c>
      <c r="C493">
        <v>3</v>
      </c>
      <c r="D493" s="1">
        <v>35746</v>
      </c>
      <c r="E493" s="1">
        <v>35774</v>
      </c>
      <c r="F493" s="1">
        <v>35751</v>
      </c>
      <c r="G493">
        <v>3</v>
      </c>
      <c r="H493">
        <v>11.08</v>
      </c>
      <c r="I493" t="s">
        <v>15</v>
      </c>
      <c r="J493" t="s">
        <v>16</v>
      </c>
      <c r="K493" t="s">
        <v>17</v>
      </c>
      <c r="L493" t="s">
        <v>18</v>
      </c>
      <c r="M493">
        <v>51100</v>
      </c>
      <c r="N493" t="s">
        <v>19</v>
      </c>
      <c r="P493" t="s">
        <v>19</v>
      </c>
      <c r="Q493" t="s">
        <v>19</v>
      </c>
    </row>
    <row r="494" spans="1:17" x14ac:dyDescent="0.2">
      <c r="A494">
        <v>10740</v>
      </c>
      <c r="B494" t="s">
        <v>112</v>
      </c>
      <c r="C494">
        <v>4</v>
      </c>
      <c r="D494" s="1">
        <v>35747</v>
      </c>
      <c r="E494" s="1">
        <v>35775</v>
      </c>
      <c r="F494" s="1">
        <v>35759</v>
      </c>
      <c r="G494">
        <v>2</v>
      </c>
      <c r="H494">
        <v>81.88</v>
      </c>
      <c r="I494" t="s">
        <v>113</v>
      </c>
      <c r="J494" t="s">
        <v>114</v>
      </c>
      <c r="K494" t="s">
        <v>115</v>
      </c>
      <c r="L494" t="s">
        <v>116</v>
      </c>
      <c r="M494">
        <v>98124</v>
      </c>
      <c r="N494" t="s">
        <v>87</v>
      </c>
      <c r="P494" t="s">
        <v>87</v>
      </c>
      <c r="Q494" t="s">
        <v>87</v>
      </c>
    </row>
    <row r="495" spans="1:17" x14ac:dyDescent="0.2">
      <c r="A495">
        <v>10741</v>
      </c>
      <c r="B495" t="s">
        <v>275</v>
      </c>
      <c r="C495">
        <v>4</v>
      </c>
      <c r="D495" s="1">
        <v>35748</v>
      </c>
      <c r="E495" s="1">
        <v>35762</v>
      </c>
      <c r="F495" s="1">
        <v>35752</v>
      </c>
      <c r="G495">
        <v>3</v>
      </c>
      <c r="H495">
        <v>10.96</v>
      </c>
      <c r="I495" t="s">
        <v>276</v>
      </c>
      <c r="J495" t="s">
        <v>277</v>
      </c>
      <c r="K495" t="s">
        <v>278</v>
      </c>
      <c r="L495" t="s">
        <v>279</v>
      </c>
      <c r="M495" t="s">
        <v>280</v>
      </c>
      <c r="N495" t="s">
        <v>173</v>
      </c>
      <c r="P495" t="s">
        <v>173</v>
      </c>
      <c r="Q495" t="s">
        <v>173</v>
      </c>
    </row>
    <row r="496" spans="1:17" x14ac:dyDescent="0.2">
      <c r="A496">
        <v>10742</v>
      </c>
      <c r="B496" t="s">
        <v>324</v>
      </c>
      <c r="C496">
        <v>3</v>
      </c>
      <c r="D496" s="1">
        <v>35748</v>
      </c>
      <c r="E496" s="1">
        <v>35776</v>
      </c>
      <c r="F496" s="1">
        <v>35752</v>
      </c>
      <c r="G496">
        <v>3</v>
      </c>
      <c r="H496">
        <v>243.73</v>
      </c>
      <c r="I496" t="s">
        <v>325</v>
      </c>
      <c r="J496" t="s">
        <v>326</v>
      </c>
      <c r="K496" t="s">
        <v>327</v>
      </c>
      <c r="L496" t="s">
        <v>328</v>
      </c>
      <c r="M496" t="s">
        <v>329</v>
      </c>
      <c r="N496" t="s">
        <v>254</v>
      </c>
      <c r="P496" t="s">
        <v>254</v>
      </c>
      <c r="Q496" t="s">
        <v>254</v>
      </c>
    </row>
    <row r="497" spans="1:17" x14ac:dyDescent="0.2">
      <c r="A497">
        <v>10743</v>
      </c>
      <c r="B497" t="s">
        <v>275</v>
      </c>
      <c r="C497">
        <v>1</v>
      </c>
      <c r="D497" s="1">
        <v>35751</v>
      </c>
      <c r="E497" s="1">
        <v>35779</v>
      </c>
      <c r="F497" s="1">
        <v>35755</v>
      </c>
      <c r="G497">
        <v>2</v>
      </c>
      <c r="H497">
        <v>23.72</v>
      </c>
      <c r="I497" t="s">
        <v>276</v>
      </c>
      <c r="J497" t="s">
        <v>277</v>
      </c>
      <c r="K497" t="s">
        <v>278</v>
      </c>
      <c r="L497" t="s">
        <v>279</v>
      </c>
      <c r="M497" t="s">
        <v>280</v>
      </c>
      <c r="N497" t="s">
        <v>173</v>
      </c>
      <c r="P497" t="s">
        <v>173</v>
      </c>
      <c r="Q497" t="s">
        <v>173</v>
      </c>
    </row>
    <row r="498" spans="1:17" x14ac:dyDescent="0.2">
      <c r="A498">
        <v>10744</v>
      </c>
      <c r="B498" t="s">
        <v>301</v>
      </c>
      <c r="C498">
        <v>6</v>
      </c>
      <c r="D498" s="1">
        <v>35751</v>
      </c>
      <c r="E498" s="1">
        <v>35779</v>
      </c>
      <c r="F498" s="1">
        <v>35758</v>
      </c>
      <c r="G498">
        <v>1</v>
      </c>
      <c r="H498">
        <v>69.19</v>
      </c>
      <c r="I498" t="s">
        <v>302</v>
      </c>
      <c r="J498" t="s">
        <v>303</v>
      </c>
      <c r="K498" t="s">
        <v>304</v>
      </c>
      <c r="L498" t="s">
        <v>18</v>
      </c>
      <c r="M498">
        <v>8200</v>
      </c>
      <c r="N498" t="s">
        <v>262</v>
      </c>
      <c r="P498" t="s">
        <v>262</v>
      </c>
      <c r="Q498" t="s">
        <v>262</v>
      </c>
    </row>
    <row r="499" spans="1:17" x14ac:dyDescent="0.2">
      <c r="A499">
        <v>10745</v>
      </c>
      <c r="B499" t="s">
        <v>122</v>
      </c>
      <c r="C499">
        <v>9</v>
      </c>
      <c r="D499" s="1">
        <v>35752</v>
      </c>
      <c r="E499" s="1">
        <v>35780</v>
      </c>
      <c r="F499" s="1">
        <v>35761</v>
      </c>
      <c r="G499">
        <v>1</v>
      </c>
      <c r="H499">
        <v>3.52</v>
      </c>
      <c r="I499" t="s">
        <v>123</v>
      </c>
      <c r="J499" t="s">
        <v>124</v>
      </c>
      <c r="K499" t="s">
        <v>125</v>
      </c>
      <c r="L499" t="s">
        <v>18</v>
      </c>
      <c r="M499" s="2" t="s">
        <v>126</v>
      </c>
      <c r="N499" t="s">
        <v>24</v>
      </c>
      <c r="P499" t="s">
        <v>24</v>
      </c>
      <c r="Q499" t="s">
        <v>24</v>
      </c>
    </row>
    <row r="500" spans="1:17" x14ac:dyDescent="0.2">
      <c r="A500">
        <v>10746</v>
      </c>
      <c r="B500" t="s">
        <v>42</v>
      </c>
      <c r="C500">
        <v>1</v>
      </c>
      <c r="D500" s="1">
        <v>35753</v>
      </c>
      <c r="E500" s="1">
        <v>35781</v>
      </c>
      <c r="F500" s="1">
        <v>35755</v>
      </c>
      <c r="G500">
        <v>3</v>
      </c>
      <c r="H500">
        <v>31.43</v>
      </c>
      <c r="I500" t="s">
        <v>43</v>
      </c>
      <c r="J500" t="s">
        <v>44</v>
      </c>
      <c r="K500" t="s">
        <v>45</v>
      </c>
      <c r="L500" t="s">
        <v>18</v>
      </c>
      <c r="M500">
        <v>3012</v>
      </c>
      <c r="N500" t="s">
        <v>46</v>
      </c>
      <c r="P500" t="s">
        <v>46</v>
      </c>
      <c r="Q500" t="s">
        <v>46</v>
      </c>
    </row>
    <row r="501" spans="1:17" x14ac:dyDescent="0.2">
      <c r="A501">
        <v>10747</v>
      </c>
      <c r="B501" t="s">
        <v>271</v>
      </c>
      <c r="C501">
        <v>6</v>
      </c>
      <c r="D501" s="1">
        <v>35753</v>
      </c>
      <c r="E501" s="1">
        <v>35781</v>
      </c>
      <c r="F501" s="1">
        <v>35760</v>
      </c>
      <c r="G501">
        <v>1</v>
      </c>
      <c r="H501">
        <v>117.33</v>
      </c>
      <c r="I501" t="s">
        <v>272</v>
      </c>
      <c r="J501" t="s">
        <v>273</v>
      </c>
      <c r="K501" t="s">
        <v>274</v>
      </c>
      <c r="L501" t="s">
        <v>18</v>
      </c>
      <c r="M501">
        <v>5020</v>
      </c>
      <c r="N501" t="s">
        <v>67</v>
      </c>
      <c r="P501" t="s">
        <v>67</v>
      </c>
      <c r="Q501" t="s">
        <v>67</v>
      </c>
    </row>
    <row r="502" spans="1:17" x14ac:dyDescent="0.2">
      <c r="A502">
        <v>10748</v>
      </c>
      <c r="B502" t="s">
        <v>231</v>
      </c>
      <c r="C502">
        <v>3</v>
      </c>
      <c r="D502" s="1">
        <v>35754</v>
      </c>
      <c r="E502" s="1">
        <v>35782</v>
      </c>
      <c r="F502" s="1">
        <v>35762</v>
      </c>
      <c r="G502">
        <v>1</v>
      </c>
      <c r="H502">
        <v>232.55</v>
      </c>
      <c r="I502" t="s">
        <v>232</v>
      </c>
      <c r="J502" t="s">
        <v>233</v>
      </c>
      <c r="K502" t="s">
        <v>234</v>
      </c>
      <c r="L502" t="s">
        <v>235</v>
      </c>
      <c r="M502">
        <v>83720</v>
      </c>
      <c r="N502" t="s">
        <v>87</v>
      </c>
      <c r="P502" t="s">
        <v>87</v>
      </c>
      <c r="Q502" t="s">
        <v>87</v>
      </c>
    </row>
    <row r="503" spans="1:17" x14ac:dyDescent="0.2">
      <c r="A503">
        <v>10749</v>
      </c>
      <c r="B503" t="s">
        <v>218</v>
      </c>
      <c r="C503">
        <v>4</v>
      </c>
      <c r="D503" s="1">
        <v>35754</v>
      </c>
      <c r="E503" s="1">
        <v>35782</v>
      </c>
      <c r="F503" s="1">
        <v>35783</v>
      </c>
      <c r="G503">
        <v>2</v>
      </c>
      <c r="H503">
        <v>61.53</v>
      </c>
      <c r="I503" t="s">
        <v>219</v>
      </c>
      <c r="J503" t="s">
        <v>220</v>
      </c>
      <c r="K503" t="s">
        <v>221</v>
      </c>
      <c r="L503" t="s">
        <v>222</v>
      </c>
      <c r="M503" t="s">
        <v>223</v>
      </c>
      <c r="N503" t="s">
        <v>173</v>
      </c>
      <c r="P503" t="s">
        <v>173</v>
      </c>
      <c r="Q503" t="s">
        <v>173</v>
      </c>
    </row>
    <row r="504" spans="1:17" x14ac:dyDescent="0.2">
      <c r="A504">
        <v>10750</v>
      </c>
      <c r="B504" t="s">
        <v>98</v>
      </c>
      <c r="C504">
        <v>9</v>
      </c>
      <c r="D504" s="1">
        <v>35755</v>
      </c>
      <c r="E504" s="1">
        <v>35783</v>
      </c>
      <c r="F504" s="1">
        <v>35758</v>
      </c>
      <c r="G504">
        <v>1</v>
      </c>
      <c r="H504">
        <v>79.3</v>
      </c>
      <c r="I504" t="s">
        <v>99</v>
      </c>
      <c r="J504" t="s">
        <v>100</v>
      </c>
      <c r="K504" t="s">
        <v>101</v>
      </c>
      <c r="L504" t="s">
        <v>18</v>
      </c>
      <c r="M504">
        <v>90110</v>
      </c>
      <c r="N504" t="s">
        <v>102</v>
      </c>
      <c r="P504" t="s">
        <v>102</v>
      </c>
      <c r="Q504" t="s">
        <v>102</v>
      </c>
    </row>
    <row r="505" spans="1:17" x14ac:dyDescent="0.2">
      <c r="A505">
        <v>10751</v>
      </c>
      <c r="B505" t="s">
        <v>47</v>
      </c>
      <c r="C505">
        <v>3</v>
      </c>
      <c r="D505" s="1">
        <v>35758</v>
      </c>
      <c r="E505" s="1">
        <v>35786</v>
      </c>
      <c r="F505" s="1">
        <v>35767</v>
      </c>
      <c r="G505">
        <v>3</v>
      </c>
      <c r="H505">
        <v>130.79</v>
      </c>
      <c r="I505" t="s">
        <v>48</v>
      </c>
      <c r="J505" t="s">
        <v>49</v>
      </c>
      <c r="K505" t="s">
        <v>50</v>
      </c>
      <c r="L505" t="s">
        <v>18</v>
      </c>
      <c r="M505">
        <v>1204</v>
      </c>
      <c r="N505" t="s">
        <v>46</v>
      </c>
      <c r="P505" t="s">
        <v>46</v>
      </c>
      <c r="Q505" t="s">
        <v>46</v>
      </c>
    </row>
    <row r="506" spans="1:17" x14ac:dyDescent="0.2">
      <c r="A506">
        <v>10752</v>
      </c>
      <c r="B506" t="s">
        <v>373</v>
      </c>
      <c r="C506">
        <v>2</v>
      </c>
      <c r="D506" s="1">
        <v>35758</v>
      </c>
      <c r="E506" s="1">
        <v>35786</v>
      </c>
      <c r="F506" s="1">
        <v>35762</v>
      </c>
      <c r="G506">
        <v>3</v>
      </c>
      <c r="H506">
        <v>1.39</v>
      </c>
      <c r="I506" t="s">
        <v>374</v>
      </c>
      <c r="J506" t="s">
        <v>375</v>
      </c>
      <c r="K506" t="s">
        <v>171</v>
      </c>
      <c r="L506" t="s">
        <v>18</v>
      </c>
      <c r="M506" t="s">
        <v>376</v>
      </c>
      <c r="N506" t="s">
        <v>173</v>
      </c>
      <c r="P506" t="s">
        <v>173</v>
      </c>
      <c r="Q506" t="s">
        <v>173</v>
      </c>
    </row>
    <row r="507" spans="1:17" x14ac:dyDescent="0.2">
      <c r="A507">
        <v>10753</v>
      </c>
      <c r="B507" t="s">
        <v>344</v>
      </c>
      <c r="C507">
        <v>3</v>
      </c>
      <c r="D507" s="1">
        <v>35759</v>
      </c>
      <c r="E507" s="1">
        <v>35787</v>
      </c>
      <c r="F507" s="1">
        <v>35761</v>
      </c>
      <c r="G507">
        <v>1</v>
      </c>
      <c r="H507">
        <v>7.7</v>
      </c>
      <c r="I507" t="s">
        <v>345</v>
      </c>
      <c r="J507" t="s">
        <v>346</v>
      </c>
      <c r="K507" t="s">
        <v>347</v>
      </c>
      <c r="L507" t="s">
        <v>18</v>
      </c>
      <c r="M507">
        <v>10100</v>
      </c>
      <c r="N507" t="s">
        <v>131</v>
      </c>
      <c r="P507" t="s">
        <v>131</v>
      </c>
      <c r="Q507" t="s">
        <v>131</v>
      </c>
    </row>
    <row r="508" spans="1:17" x14ac:dyDescent="0.2">
      <c r="A508">
        <v>10754</v>
      </c>
      <c r="B508" t="s">
        <v>127</v>
      </c>
      <c r="C508">
        <v>6</v>
      </c>
      <c r="D508" s="1">
        <v>35759</v>
      </c>
      <c r="E508" s="1">
        <v>35787</v>
      </c>
      <c r="F508" s="1">
        <v>35761</v>
      </c>
      <c r="G508">
        <v>3</v>
      </c>
      <c r="H508">
        <v>2.38</v>
      </c>
      <c r="I508" t="s">
        <v>128</v>
      </c>
      <c r="J508" t="s">
        <v>129</v>
      </c>
      <c r="K508" t="s">
        <v>130</v>
      </c>
      <c r="L508" t="s">
        <v>18</v>
      </c>
      <c r="M508">
        <v>24100</v>
      </c>
      <c r="N508" t="s">
        <v>131</v>
      </c>
      <c r="P508" t="s">
        <v>131</v>
      </c>
      <c r="Q508" t="s">
        <v>131</v>
      </c>
    </row>
    <row r="509" spans="1:17" x14ac:dyDescent="0.2">
      <c r="A509">
        <v>10755</v>
      </c>
      <c r="B509" t="s">
        <v>244</v>
      </c>
      <c r="C509">
        <v>4</v>
      </c>
      <c r="D509" s="1">
        <v>35760</v>
      </c>
      <c r="E509" s="1">
        <v>35788</v>
      </c>
      <c r="F509" s="1">
        <v>35762</v>
      </c>
      <c r="G509">
        <v>2</v>
      </c>
      <c r="H509">
        <v>16.71</v>
      </c>
      <c r="I509" t="s">
        <v>245</v>
      </c>
      <c r="J509">
        <v>12</v>
      </c>
      <c r="K509" t="s">
        <v>246</v>
      </c>
      <c r="L509" t="s">
        <v>247</v>
      </c>
      <c r="M509" t="s">
        <v>18</v>
      </c>
      <c r="N509">
        <v>13008</v>
      </c>
      <c r="O509" t="s">
        <v>19</v>
      </c>
      <c r="P509" t="s">
        <v>19</v>
      </c>
      <c r="Q509" t="s">
        <v>19</v>
      </c>
    </row>
    <row r="510" spans="1:17" x14ac:dyDescent="0.2">
      <c r="A510">
        <v>10756</v>
      </c>
      <c r="B510" t="s">
        <v>117</v>
      </c>
      <c r="C510">
        <v>8</v>
      </c>
      <c r="D510" s="1">
        <v>35761</v>
      </c>
      <c r="E510" s="1">
        <v>35789</v>
      </c>
      <c r="F510" s="1">
        <v>35766</v>
      </c>
      <c r="G510">
        <v>2</v>
      </c>
      <c r="H510">
        <v>73.209999999999994</v>
      </c>
      <c r="I510" t="s">
        <v>118</v>
      </c>
      <c r="J510" t="s">
        <v>119</v>
      </c>
      <c r="K510" t="s">
        <v>120</v>
      </c>
      <c r="L510" t="s">
        <v>121</v>
      </c>
      <c r="M510">
        <v>82520</v>
      </c>
      <c r="N510" t="s">
        <v>87</v>
      </c>
      <c r="P510" t="s">
        <v>87</v>
      </c>
      <c r="Q510" t="s">
        <v>87</v>
      </c>
    </row>
    <row r="511" spans="1:17" x14ac:dyDescent="0.2">
      <c r="A511">
        <v>10757</v>
      </c>
      <c r="B511" t="s">
        <v>231</v>
      </c>
      <c r="C511">
        <v>6</v>
      </c>
      <c r="D511" s="1">
        <v>35761</v>
      </c>
      <c r="E511" s="1">
        <v>35789</v>
      </c>
      <c r="F511" s="1">
        <v>35779</v>
      </c>
      <c r="G511">
        <v>1</v>
      </c>
      <c r="H511">
        <v>8.19</v>
      </c>
      <c r="I511" t="s">
        <v>232</v>
      </c>
      <c r="J511" t="s">
        <v>233</v>
      </c>
      <c r="K511" t="s">
        <v>234</v>
      </c>
      <c r="L511" t="s">
        <v>235</v>
      </c>
      <c r="M511">
        <v>83720</v>
      </c>
      <c r="N511" t="s">
        <v>87</v>
      </c>
      <c r="P511" t="s">
        <v>87</v>
      </c>
      <c r="Q511" t="s">
        <v>87</v>
      </c>
    </row>
    <row r="512" spans="1:17" x14ac:dyDescent="0.2">
      <c r="A512">
        <v>10758</v>
      </c>
      <c r="B512" t="s">
        <v>47</v>
      </c>
      <c r="C512">
        <v>3</v>
      </c>
      <c r="D512" s="1">
        <v>35762</v>
      </c>
      <c r="E512" s="1">
        <v>35790</v>
      </c>
      <c r="F512" s="1">
        <v>35768</v>
      </c>
      <c r="G512">
        <v>3</v>
      </c>
      <c r="H512">
        <v>138.16999999999999</v>
      </c>
      <c r="I512" t="s">
        <v>48</v>
      </c>
      <c r="J512" t="s">
        <v>49</v>
      </c>
      <c r="K512" t="s">
        <v>50</v>
      </c>
      <c r="L512" t="s">
        <v>18</v>
      </c>
      <c r="M512">
        <v>1204</v>
      </c>
      <c r="N512" t="s">
        <v>46</v>
      </c>
      <c r="P512" t="s">
        <v>46</v>
      </c>
      <c r="Q512" t="s">
        <v>46</v>
      </c>
    </row>
    <row r="513" spans="1:17" x14ac:dyDescent="0.2">
      <c r="A513">
        <v>10759</v>
      </c>
      <c r="B513" t="s">
        <v>207</v>
      </c>
      <c r="C513">
        <v>3</v>
      </c>
      <c r="D513" s="1">
        <v>35762</v>
      </c>
      <c r="E513" s="1">
        <v>35790</v>
      </c>
      <c r="F513" s="1">
        <v>35776</v>
      </c>
      <c r="G513">
        <v>3</v>
      </c>
      <c r="H513">
        <v>11.99</v>
      </c>
      <c r="I513" t="s">
        <v>208</v>
      </c>
      <c r="J513" t="s">
        <v>209</v>
      </c>
      <c r="K513" t="s">
        <v>71</v>
      </c>
      <c r="L513" t="s">
        <v>18</v>
      </c>
      <c r="M513" s="2" t="s">
        <v>210</v>
      </c>
      <c r="N513" t="s">
        <v>73</v>
      </c>
      <c r="P513" t="s">
        <v>73</v>
      </c>
      <c r="Q513" t="s">
        <v>73</v>
      </c>
    </row>
    <row r="514" spans="1:17" x14ac:dyDescent="0.2">
      <c r="A514">
        <v>10760</v>
      </c>
      <c r="B514" t="s">
        <v>384</v>
      </c>
      <c r="C514">
        <v>4</v>
      </c>
      <c r="D514" s="1">
        <v>35765</v>
      </c>
      <c r="E514" s="1">
        <v>35793</v>
      </c>
      <c r="F514" s="1">
        <v>35774</v>
      </c>
      <c r="G514">
        <v>1</v>
      </c>
      <c r="H514">
        <v>155.63999999999999</v>
      </c>
      <c r="I514" t="s">
        <v>385</v>
      </c>
      <c r="J514" t="s">
        <v>386</v>
      </c>
      <c r="K514" t="s">
        <v>387</v>
      </c>
      <c r="L514" t="s">
        <v>18</v>
      </c>
      <c r="M514" t="s">
        <v>388</v>
      </c>
      <c r="N514" t="s">
        <v>41</v>
      </c>
      <c r="P514" t="s">
        <v>41</v>
      </c>
      <c r="Q514" t="s">
        <v>41</v>
      </c>
    </row>
    <row r="515" spans="1:17" x14ac:dyDescent="0.2">
      <c r="A515">
        <v>10761</v>
      </c>
      <c r="B515" t="s">
        <v>82</v>
      </c>
      <c r="C515">
        <v>5</v>
      </c>
      <c r="D515" s="1">
        <v>35766</v>
      </c>
      <c r="E515" s="1">
        <v>35794</v>
      </c>
      <c r="F515" s="1">
        <v>35772</v>
      </c>
      <c r="G515">
        <v>2</v>
      </c>
      <c r="H515">
        <v>18.66</v>
      </c>
      <c r="I515" t="s">
        <v>83</v>
      </c>
      <c r="J515" t="s">
        <v>84</v>
      </c>
      <c r="K515" t="s">
        <v>85</v>
      </c>
      <c r="L515" t="s">
        <v>86</v>
      </c>
      <c r="M515">
        <v>87110</v>
      </c>
      <c r="N515" t="s">
        <v>87</v>
      </c>
      <c r="P515" t="s">
        <v>87</v>
      </c>
      <c r="Q515" t="s">
        <v>87</v>
      </c>
    </row>
    <row r="516" spans="1:17" x14ac:dyDescent="0.2">
      <c r="A516">
        <v>10762</v>
      </c>
      <c r="B516" t="s">
        <v>88</v>
      </c>
      <c r="C516">
        <v>3</v>
      </c>
      <c r="D516" s="1">
        <v>35766</v>
      </c>
      <c r="E516" s="1">
        <v>35794</v>
      </c>
      <c r="F516" s="1">
        <v>35773</v>
      </c>
      <c r="G516">
        <v>1</v>
      </c>
      <c r="H516">
        <v>328.74</v>
      </c>
      <c r="I516" t="s">
        <v>89</v>
      </c>
      <c r="J516" t="s">
        <v>90</v>
      </c>
      <c r="K516" t="s">
        <v>91</v>
      </c>
      <c r="L516" t="s">
        <v>18</v>
      </c>
      <c r="M516" t="s">
        <v>92</v>
      </c>
      <c r="N516" t="s">
        <v>93</v>
      </c>
      <c r="P516" t="s">
        <v>93</v>
      </c>
      <c r="Q516" t="s">
        <v>93</v>
      </c>
    </row>
    <row r="517" spans="1:17" x14ac:dyDescent="0.2">
      <c r="A517">
        <v>10763</v>
      </c>
      <c r="B517" t="s">
        <v>335</v>
      </c>
      <c r="C517">
        <v>3</v>
      </c>
      <c r="D517" s="1">
        <v>35767</v>
      </c>
      <c r="E517" s="1">
        <v>35795</v>
      </c>
      <c r="F517" s="1">
        <v>35772</v>
      </c>
      <c r="G517">
        <v>3</v>
      </c>
      <c r="H517">
        <v>37.35</v>
      </c>
      <c r="I517" t="s">
        <v>336</v>
      </c>
      <c r="J517">
        <v>184</v>
      </c>
      <c r="K517" t="s">
        <v>337</v>
      </c>
      <c r="L517" t="s">
        <v>338</v>
      </c>
      <c r="M517" t="s">
        <v>18</v>
      </c>
      <c r="N517">
        <v>59000</v>
      </c>
      <c r="O517" t="s">
        <v>19</v>
      </c>
      <c r="P517" t="s">
        <v>19</v>
      </c>
      <c r="Q517" t="s">
        <v>19</v>
      </c>
    </row>
    <row r="518" spans="1:17" x14ac:dyDescent="0.2">
      <c r="A518">
        <v>10764</v>
      </c>
      <c r="B518" t="s">
        <v>63</v>
      </c>
      <c r="C518">
        <v>6</v>
      </c>
      <c r="D518" s="1">
        <v>35767</v>
      </c>
      <c r="E518" s="1">
        <v>35795</v>
      </c>
      <c r="F518" s="1">
        <v>35772</v>
      </c>
      <c r="G518">
        <v>3</v>
      </c>
      <c r="H518">
        <v>145.44999999999999</v>
      </c>
      <c r="I518" t="s">
        <v>64</v>
      </c>
      <c r="J518" t="s">
        <v>65</v>
      </c>
      <c r="K518" t="s">
        <v>66</v>
      </c>
      <c r="L518" t="s">
        <v>18</v>
      </c>
      <c r="M518">
        <v>8010</v>
      </c>
      <c r="N518" t="s">
        <v>67</v>
      </c>
      <c r="P518" t="s">
        <v>67</v>
      </c>
      <c r="Q518" t="s">
        <v>67</v>
      </c>
    </row>
    <row r="519" spans="1:17" x14ac:dyDescent="0.2">
      <c r="A519">
        <v>10765</v>
      </c>
      <c r="B519" t="s">
        <v>122</v>
      </c>
      <c r="C519">
        <v>3</v>
      </c>
      <c r="D519" s="1">
        <v>35768</v>
      </c>
      <c r="E519" s="1">
        <v>35796</v>
      </c>
      <c r="F519" s="1">
        <v>35773</v>
      </c>
      <c r="G519">
        <v>3</v>
      </c>
      <c r="H519">
        <v>42.74</v>
      </c>
      <c r="I519" t="s">
        <v>123</v>
      </c>
      <c r="J519" t="s">
        <v>124</v>
      </c>
      <c r="K519" t="s">
        <v>125</v>
      </c>
      <c r="L519" t="s">
        <v>18</v>
      </c>
      <c r="M519" s="2" t="s">
        <v>126</v>
      </c>
      <c r="N519" t="s">
        <v>24</v>
      </c>
      <c r="P519" t="s">
        <v>24</v>
      </c>
      <c r="Q519" t="s">
        <v>24</v>
      </c>
    </row>
    <row r="520" spans="1:17" x14ac:dyDescent="0.2">
      <c r="A520">
        <v>10766</v>
      </c>
      <c r="B520" t="s">
        <v>74</v>
      </c>
      <c r="C520">
        <v>4</v>
      </c>
      <c r="D520" s="1">
        <v>35769</v>
      </c>
      <c r="E520" s="1">
        <v>35797</v>
      </c>
      <c r="F520" s="1">
        <v>35773</v>
      </c>
      <c r="G520">
        <v>1</v>
      </c>
      <c r="H520">
        <v>157.55000000000001</v>
      </c>
      <c r="I520" t="s">
        <v>75</v>
      </c>
      <c r="J520" t="s">
        <v>76</v>
      </c>
      <c r="K520" t="s">
        <v>77</v>
      </c>
      <c r="L520" t="s">
        <v>18</v>
      </c>
      <c r="M520">
        <v>50739</v>
      </c>
      <c r="N520" t="s">
        <v>24</v>
      </c>
      <c r="P520" t="s">
        <v>24</v>
      </c>
      <c r="Q520" t="s">
        <v>24</v>
      </c>
    </row>
    <row r="521" spans="1:17" x14ac:dyDescent="0.2">
      <c r="A521">
        <v>10767</v>
      </c>
      <c r="B521" t="s">
        <v>36</v>
      </c>
      <c r="C521">
        <v>4</v>
      </c>
      <c r="D521" s="1">
        <v>35769</v>
      </c>
      <c r="E521" s="1">
        <v>35797</v>
      </c>
      <c r="F521" s="1">
        <v>35779</v>
      </c>
      <c r="G521">
        <v>3</v>
      </c>
      <c r="H521">
        <v>1.59</v>
      </c>
      <c r="I521" t="s">
        <v>37</v>
      </c>
      <c r="J521" t="s">
        <v>38</v>
      </c>
      <c r="K521">
        <v>255</v>
      </c>
      <c r="L521" t="s">
        <v>39</v>
      </c>
      <c r="M521" t="s">
        <v>18</v>
      </c>
      <c r="N521" t="s">
        <v>40</v>
      </c>
      <c r="O521" t="s">
        <v>41</v>
      </c>
      <c r="P521" t="s">
        <v>41</v>
      </c>
      <c r="Q521" t="s">
        <v>41</v>
      </c>
    </row>
    <row r="522" spans="1:17" x14ac:dyDescent="0.2">
      <c r="A522">
        <v>10768</v>
      </c>
      <c r="B522" t="s">
        <v>275</v>
      </c>
      <c r="C522">
        <v>3</v>
      </c>
      <c r="D522" s="1">
        <v>35772</v>
      </c>
      <c r="E522" s="1">
        <v>35800</v>
      </c>
      <c r="F522" s="1">
        <v>35779</v>
      </c>
      <c r="G522">
        <v>2</v>
      </c>
      <c r="H522">
        <v>146.32</v>
      </c>
      <c r="I522" t="s">
        <v>276</v>
      </c>
      <c r="J522" t="s">
        <v>277</v>
      </c>
      <c r="K522" t="s">
        <v>278</v>
      </c>
      <c r="L522" t="s">
        <v>279</v>
      </c>
      <c r="M522" t="s">
        <v>280</v>
      </c>
      <c r="N522" t="s">
        <v>173</v>
      </c>
      <c r="P522" t="s">
        <v>173</v>
      </c>
      <c r="Q522" t="s">
        <v>173</v>
      </c>
    </row>
    <row r="523" spans="1:17" x14ac:dyDescent="0.2">
      <c r="A523">
        <v>10769</v>
      </c>
      <c r="B523" t="s">
        <v>301</v>
      </c>
      <c r="C523">
        <v>3</v>
      </c>
      <c r="D523" s="1">
        <v>35772</v>
      </c>
      <c r="E523" s="1">
        <v>35800</v>
      </c>
      <c r="F523" s="1">
        <v>35776</v>
      </c>
      <c r="G523">
        <v>1</v>
      </c>
      <c r="H523">
        <v>65.06</v>
      </c>
      <c r="I523" t="s">
        <v>302</v>
      </c>
      <c r="J523" t="s">
        <v>303</v>
      </c>
      <c r="K523" t="s">
        <v>304</v>
      </c>
      <c r="L523" t="s">
        <v>18</v>
      </c>
      <c r="M523">
        <v>8200</v>
      </c>
      <c r="N523" t="s">
        <v>262</v>
      </c>
      <c r="P523" t="s">
        <v>262</v>
      </c>
      <c r="Q523" t="s">
        <v>262</v>
      </c>
    </row>
    <row r="524" spans="1:17" x14ac:dyDescent="0.2">
      <c r="A524">
        <v>10770</v>
      </c>
      <c r="B524" t="s">
        <v>25</v>
      </c>
      <c r="C524">
        <v>8</v>
      </c>
      <c r="D524" s="1">
        <v>35773</v>
      </c>
      <c r="E524" s="1">
        <v>35801</v>
      </c>
      <c r="F524" s="1">
        <v>35781</v>
      </c>
      <c r="G524">
        <v>3</v>
      </c>
      <c r="H524">
        <v>5.32</v>
      </c>
      <c r="I524" t="s">
        <v>26</v>
      </c>
      <c r="J524" t="s">
        <v>27</v>
      </c>
      <c r="K524">
        <v>67</v>
      </c>
      <c r="L524" t="s">
        <v>28</v>
      </c>
      <c r="M524" t="s">
        <v>29</v>
      </c>
      <c r="N524" t="s">
        <v>30</v>
      </c>
      <c r="O524" t="s">
        <v>31</v>
      </c>
      <c r="P524" t="s">
        <v>31</v>
      </c>
      <c r="Q524" t="s">
        <v>31</v>
      </c>
    </row>
    <row r="525" spans="1:17" x14ac:dyDescent="0.2">
      <c r="A525">
        <v>10771</v>
      </c>
      <c r="B525" t="s">
        <v>63</v>
      </c>
      <c r="C525">
        <v>9</v>
      </c>
      <c r="D525" s="1">
        <v>35774</v>
      </c>
      <c r="E525" s="1">
        <v>35802</v>
      </c>
      <c r="F525" s="1">
        <v>35797</v>
      </c>
      <c r="G525">
        <v>2</v>
      </c>
      <c r="H525">
        <v>11.19</v>
      </c>
      <c r="I525" t="s">
        <v>64</v>
      </c>
      <c r="J525" t="s">
        <v>65</v>
      </c>
      <c r="K525" t="s">
        <v>66</v>
      </c>
      <c r="L525" t="s">
        <v>18</v>
      </c>
      <c r="M525">
        <v>8010</v>
      </c>
      <c r="N525" t="s">
        <v>67</v>
      </c>
      <c r="P525" t="s">
        <v>67</v>
      </c>
      <c r="Q525" t="s">
        <v>67</v>
      </c>
    </row>
    <row r="526" spans="1:17" x14ac:dyDescent="0.2">
      <c r="A526">
        <v>10772</v>
      </c>
      <c r="B526" t="s">
        <v>146</v>
      </c>
      <c r="C526">
        <v>3</v>
      </c>
      <c r="D526" s="1">
        <v>35774</v>
      </c>
      <c r="E526" s="1">
        <v>35802</v>
      </c>
      <c r="F526" s="1">
        <v>35783</v>
      </c>
      <c r="G526">
        <v>2</v>
      </c>
      <c r="H526">
        <v>91.28</v>
      </c>
      <c r="I526" t="s">
        <v>147</v>
      </c>
      <c r="J526" t="s">
        <v>148</v>
      </c>
      <c r="K526" t="s">
        <v>149</v>
      </c>
      <c r="L526" t="s">
        <v>18</v>
      </c>
      <c r="M526">
        <v>60528</v>
      </c>
      <c r="N526" t="s">
        <v>24</v>
      </c>
      <c r="P526" t="s">
        <v>24</v>
      </c>
      <c r="Q526" t="s">
        <v>24</v>
      </c>
    </row>
    <row r="527" spans="1:17" x14ac:dyDescent="0.2">
      <c r="A527">
        <v>10773</v>
      </c>
      <c r="B527" t="s">
        <v>63</v>
      </c>
      <c r="C527">
        <v>1</v>
      </c>
      <c r="D527" s="1">
        <v>35775</v>
      </c>
      <c r="E527" s="1">
        <v>35803</v>
      </c>
      <c r="F527" s="1">
        <v>35780</v>
      </c>
      <c r="G527">
        <v>3</v>
      </c>
      <c r="H527">
        <v>96.43</v>
      </c>
      <c r="I527" t="s">
        <v>64</v>
      </c>
      <c r="J527" t="s">
        <v>65</v>
      </c>
      <c r="K527" t="s">
        <v>66</v>
      </c>
      <c r="L527" t="s">
        <v>18</v>
      </c>
      <c r="M527">
        <v>8010</v>
      </c>
      <c r="N527" t="s">
        <v>67</v>
      </c>
      <c r="P527" t="s">
        <v>67</v>
      </c>
      <c r="Q527" t="s">
        <v>67</v>
      </c>
    </row>
    <row r="528" spans="1:17" x14ac:dyDescent="0.2">
      <c r="A528">
        <v>10774</v>
      </c>
      <c r="B528" t="s">
        <v>88</v>
      </c>
      <c r="C528">
        <v>4</v>
      </c>
      <c r="D528" s="1">
        <v>35775</v>
      </c>
      <c r="E528" s="1">
        <v>35789</v>
      </c>
      <c r="F528" s="1">
        <v>35776</v>
      </c>
      <c r="G528">
        <v>1</v>
      </c>
      <c r="H528">
        <v>48.2</v>
      </c>
      <c r="I528" t="s">
        <v>89</v>
      </c>
      <c r="J528" t="s">
        <v>90</v>
      </c>
      <c r="K528" t="s">
        <v>91</v>
      </c>
      <c r="L528" t="s">
        <v>18</v>
      </c>
      <c r="M528" t="s">
        <v>92</v>
      </c>
      <c r="N528" t="s">
        <v>93</v>
      </c>
      <c r="P528" t="s">
        <v>93</v>
      </c>
      <c r="Q528" t="s">
        <v>93</v>
      </c>
    </row>
    <row r="529" spans="1:17" x14ac:dyDescent="0.2">
      <c r="A529">
        <v>10775</v>
      </c>
      <c r="B529" t="s">
        <v>402</v>
      </c>
      <c r="C529">
        <v>7</v>
      </c>
      <c r="D529" s="1">
        <v>35776</v>
      </c>
      <c r="E529" s="1">
        <v>35804</v>
      </c>
      <c r="F529" s="1">
        <v>35790</v>
      </c>
      <c r="G529">
        <v>1</v>
      </c>
      <c r="H529">
        <v>20.25</v>
      </c>
      <c r="I529" t="s">
        <v>403</v>
      </c>
      <c r="J529" t="s">
        <v>404</v>
      </c>
      <c r="K529" t="s">
        <v>405</v>
      </c>
      <c r="L529" t="s">
        <v>406</v>
      </c>
      <c r="M529">
        <v>59801</v>
      </c>
      <c r="N529" t="s">
        <v>87</v>
      </c>
      <c r="P529" t="s">
        <v>87</v>
      </c>
      <c r="Q529" t="s">
        <v>87</v>
      </c>
    </row>
    <row r="530" spans="1:17" x14ac:dyDescent="0.2">
      <c r="A530">
        <v>10776</v>
      </c>
      <c r="B530" t="s">
        <v>63</v>
      </c>
      <c r="C530">
        <v>1</v>
      </c>
      <c r="D530" s="1">
        <v>35779</v>
      </c>
      <c r="E530" s="1">
        <v>35807</v>
      </c>
      <c r="F530" s="1">
        <v>35782</v>
      </c>
      <c r="G530">
        <v>3</v>
      </c>
      <c r="H530">
        <v>351.53</v>
      </c>
      <c r="I530" t="s">
        <v>64</v>
      </c>
      <c r="J530" t="s">
        <v>65</v>
      </c>
      <c r="K530" t="s">
        <v>66</v>
      </c>
      <c r="L530" t="s">
        <v>18</v>
      </c>
      <c r="M530">
        <v>8010</v>
      </c>
      <c r="N530" t="s">
        <v>67</v>
      </c>
      <c r="P530" t="s">
        <v>67</v>
      </c>
      <c r="Q530" t="s">
        <v>67</v>
      </c>
    </row>
    <row r="531" spans="1:17" x14ac:dyDescent="0.2">
      <c r="A531">
        <v>10777</v>
      </c>
      <c r="B531" t="s">
        <v>348</v>
      </c>
      <c r="C531">
        <v>7</v>
      </c>
      <c r="D531" s="1">
        <v>35779</v>
      </c>
      <c r="E531" s="1">
        <v>35793</v>
      </c>
      <c r="F531" s="1">
        <v>35816</v>
      </c>
      <c r="G531">
        <v>2</v>
      </c>
      <c r="H531">
        <v>3.01</v>
      </c>
      <c r="I531" t="s">
        <v>349</v>
      </c>
      <c r="J531" t="s">
        <v>350</v>
      </c>
      <c r="K531">
        <v>442</v>
      </c>
      <c r="L531" t="s">
        <v>351</v>
      </c>
      <c r="M531" t="s">
        <v>55</v>
      </c>
      <c r="N531" t="s">
        <v>352</v>
      </c>
      <c r="O531" t="s">
        <v>31</v>
      </c>
      <c r="P531" t="s">
        <v>31</v>
      </c>
      <c r="Q531" t="s">
        <v>31</v>
      </c>
    </row>
    <row r="532" spans="1:17" x14ac:dyDescent="0.2">
      <c r="A532">
        <v>10778</v>
      </c>
      <c r="B532" t="s">
        <v>141</v>
      </c>
      <c r="C532">
        <v>3</v>
      </c>
      <c r="D532" s="1">
        <v>35780</v>
      </c>
      <c r="E532" s="1">
        <v>35808</v>
      </c>
      <c r="F532" s="1">
        <v>35788</v>
      </c>
      <c r="G532">
        <v>1</v>
      </c>
      <c r="H532">
        <v>6.79</v>
      </c>
      <c r="I532" t="s">
        <v>142</v>
      </c>
      <c r="J532" t="s">
        <v>143</v>
      </c>
      <c r="K532" t="s">
        <v>144</v>
      </c>
      <c r="L532" t="s">
        <v>18</v>
      </c>
      <c r="M532" t="s">
        <v>145</v>
      </c>
      <c r="N532" t="s">
        <v>93</v>
      </c>
      <c r="P532" t="s">
        <v>93</v>
      </c>
      <c r="Q532" t="s">
        <v>93</v>
      </c>
    </row>
    <row r="533" spans="1:17" x14ac:dyDescent="0.2">
      <c r="A533">
        <v>10779</v>
      </c>
      <c r="B533" t="s">
        <v>136</v>
      </c>
      <c r="C533">
        <v>3</v>
      </c>
      <c r="D533" s="1">
        <v>35780</v>
      </c>
      <c r="E533" s="1">
        <v>35808</v>
      </c>
      <c r="F533" s="1">
        <v>35809</v>
      </c>
      <c r="G533">
        <v>2</v>
      </c>
      <c r="H533">
        <v>58.13</v>
      </c>
      <c r="I533" t="s">
        <v>137</v>
      </c>
      <c r="J533" t="s">
        <v>138</v>
      </c>
      <c r="K533" t="s">
        <v>139</v>
      </c>
      <c r="L533" t="s">
        <v>18</v>
      </c>
      <c r="M533" s="2" t="s">
        <v>140</v>
      </c>
      <c r="N533" t="s">
        <v>24</v>
      </c>
      <c r="P533" t="s">
        <v>24</v>
      </c>
      <c r="Q533" t="s">
        <v>24</v>
      </c>
    </row>
    <row r="534" spans="1:17" x14ac:dyDescent="0.2">
      <c r="A534">
        <v>10780</v>
      </c>
      <c r="B534" t="s">
        <v>155</v>
      </c>
      <c r="C534">
        <v>2</v>
      </c>
      <c r="D534" s="1">
        <v>35780</v>
      </c>
      <c r="E534" s="1">
        <v>35794</v>
      </c>
      <c r="F534" s="1">
        <v>35789</v>
      </c>
      <c r="G534">
        <v>1</v>
      </c>
      <c r="H534">
        <v>42.13</v>
      </c>
      <c r="I534" t="s">
        <v>156</v>
      </c>
      <c r="J534" t="s">
        <v>157</v>
      </c>
      <c r="K534" t="s">
        <v>158</v>
      </c>
      <c r="L534" t="s">
        <v>159</v>
      </c>
      <c r="M534">
        <v>3508</v>
      </c>
      <c r="N534" t="s">
        <v>62</v>
      </c>
      <c r="P534" t="s">
        <v>62</v>
      </c>
      <c r="Q534" t="s">
        <v>62</v>
      </c>
    </row>
    <row r="535" spans="1:17" x14ac:dyDescent="0.2">
      <c r="A535">
        <v>10781</v>
      </c>
      <c r="B535" t="s">
        <v>98</v>
      </c>
      <c r="C535">
        <v>2</v>
      </c>
      <c r="D535" s="1">
        <v>35781</v>
      </c>
      <c r="E535" s="1">
        <v>35809</v>
      </c>
      <c r="F535" s="1">
        <v>35783</v>
      </c>
      <c r="G535">
        <v>3</v>
      </c>
      <c r="H535">
        <v>73.16</v>
      </c>
      <c r="I535" t="s">
        <v>99</v>
      </c>
      <c r="J535" t="s">
        <v>100</v>
      </c>
      <c r="K535" t="s">
        <v>101</v>
      </c>
      <c r="L535" t="s">
        <v>18</v>
      </c>
      <c r="M535">
        <v>90110</v>
      </c>
      <c r="N535" t="s">
        <v>102</v>
      </c>
      <c r="P535" t="s">
        <v>102</v>
      </c>
      <c r="Q535" t="s">
        <v>102</v>
      </c>
    </row>
    <row r="536" spans="1:17" x14ac:dyDescent="0.2">
      <c r="A536">
        <v>10782</v>
      </c>
      <c r="B536" t="s">
        <v>377</v>
      </c>
      <c r="C536">
        <v>9</v>
      </c>
      <c r="D536" s="1">
        <v>35781</v>
      </c>
      <c r="E536" s="1">
        <v>35809</v>
      </c>
      <c r="F536" s="1">
        <v>35786</v>
      </c>
      <c r="G536">
        <v>3</v>
      </c>
      <c r="H536">
        <v>1.1000000000000001</v>
      </c>
      <c r="I536" t="s">
        <v>378</v>
      </c>
      <c r="J536" t="s">
        <v>379</v>
      </c>
      <c r="K536" t="s">
        <v>342</v>
      </c>
      <c r="L536" t="s">
        <v>18</v>
      </c>
      <c r="M536">
        <v>1010</v>
      </c>
      <c r="N536" t="s">
        <v>343</v>
      </c>
      <c r="P536" t="s">
        <v>343</v>
      </c>
      <c r="Q536" t="s">
        <v>343</v>
      </c>
    </row>
    <row r="537" spans="1:17" x14ac:dyDescent="0.2">
      <c r="A537">
        <v>10783</v>
      </c>
      <c r="B537" t="s">
        <v>25</v>
      </c>
      <c r="C537">
        <v>4</v>
      </c>
      <c r="D537" s="1">
        <v>35782</v>
      </c>
      <c r="E537" s="1">
        <v>35810</v>
      </c>
      <c r="F537" s="1">
        <v>35783</v>
      </c>
      <c r="G537">
        <v>2</v>
      </c>
      <c r="H537">
        <v>124.98</v>
      </c>
      <c r="I537" t="s">
        <v>26</v>
      </c>
      <c r="J537" t="s">
        <v>27</v>
      </c>
      <c r="K537">
        <v>67</v>
      </c>
      <c r="L537" t="s">
        <v>28</v>
      </c>
      <c r="M537" t="s">
        <v>29</v>
      </c>
      <c r="N537" t="s">
        <v>30</v>
      </c>
      <c r="O537" t="s">
        <v>31</v>
      </c>
      <c r="P537" t="s">
        <v>31</v>
      </c>
      <c r="Q537" t="s">
        <v>31</v>
      </c>
    </row>
    <row r="538" spans="1:17" x14ac:dyDescent="0.2">
      <c r="A538">
        <v>10784</v>
      </c>
      <c r="B538" t="s">
        <v>127</v>
      </c>
      <c r="C538">
        <v>4</v>
      </c>
      <c r="D538" s="1">
        <v>35782</v>
      </c>
      <c r="E538" s="1">
        <v>35810</v>
      </c>
      <c r="F538" s="1">
        <v>35786</v>
      </c>
      <c r="G538">
        <v>3</v>
      </c>
      <c r="H538">
        <v>70.09</v>
      </c>
      <c r="I538" t="s">
        <v>128</v>
      </c>
      <c r="J538" t="s">
        <v>129</v>
      </c>
      <c r="K538" t="s">
        <v>130</v>
      </c>
      <c r="L538" t="s">
        <v>18</v>
      </c>
      <c r="M538">
        <v>24100</v>
      </c>
      <c r="N538" t="s">
        <v>131</v>
      </c>
      <c r="P538" t="s">
        <v>131</v>
      </c>
      <c r="Q538" t="s">
        <v>131</v>
      </c>
    </row>
    <row r="539" spans="1:17" x14ac:dyDescent="0.2">
      <c r="A539">
        <v>10785</v>
      </c>
      <c r="B539" t="s">
        <v>107</v>
      </c>
      <c r="C539">
        <v>1</v>
      </c>
      <c r="D539" s="1">
        <v>35782</v>
      </c>
      <c r="E539" s="1">
        <v>35810</v>
      </c>
      <c r="F539" s="1">
        <v>35788</v>
      </c>
      <c r="G539">
        <v>3</v>
      </c>
      <c r="H539">
        <v>1.51</v>
      </c>
      <c r="I539" t="s">
        <v>108</v>
      </c>
      <c r="J539" t="s">
        <v>109</v>
      </c>
      <c r="K539" t="s">
        <v>110</v>
      </c>
      <c r="L539" t="s">
        <v>111</v>
      </c>
      <c r="M539">
        <v>1081</v>
      </c>
      <c r="N539" t="s">
        <v>62</v>
      </c>
      <c r="P539" t="s">
        <v>62</v>
      </c>
      <c r="Q539" t="s">
        <v>62</v>
      </c>
    </row>
    <row r="540" spans="1:17" x14ac:dyDescent="0.2">
      <c r="A540">
        <v>10786</v>
      </c>
      <c r="B540" t="s">
        <v>305</v>
      </c>
      <c r="C540">
        <v>8</v>
      </c>
      <c r="D540" s="1">
        <v>35783</v>
      </c>
      <c r="E540" s="1">
        <v>35811</v>
      </c>
      <c r="F540" s="1">
        <v>35787</v>
      </c>
      <c r="G540">
        <v>1</v>
      </c>
      <c r="H540">
        <v>110.87</v>
      </c>
      <c r="I540" t="s">
        <v>306</v>
      </c>
      <c r="J540" t="s">
        <v>307</v>
      </c>
      <c r="K540">
        <v>891</v>
      </c>
      <c r="L540" t="s">
        <v>177</v>
      </c>
      <c r="M540" t="s">
        <v>55</v>
      </c>
      <c r="N540" t="s">
        <v>308</v>
      </c>
      <c r="O540" t="s">
        <v>31</v>
      </c>
      <c r="P540" t="s">
        <v>31</v>
      </c>
      <c r="Q540" t="s">
        <v>31</v>
      </c>
    </row>
    <row r="541" spans="1:17" x14ac:dyDescent="0.2">
      <c r="A541">
        <v>10787</v>
      </c>
      <c r="B541" t="s">
        <v>267</v>
      </c>
      <c r="C541">
        <v>2</v>
      </c>
      <c r="D541" s="1">
        <v>35783</v>
      </c>
      <c r="E541" s="1">
        <v>35797</v>
      </c>
      <c r="F541" s="1">
        <v>35790</v>
      </c>
      <c r="G541">
        <v>1</v>
      </c>
      <c r="H541">
        <v>249.93</v>
      </c>
      <c r="I541" t="s">
        <v>268</v>
      </c>
      <c r="J541" t="s">
        <v>269</v>
      </c>
      <c r="K541" t="s">
        <v>270</v>
      </c>
      <c r="L541" t="s">
        <v>18</v>
      </c>
      <c r="M541">
        <v>31000</v>
      </c>
      <c r="N541" t="s">
        <v>19</v>
      </c>
      <c r="P541" t="s">
        <v>19</v>
      </c>
      <c r="Q541" t="s">
        <v>19</v>
      </c>
    </row>
    <row r="542" spans="1:17" x14ac:dyDescent="0.2">
      <c r="A542">
        <v>10788</v>
      </c>
      <c r="B542" t="s">
        <v>122</v>
      </c>
      <c r="C542">
        <v>1</v>
      </c>
      <c r="D542" s="1">
        <v>35786</v>
      </c>
      <c r="E542" s="1">
        <v>35814</v>
      </c>
      <c r="F542" s="1">
        <v>35814</v>
      </c>
      <c r="G542">
        <v>2</v>
      </c>
      <c r="H542">
        <v>42.7</v>
      </c>
      <c r="I542" t="s">
        <v>123</v>
      </c>
      <c r="J542" t="s">
        <v>124</v>
      </c>
      <c r="K542" t="s">
        <v>125</v>
      </c>
      <c r="L542" t="s">
        <v>18</v>
      </c>
      <c r="M542" s="2" t="s">
        <v>126</v>
      </c>
      <c r="N542" t="s">
        <v>24</v>
      </c>
      <c r="P542" t="s">
        <v>24</v>
      </c>
      <c r="Q542" t="s">
        <v>24</v>
      </c>
    </row>
    <row r="543" spans="1:17" x14ac:dyDescent="0.2">
      <c r="A543">
        <v>10789</v>
      </c>
      <c r="B543" t="s">
        <v>335</v>
      </c>
      <c r="C543">
        <v>1</v>
      </c>
      <c r="D543" s="1">
        <v>35786</v>
      </c>
      <c r="E543" s="1">
        <v>35814</v>
      </c>
      <c r="F543" s="1">
        <v>35795</v>
      </c>
      <c r="G543">
        <v>2</v>
      </c>
      <c r="H543">
        <v>100.6</v>
      </c>
      <c r="I543" t="s">
        <v>336</v>
      </c>
      <c r="J543">
        <v>184</v>
      </c>
      <c r="K543" t="s">
        <v>337</v>
      </c>
      <c r="L543" t="s">
        <v>338</v>
      </c>
      <c r="M543" t="s">
        <v>18</v>
      </c>
      <c r="N543">
        <v>59000</v>
      </c>
      <c r="O543" t="s">
        <v>19</v>
      </c>
      <c r="P543" t="s">
        <v>19</v>
      </c>
      <c r="Q543" t="s">
        <v>19</v>
      </c>
    </row>
    <row r="544" spans="1:17" x14ac:dyDescent="0.2">
      <c r="A544">
        <v>10790</v>
      </c>
      <c r="B544" t="s">
        <v>348</v>
      </c>
      <c r="C544">
        <v>6</v>
      </c>
      <c r="D544" s="1">
        <v>35786</v>
      </c>
      <c r="E544" s="1">
        <v>35814</v>
      </c>
      <c r="F544" s="1">
        <v>35790</v>
      </c>
      <c r="G544">
        <v>1</v>
      </c>
      <c r="H544">
        <v>28.23</v>
      </c>
      <c r="I544" t="s">
        <v>349</v>
      </c>
      <c r="J544" t="s">
        <v>350</v>
      </c>
      <c r="K544">
        <v>442</v>
      </c>
      <c r="L544" t="s">
        <v>351</v>
      </c>
      <c r="M544" t="s">
        <v>55</v>
      </c>
      <c r="N544" t="s">
        <v>352</v>
      </c>
      <c r="O544" t="s">
        <v>31</v>
      </c>
      <c r="P544" t="s">
        <v>31</v>
      </c>
      <c r="Q544" t="s">
        <v>31</v>
      </c>
    </row>
    <row r="545" spans="1:17" x14ac:dyDescent="0.2">
      <c r="A545">
        <v>10791</v>
      </c>
      <c r="B545" t="s">
        <v>103</v>
      </c>
      <c r="C545">
        <v>6</v>
      </c>
      <c r="D545" s="1">
        <v>35787</v>
      </c>
      <c r="E545" s="1">
        <v>35815</v>
      </c>
      <c r="F545" s="1">
        <v>35796</v>
      </c>
      <c r="G545">
        <v>2</v>
      </c>
      <c r="H545">
        <v>16.850000000000001</v>
      </c>
      <c r="I545" t="s">
        <v>104</v>
      </c>
      <c r="J545" t="s">
        <v>105</v>
      </c>
      <c r="K545" t="s">
        <v>106</v>
      </c>
      <c r="L545" t="s">
        <v>18</v>
      </c>
      <c r="M545">
        <v>80805</v>
      </c>
      <c r="N545" t="s">
        <v>24</v>
      </c>
      <c r="P545" t="s">
        <v>24</v>
      </c>
      <c r="Q545" t="s">
        <v>24</v>
      </c>
    </row>
    <row r="546" spans="1:17" x14ac:dyDescent="0.2">
      <c r="A546">
        <v>10792</v>
      </c>
      <c r="B546" t="s">
        <v>309</v>
      </c>
      <c r="C546">
        <v>1</v>
      </c>
      <c r="D546" s="1">
        <v>35787</v>
      </c>
      <c r="E546" s="1">
        <v>35815</v>
      </c>
      <c r="F546" s="1">
        <v>35795</v>
      </c>
      <c r="G546">
        <v>3</v>
      </c>
      <c r="H546">
        <v>23.79</v>
      </c>
      <c r="I546" t="s">
        <v>310</v>
      </c>
      <c r="J546" t="s">
        <v>311</v>
      </c>
      <c r="K546" t="s">
        <v>312</v>
      </c>
      <c r="L546" t="s">
        <v>18</v>
      </c>
      <c r="M546" t="s">
        <v>313</v>
      </c>
      <c r="N546" t="s">
        <v>314</v>
      </c>
      <c r="P546" t="s">
        <v>314</v>
      </c>
      <c r="Q546" t="s">
        <v>314</v>
      </c>
    </row>
    <row r="547" spans="1:17" x14ac:dyDescent="0.2">
      <c r="A547">
        <v>10793</v>
      </c>
      <c r="B547" t="s">
        <v>275</v>
      </c>
      <c r="C547">
        <v>3</v>
      </c>
      <c r="D547" s="1">
        <v>35788</v>
      </c>
      <c r="E547" s="1">
        <v>35816</v>
      </c>
      <c r="F547" s="1">
        <v>35803</v>
      </c>
      <c r="G547">
        <v>3</v>
      </c>
      <c r="H547">
        <v>4.5199999999999996</v>
      </c>
      <c r="I547" t="s">
        <v>276</v>
      </c>
      <c r="J547" t="s">
        <v>277</v>
      </c>
      <c r="K547" t="s">
        <v>278</v>
      </c>
      <c r="L547" t="s">
        <v>279</v>
      </c>
      <c r="M547" t="s">
        <v>280</v>
      </c>
      <c r="N547" t="s">
        <v>173</v>
      </c>
      <c r="P547" t="s">
        <v>173</v>
      </c>
      <c r="Q547" t="s">
        <v>173</v>
      </c>
    </row>
    <row r="548" spans="1:17" x14ac:dyDescent="0.2">
      <c r="A548">
        <v>10794</v>
      </c>
      <c r="B548" t="s">
        <v>78</v>
      </c>
      <c r="C548">
        <v>6</v>
      </c>
      <c r="D548" s="1">
        <v>35788</v>
      </c>
      <c r="E548" s="1">
        <v>35816</v>
      </c>
      <c r="F548" s="1">
        <v>35797</v>
      </c>
      <c r="G548">
        <v>1</v>
      </c>
      <c r="H548">
        <v>21.49</v>
      </c>
      <c r="I548" t="s">
        <v>79</v>
      </c>
      <c r="J548" t="s">
        <v>80</v>
      </c>
      <c r="K548">
        <v>12</v>
      </c>
      <c r="L548" t="s">
        <v>28</v>
      </c>
      <c r="M548" t="s">
        <v>29</v>
      </c>
      <c r="N548" t="s">
        <v>81</v>
      </c>
      <c r="O548" t="s">
        <v>31</v>
      </c>
      <c r="P548" t="s">
        <v>31</v>
      </c>
      <c r="Q548" t="s">
        <v>31</v>
      </c>
    </row>
    <row r="549" spans="1:17" x14ac:dyDescent="0.2">
      <c r="A549">
        <v>10795</v>
      </c>
      <c r="B549" t="s">
        <v>63</v>
      </c>
      <c r="C549">
        <v>8</v>
      </c>
      <c r="D549" s="1">
        <v>35788</v>
      </c>
      <c r="E549" s="1">
        <v>35816</v>
      </c>
      <c r="F549" s="1">
        <v>35815</v>
      </c>
      <c r="G549">
        <v>2</v>
      </c>
      <c r="H549">
        <v>126.66</v>
      </c>
      <c r="I549" t="s">
        <v>64</v>
      </c>
      <c r="J549" t="s">
        <v>65</v>
      </c>
      <c r="K549" t="s">
        <v>66</v>
      </c>
      <c r="L549" t="s">
        <v>18</v>
      </c>
      <c r="M549">
        <v>8010</v>
      </c>
      <c r="N549" t="s">
        <v>67</v>
      </c>
      <c r="P549" t="s">
        <v>67</v>
      </c>
      <c r="Q549" t="s">
        <v>67</v>
      </c>
    </row>
    <row r="550" spans="1:17" x14ac:dyDescent="0.2">
      <c r="A550">
        <v>10796</v>
      </c>
      <c r="B550" t="s">
        <v>57</v>
      </c>
      <c r="C550">
        <v>3</v>
      </c>
      <c r="D550" s="1">
        <v>35789</v>
      </c>
      <c r="E550" s="1">
        <v>35817</v>
      </c>
      <c r="F550" s="1">
        <v>35809</v>
      </c>
      <c r="G550">
        <v>1</v>
      </c>
      <c r="H550">
        <v>26.52</v>
      </c>
      <c r="I550" t="s">
        <v>58</v>
      </c>
      <c r="J550" t="s">
        <v>59</v>
      </c>
      <c r="K550" t="s">
        <v>60</v>
      </c>
      <c r="L550" t="s">
        <v>61</v>
      </c>
      <c r="M550">
        <v>5022</v>
      </c>
      <c r="N550" t="s">
        <v>62</v>
      </c>
      <c r="P550" t="s">
        <v>62</v>
      </c>
      <c r="Q550" t="s">
        <v>62</v>
      </c>
    </row>
    <row r="551" spans="1:17" x14ac:dyDescent="0.2">
      <c r="A551">
        <v>10797</v>
      </c>
      <c r="B551" t="s">
        <v>285</v>
      </c>
      <c r="C551">
        <v>7</v>
      </c>
      <c r="D551" s="1">
        <v>35789</v>
      </c>
      <c r="E551" s="1">
        <v>35817</v>
      </c>
      <c r="F551" s="1">
        <v>35800</v>
      </c>
      <c r="G551">
        <v>2</v>
      </c>
      <c r="H551">
        <v>33.35</v>
      </c>
      <c r="I551" t="s">
        <v>286</v>
      </c>
      <c r="J551" t="s">
        <v>287</v>
      </c>
      <c r="K551" t="s">
        <v>288</v>
      </c>
      <c r="L551" t="s">
        <v>18</v>
      </c>
      <c r="M551">
        <v>52066</v>
      </c>
      <c r="N551" t="s">
        <v>24</v>
      </c>
      <c r="P551" t="s">
        <v>24</v>
      </c>
      <c r="Q551" t="s">
        <v>24</v>
      </c>
    </row>
    <row r="552" spans="1:17" x14ac:dyDescent="0.2">
      <c r="A552">
        <v>10798</v>
      </c>
      <c r="B552" t="s">
        <v>218</v>
      </c>
      <c r="C552">
        <v>2</v>
      </c>
      <c r="D552" s="1">
        <v>35790</v>
      </c>
      <c r="E552" s="1">
        <v>35818</v>
      </c>
      <c r="F552" s="1">
        <v>35800</v>
      </c>
      <c r="G552">
        <v>1</v>
      </c>
      <c r="H552">
        <v>2.33</v>
      </c>
      <c r="I552" t="s">
        <v>219</v>
      </c>
      <c r="J552" t="s">
        <v>220</v>
      </c>
      <c r="K552" t="s">
        <v>221</v>
      </c>
      <c r="L552" t="s">
        <v>222</v>
      </c>
      <c r="M552" t="s">
        <v>223</v>
      </c>
      <c r="N552" t="s">
        <v>173</v>
      </c>
      <c r="P552" t="s">
        <v>173</v>
      </c>
      <c r="Q552" t="s">
        <v>173</v>
      </c>
    </row>
    <row r="553" spans="1:17" x14ac:dyDescent="0.2">
      <c r="A553">
        <v>10799</v>
      </c>
      <c r="B553" t="s">
        <v>227</v>
      </c>
      <c r="C553">
        <v>9</v>
      </c>
      <c r="D553" s="1">
        <v>35790</v>
      </c>
      <c r="E553" s="1">
        <v>35832</v>
      </c>
      <c r="F553" s="1">
        <v>35800</v>
      </c>
      <c r="G553">
        <v>3</v>
      </c>
      <c r="H553">
        <v>30.76</v>
      </c>
      <c r="I553" t="s">
        <v>228</v>
      </c>
      <c r="J553" t="s">
        <v>229</v>
      </c>
      <c r="K553" t="s">
        <v>230</v>
      </c>
      <c r="L553" t="s">
        <v>18</v>
      </c>
      <c r="M553">
        <v>14776</v>
      </c>
      <c r="N553" t="s">
        <v>24</v>
      </c>
      <c r="P553" t="s">
        <v>24</v>
      </c>
      <c r="Q553" t="s">
        <v>24</v>
      </c>
    </row>
    <row r="554" spans="1:17" x14ac:dyDescent="0.2">
      <c r="A554">
        <v>10800</v>
      </c>
      <c r="B554" t="s">
        <v>281</v>
      </c>
      <c r="C554">
        <v>1</v>
      </c>
      <c r="D554" s="1">
        <v>35790</v>
      </c>
      <c r="E554" s="1">
        <v>35818</v>
      </c>
      <c r="F554" s="1">
        <v>35800</v>
      </c>
      <c r="G554">
        <v>3</v>
      </c>
      <c r="H554">
        <v>137.44</v>
      </c>
      <c r="I554" t="s">
        <v>282</v>
      </c>
      <c r="J554" t="s">
        <v>283</v>
      </c>
      <c r="K554" t="s">
        <v>171</v>
      </c>
      <c r="L554" t="s">
        <v>18</v>
      </c>
      <c r="M554" t="s">
        <v>284</v>
      </c>
      <c r="N554" t="s">
        <v>173</v>
      </c>
      <c r="P554" t="s">
        <v>173</v>
      </c>
      <c r="Q554" t="s">
        <v>173</v>
      </c>
    </row>
    <row r="555" spans="1:17" x14ac:dyDescent="0.2">
      <c r="A555">
        <v>10801</v>
      </c>
      <c r="B555" t="s">
        <v>236</v>
      </c>
      <c r="C555">
        <v>4</v>
      </c>
      <c r="D555" s="1">
        <v>35793</v>
      </c>
      <c r="E555" s="1">
        <v>35821</v>
      </c>
      <c r="F555" s="1">
        <v>35795</v>
      </c>
      <c r="G555">
        <v>2</v>
      </c>
      <c r="H555">
        <v>97.09</v>
      </c>
      <c r="I555" t="s">
        <v>237</v>
      </c>
      <c r="J555" t="s">
        <v>238</v>
      </c>
      <c r="K555">
        <v>67</v>
      </c>
      <c r="L555" t="s">
        <v>153</v>
      </c>
      <c r="M555" t="s">
        <v>18</v>
      </c>
      <c r="N555">
        <v>28023</v>
      </c>
      <c r="O555" t="s">
        <v>154</v>
      </c>
      <c r="P555" t="s">
        <v>154</v>
      </c>
      <c r="Q555" t="s">
        <v>154</v>
      </c>
    </row>
    <row r="556" spans="1:17" x14ac:dyDescent="0.2">
      <c r="A556">
        <v>10802</v>
      </c>
      <c r="B556" t="s">
        <v>258</v>
      </c>
      <c r="C556">
        <v>4</v>
      </c>
      <c r="D556" s="1">
        <v>35793</v>
      </c>
      <c r="E556" s="1">
        <v>35821</v>
      </c>
      <c r="F556" s="1">
        <v>35797</v>
      </c>
      <c r="G556">
        <v>2</v>
      </c>
      <c r="H556">
        <v>257.26</v>
      </c>
      <c r="I556" t="s">
        <v>259</v>
      </c>
      <c r="J556" t="s">
        <v>260</v>
      </c>
      <c r="K556" t="s">
        <v>261</v>
      </c>
      <c r="L556" t="s">
        <v>18</v>
      </c>
      <c r="M556">
        <v>1734</v>
      </c>
      <c r="N556" t="s">
        <v>262</v>
      </c>
      <c r="P556" t="s">
        <v>262</v>
      </c>
      <c r="Q556" t="s">
        <v>262</v>
      </c>
    </row>
    <row r="557" spans="1:17" x14ac:dyDescent="0.2">
      <c r="A557">
        <v>10803</v>
      </c>
      <c r="B557" t="s">
        <v>51</v>
      </c>
      <c r="C557">
        <v>4</v>
      </c>
      <c r="D557" s="1">
        <v>35794</v>
      </c>
      <c r="E557" s="1">
        <v>35822</v>
      </c>
      <c r="F557" s="1">
        <v>35801</v>
      </c>
      <c r="G557">
        <v>1</v>
      </c>
      <c r="H557">
        <v>55.23</v>
      </c>
      <c r="I557" t="s">
        <v>52</v>
      </c>
      <c r="J557" t="s">
        <v>53</v>
      </c>
      <c r="K557">
        <v>12</v>
      </c>
      <c r="L557" t="s">
        <v>54</v>
      </c>
      <c r="M557" t="s">
        <v>55</v>
      </c>
      <c r="N557" t="s">
        <v>56</v>
      </c>
      <c r="O557" t="s">
        <v>31</v>
      </c>
      <c r="P557" t="s">
        <v>31</v>
      </c>
      <c r="Q557" t="s">
        <v>31</v>
      </c>
    </row>
    <row r="558" spans="1:17" x14ac:dyDescent="0.2">
      <c r="A558">
        <v>10804</v>
      </c>
      <c r="B558" t="s">
        <v>281</v>
      </c>
      <c r="C558">
        <v>6</v>
      </c>
      <c r="D558" s="1">
        <v>35794</v>
      </c>
      <c r="E558" s="1">
        <v>35822</v>
      </c>
      <c r="F558" s="1">
        <v>35802</v>
      </c>
      <c r="G558">
        <v>2</v>
      </c>
      <c r="H558">
        <v>27.33</v>
      </c>
      <c r="I558" t="s">
        <v>282</v>
      </c>
      <c r="J558" t="s">
        <v>283</v>
      </c>
      <c r="K558" t="s">
        <v>171</v>
      </c>
      <c r="L558" t="s">
        <v>18</v>
      </c>
      <c r="M558" t="s">
        <v>284</v>
      </c>
      <c r="N558" t="s">
        <v>173</v>
      </c>
      <c r="P558" t="s">
        <v>173</v>
      </c>
      <c r="Q558" t="s">
        <v>173</v>
      </c>
    </row>
    <row r="559" spans="1:17" x14ac:dyDescent="0.2">
      <c r="A559">
        <v>10805</v>
      </c>
      <c r="B559" t="s">
        <v>211</v>
      </c>
      <c r="C559">
        <v>2</v>
      </c>
      <c r="D559" s="1">
        <v>35794</v>
      </c>
      <c r="E559" s="1">
        <v>35822</v>
      </c>
      <c r="F559" s="1">
        <v>35804</v>
      </c>
      <c r="G559">
        <v>3</v>
      </c>
      <c r="H559">
        <v>237.34</v>
      </c>
      <c r="I559" t="s">
        <v>212</v>
      </c>
      <c r="J559" t="s">
        <v>213</v>
      </c>
      <c r="K559" t="s">
        <v>205</v>
      </c>
      <c r="L559" t="s">
        <v>206</v>
      </c>
      <c r="M559">
        <v>97201</v>
      </c>
      <c r="N559" t="s">
        <v>87</v>
      </c>
      <c r="P559" t="s">
        <v>87</v>
      </c>
      <c r="Q559" t="s">
        <v>87</v>
      </c>
    </row>
    <row r="560" spans="1:17" x14ac:dyDescent="0.2">
      <c r="A560">
        <v>10806</v>
      </c>
      <c r="B560" t="s">
        <v>32</v>
      </c>
      <c r="C560">
        <v>3</v>
      </c>
      <c r="D560" s="1">
        <v>35795</v>
      </c>
      <c r="E560" s="1">
        <v>35823</v>
      </c>
      <c r="F560" s="1">
        <v>35800</v>
      </c>
      <c r="G560">
        <v>2</v>
      </c>
      <c r="H560">
        <v>22.11</v>
      </c>
      <c r="I560" t="s">
        <v>33</v>
      </c>
      <c r="J560">
        <v>2</v>
      </c>
      <c r="K560" t="s">
        <v>34</v>
      </c>
      <c r="L560" t="s">
        <v>35</v>
      </c>
      <c r="M560" t="s">
        <v>18</v>
      </c>
      <c r="N560">
        <v>69004</v>
      </c>
      <c r="O560" t="s">
        <v>19</v>
      </c>
      <c r="P560" t="s">
        <v>19</v>
      </c>
      <c r="Q560" t="s">
        <v>19</v>
      </c>
    </row>
    <row r="561" spans="1:17" x14ac:dyDescent="0.2">
      <c r="A561">
        <v>10807</v>
      </c>
      <c r="B561" t="s">
        <v>344</v>
      </c>
      <c r="C561">
        <v>4</v>
      </c>
      <c r="D561" s="1">
        <v>35795</v>
      </c>
      <c r="E561" s="1">
        <v>35823</v>
      </c>
      <c r="F561" s="1">
        <v>35825</v>
      </c>
      <c r="G561">
        <v>1</v>
      </c>
      <c r="H561">
        <v>1.36</v>
      </c>
      <c r="I561" t="s">
        <v>345</v>
      </c>
      <c r="J561" t="s">
        <v>346</v>
      </c>
      <c r="K561" t="s">
        <v>347</v>
      </c>
      <c r="L561" t="s">
        <v>18</v>
      </c>
      <c r="M561">
        <v>10100</v>
      </c>
      <c r="N561" t="s">
        <v>131</v>
      </c>
      <c r="P561" t="s">
        <v>131</v>
      </c>
      <c r="Q561" t="s">
        <v>131</v>
      </c>
    </row>
    <row r="562" spans="1:17" x14ac:dyDescent="0.2">
      <c r="A562">
        <v>10808</v>
      </c>
      <c r="B562" t="s">
        <v>197</v>
      </c>
      <c r="C562">
        <v>2</v>
      </c>
      <c r="D562" s="1">
        <v>35796</v>
      </c>
      <c r="E562" s="1">
        <v>35824</v>
      </c>
      <c r="F562" s="1">
        <v>35804</v>
      </c>
      <c r="G562">
        <v>3</v>
      </c>
      <c r="H562">
        <v>45.53</v>
      </c>
      <c r="I562" t="s">
        <v>198</v>
      </c>
      <c r="J562" t="s">
        <v>199</v>
      </c>
      <c r="K562" t="s">
        <v>200</v>
      </c>
      <c r="L562" t="s">
        <v>201</v>
      </c>
      <c r="M562">
        <v>99508</v>
      </c>
      <c r="N562" t="s">
        <v>87</v>
      </c>
      <c r="P562" t="s">
        <v>87</v>
      </c>
      <c r="Q562" t="s">
        <v>87</v>
      </c>
    </row>
    <row r="563" spans="1:17" x14ac:dyDescent="0.2">
      <c r="A563">
        <v>10809</v>
      </c>
      <c r="B563" t="s">
        <v>51</v>
      </c>
      <c r="C563">
        <v>7</v>
      </c>
      <c r="D563" s="1">
        <v>35796</v>
      </c>
      <c r="E563" s="1">
        <v>35824</v>
      </c>
      <c r="F563" s="1">
        <v>35802</v>
      </c>
      <c r="G563">
        <v>1</v>
      </c>
      <c r="H563">
        <v>4.87</v>
      </c>
      <c r="I563" t="s">
        <v>52</v>
      </c>
      <c r="J563" t="s">
        <v>53</v>
      </c>
      <c r="K563">
        <v>12</v>
      </c>
      <c r="L563" t="s">
        <v>54</v>
      </c>
      <c r="M563" t="s">
        <v>55</v>
      </c>
      <c r="N563" t="s">
        <v>56</v>
      </c>
      <c r="O563" t="s">
        <v>31</v>
      </c>
      <c r="P563" t="s">
        <v>31</v>
      </c>
      <c r="Q563" t="s">
        <v>31</v>
      </c>
    </row>
    <row r="564" spans="1:17" x14ac:dyDescent="0.2">
      <c r="A564">
        <v>10810</v>
      </c>
      <c r="B564" t="s">
        <v>364</v>
      </c>
      <c r="C564">
        <v>2</v>
      </c>
      <c r="D564" s="1">
        <v>35796</v>
      </c>
      <c r="E564" s="1">
        <v>35824</v>
      </c>
      <c r="F564" s="1">
        <v>35802</v>
      </c>
      <c r="G564">
        <v>3</v>
      </c>
      <c r="H564">
        <v>4.33</v>
      </c>
      <c r="I564" t="s">
        <v>365</v>
      </c>
      <c r="J564" t="s">
        <v>366</v>
      </c>
      <c r="K564" t="s">
        <v>367</v>
      </c>
      <c r="L564" t="s">
        <v>328</v>
      </c>
      <c r="M564" t="s">
        <v>368</v>
      </c>
      <c r="N564" t="s">
        <v>254</v>
      </c>
      <c r="P564" t="s">
        <v>254</v>
      </c>
      <c r="Q564" t="s">
        <v>254</v>
      </c>
    </row>
    <row r="565" spans="1:17" x14ac:dyDescent="0.2">
      <c r="A565">
        <v>10811</v>
      </c>
      <c r="B565" t="s">
        <v>330</v>
      </c>
      <c r="C565">
        <v>8</v>
      </c>
      <c r="D565" s="1">
        <v>35797</v>
      </c>
      <c r="E565" s="1">
        <v>35825</v>
      </c>
      <c r="F565" s="1">
        <v>35803</v>
      </c>
      <c r="G565">
        <v>1</v>
      </c>
      <c r="H565">
        <v>31.22</v>
      </c>
      <c r="I565" t="s">
        <v>331</v>
      </c>
      <c r="J565" t="s">
        <v>332</v>
      </c>
      <c r="K565" t="s">
        <v>333</v>
      </c>
      <c r="L565" t="s">
        <v>334</v>
      </c>
      <c r="M565">
        <v>4980</v>
      </c>
      <c r="N565" t="s">
        <v>62</v>
      </c>
      <c r="P565" t="s">
        <v>62</v>
      </c>
      <c r="Q565" t="s">
        <v>62</v>
      </c>
    </row>
    <row r="566" spans="1:17" x14ac:dyDescent="0.2">
      <c r="A566">
        <v>10812</v>
      </c>
      <c r="B566" t="s">
        <v>164</v>
      </c>
      <c r="C566">
        <v>5</v>
      </c>
      <c r="D566" s="1">
        <v>35797</v>
      </c>
      <c r="E566" s="1">
        <v>35825</v>
      </c>
      <c r="F566" s="1">
        <v>35807</v>
      </c>
      <c r="G566">
        <v>1</v>
      </c>
      <c r="H566">
        <v>59.78</v>
      </c>
      <c r="I566" t="s">
        <v>165</v>
      </c>
      <c r="J566" t="s">
        <v>166</v>
      </c>
      <c r="K566" t="s">
        <v>167</v>
      </c>
      <c r="L566" t="s">
        <v>18</v>
      </c>
      <c r="M566">
        <v>42100</v>
      </c>
      <c r="N566" t="s">
        <v>131</v>
      </c>
      <c r="P566" t="s">
        <v>131</v>
      </c>
      <c r="Q566" t="s">
        <v>131</v>
      </c>
    </row>
    <row r="567" spans="1:17" x14ac:dyDescent="0.2">
      <c r="A567">
        <v>10813</v>
      </c>
      <c r="B567" t="s">
        <v>160</v>
      </c>
      <c r="C567">
        <v>1</v>
      </c>
      <c r="D567" s="1">
        <v>35800</v>
      </c>
      <c r="E567" s="1">
        <v>35828</v>
      </c>
      <c r="F567" s="1">
        <v>35804</v>
      </c>
      <c r="G567">
        <v>1</v>
      </c>
      <c r="H567">
        <v>47.38</v>
      </c>
      <c r="I567" t="s">
        <v>161</v>
      </c>
      <c r="J567" t="s">
        <v>162</v>
      </c>
      <c r="K567">
        <v>267</v>
      </c>
      <c r="L567" t="s">
        <v>28</v>
      </c>
      <c r="M567" t="s">
        <v>29</v>
      </c>
      <c r="N567" t="s">
        <v>163</v>
      </c>
      <c r="O567" t="s">
        <v>31</v>
      </c>
      <c r="P567" t="s">
        <v>31</v>
      </c>
      <c r="Q567" t="s">
        <v>31</v>
      </c>
    </row>
    <row r="568" spans="1:17" x14ac:dyDescent="0.2">
      <c r="A568">
        <v>10814</v>
      </c>
      <c r="B568" t="s">
        <v>32</v>
      </c>
      <c r="C568">
        <v>3</v>
      </c>
      <c r="D568" s="1">
        <v>35800</v>
      </c>
      <c r="E568" s="1">
        <v>35828</v>
      </c>
      <c r="F568" s="1">
        <v>35809</v>
      </c>
      <c r="G568">
        <v>3</v>
      </c>
      <c r="H568">
        <v>130.94</v>
      </c>
      <c r="I568" t="s">
        <v>33</v>
      </c>
      <c r="J568">
        <v>2</v>
      </c>
      <c r="K568" t="s">
        <v>34</v>
      </c>
      <c r="L568" t="s">
        <v>35</v>
      </c>
      <c r="M568" t="s">
        <v>18</v>
      </c>
      <c r="N568">
        <v>69004</v>
      </c>
      <c r="O568" t="s">
        <v>19</v>
      </c>
      <c r="P568" t="s">
        <v>19</v>
      </c>
      <c r="Q568" t="s">
        <v>19</v>
      </c>
    </row>
    <row r="569" spans="1:17" x14ac:dyDescent="0.2">
      <c r="A569">
        <v>10815</v>
      </c>
      <c r="B569" t="s">
        <v>231</v>
      </c>
      <c r="C569">
        <v>2</v>
      </c>
      <c r="D569" s="1">
        <v>35800</v>
      </c>
      <c r="E569" s="1">
        <v>35828</v>
      </c>
      <c r="F569" s="1">
        <v>35809</v>
      </c>
      <c r="G569">
        <v>3</v>
      </c>
      <c r="H569">
        <v>14.62</v>
      </c>
      <c r="I569" t="s">
        <v>232</v>
      </c>
      <c r="J569" t="s">
        <v>233</v>
      </c>
      <c r="K569" t="s">
        <v>234</v>
      </c>
      <c r="L569" t="s">
        <v>235</v>
      </c>
      <c r="M569">
        <v>83720</v>
      </c>
      <c r="N569" t="s">
        <v>87</v>
      </c>
      <c r="P569" t="s">
        <v>87</v>
      </c>
      <c r="Q569" t="s">
        <v>87</v>
      </c>
    </row>
    <row r="570" spans="1:17" x14ac:dyDescent="0.2">
      <c r="A570">
        <v>10816</v>
      </c>
      <c r="B570" t="s">
        <v>380</v>
      </c>
      <c r="C570">
        <v>4</v>
      </c>
      <c r="D570" s="1">
        <v>35801</v>
      </c>
      <c r="E570" s="1">
        <v>35829</v>
      </c>
      <c r="F570" s="1">
        <v>35830</v>
      </c>
      <c r="G570">
        <v>2</v>
      </c>
      <c r="H570">
        <v>719.78</v>
      </c>
      <c r="I570" t="s">
        <v>381</v>
      </c>
      <c r="J570" t="s">
        <v>382</v>
      </c>
      <c r="K570" t="s">
        <v>383</v>
      </c>
      <c r="L570" t="s">
        <v>206</v>
      </c>
      <c r="M570">
        <v>97403</v>
      </c>
      <c r="N570" t="s">
        <v>87</v>
      </c>
      <c r="P570" t="s">
        <v>87</v>
      </c>
      <c r="Q570" t="s">
        <v>87</v>
      </c>
    </row>
    <row r="571" spans="1:17" x14ac:dyDescent="0.2">
      <c r="A571">
        <v>10817</v>
      </c>
      <c r="B571" t="s">
        <v>227</v>
      </c>
      <c r="C571">
        <v>3</v>
      </c>
      <c r="D571" s="1">
        <v>35801</v>
      </c>
      <c r="E571" s="1">
        <v>35815</v>
      </c>
      <c r="F571" s="1">
        <v>35808</v>
      </c>
      <c r="G571">
        <v>2</v>
      </c>
      <c r="H571">
        <v>306.07</v>
      </c>
      <c r="I571" t="s">
        <v>228</v>
      </c>
      <c r="J571" t="s">
        <v>229</v>
      </c>
      <c r="K571" t="s">
        <v>230</v>
      </c>
      <c r="L571" t="s">
        <v>18</v>
      </c>
      <c r="M571">
        <v>14776</v>
      </c>
      <c r="N571" t="s">
        <v>24</v>
      </c>
      <c r="P571" t="s">
        <v>24</v>
      </c>
      <c r="Q571" t="s">
        <v>24</v>
      </c>
    </row>
    <row r="572" spans="1:17" x14ac:dyDescent="0.2">
      <c r="A572">
        <v>10818</v>
      </c>
      <c r="B572" t="s">
        <v>127</v>
      </c>
      <c r="C572">
        <v>7</v>
      </c>
      <c r="D572" s="1">
        <v>35802</v>
      </c>
      <c r="E572" s="1">
        <v>35830</v>
      </c>
      <c r="F572" s="1">
        <v>35807</v>
      </c>
      <c r="G572">
        <v>3</v>
      </c>
      <c r="H572">
        <v>65.48</v>
      </c>
      <c r="I572" t="s">
        <v>128</v>
      </c>
      <c r="J572" t="s">
        <v>129</v>
      </c>
      <c r="K572" t="s">
        <v>130</v>
      </c>
      <c r="L572" t="s">
        <v>18</v>
      </c>
      <c r="M572">
        <v>24100</v>
      </c>
      <c r="N572" t="s">
        <v>131</v>
      </c>
      <c r="P572" t="s">
        <v>131</v>
      </c>
      <c r="Q572" t="s">
        <v>131</v>
      </c>
    </row>
    <row r="573" spans="1:17" x14ac:dyDescent="0.2">
      <c r="A573">
        <v>10819</v>
      </c>
      <c r="B573" t="s">
        <v>377</v>
      </c>
      <c r="C573">
        <v>2</v>
      </c>
      <c r="D573" s="1">
        <v>35802</v>
      </c>
      <c r="E573" s="1">
        <v>35830</v>
      </c>
      <c r="F573" s="1">
        <v>35811</v>
      </c>
      <c r="G573">
        <v>3</v>
      </c>
      <c r="H573">
        <v>19.760000000000002</v>
      </c>
      <c r="I573" t="s">
        <v>378</v>
      </c>
      <c r="J573" t="s">
        <v>379</v>
      </c>
      <c r="K573" t="s">
        <v>342</v>
      </c>
      <c r="L573" t="s">
        <v>18</v>
      </c>
      <c r="M573">
        <v>1010</v>
      </c>
      <c r="N573" t="s">
        <v>343</v>
      </c>
      <c r="P573" t="s">
        <v>343</v>
      </c>
      <c r="Q573" t="s">
        <v>343</v>
      </c>
    </row>
    <row r="574" spans="1:17" x14ac:dyDescent="0.2">
      <c r="A574">
        <v>10820</v>
      </c>
      <c r="B574" t="s">
        <v>82</v>
      </c>
      <c r="C574">
        <v>3</v>
      </c>
      <c r="D574" s="1">
        <v>35802</v>
      </c>
      <c r="E574" s="1">
        <v>35830</v>
      </c>
      <c r="F574" s="1">
        <v>35808</v>
      </c>
      <c r="G574">
        <v>2</v>
      </c>
      <c r="H574">
        <v>37.520000000000003</v>
      </c>
      <c r="I574" t="s">
        <v>83</v>
      </c>
      <c r="J574" t="s">
        <v>84</v>
      </c>
      <c r="K574" t="s">
        <v>85</v>
      </c>
      <c r="L574" t="s">
        <v>86</v>
      </c>
      <c r="M574">
        <v>87110</v>
      </c>
      <c r="N574" t="s">
        <v>87</v>
      </c>
      <c r="P574" t="s">
        <v>87</v>
      </c>
      <c r="Q574" t="s">
        <v>87</v>
      </c>
    </row>
    <row r="575" spans="1:17" x14ac:dyDescent="0.2">
      <c r="A575">
        <v>10821</v>
      </c>
      <c r="B575" t="s">
        <v>117</v>
      </c>
      <c r="C575">
        <v>1</v>
      </c>
      <c r="D575" s="1">
        <v>35803</v>
      </c>
      <c r="E575" s="1">
        <v>35831</v>
      </c>
      <c r="F575" s="1">
        <v>35810</v>
      </c>
      <c r="G575">
        <v>1</v>
      </c>
      <c r="H575">
        <v>36.68</v>
      </c>
      <c r="I575" t="s">
        <v>118</v>
      </c>
      <c r="J575" t="s">
        <v>119</v>
      </c>
      <c r="K575" t="s">
        <v>120</v>
      </c>
      <c r="L575" t="s">
        <v>121</v>
      </c>
      <c r="M575">
        <v>82520</v>
      </c>
      <c r="N575" t="s">
        <v>87</v>
      </c>
      <c r="P575" t="s">
        <v>87</v>
      </c>
      <c r="Q575" t="s">
        <v>87</v>
      </c>
    </row>
    <row r="576" spans="1:17" x14ac:dyDescent="0.2">
      <c r="A576">
        <v>10822</v>
      </c>
      <c r="B576" t="s">
        <v>389</v>
      </c>
      <c r="C576">
        <v>6</v>
      </c>
      <c r="D576" s="1">
        <v>35803</v>
      </c>
      <c r="E576" s="1">
        <v>35831</v>
      </c>
      <c r="F576" s="1">
        <v>35811</v>
      </c>
      <c r="G576">
        <v>3</v>
      </c>
      <c r="H576">
        <v>7</v>
      </c>
      <c r="I576" t="s">
        <v>390</v>
      </c>
      <c r="J576" t="s">
        <v>391</v>
      </c>
      <c r="K576" t="s">
        <v>392</v>
      </c>
      <c r="L576" t="s">
        <v>116</v>
      </c>
      <c r="M576">
        <v>98034</v>
      </c>
      <c r="N576" t="s">
        <v>87</v>
      </c>
      <c r="P576" t="s">
        <v>87</v>
      </c>
      <c r="Q576" t="s">
        <v>87</v>
      </c>
    </row>
    <row r="577" spans="1:17" x14ac:dyDescent="0.2">
      <c r="A577">
        <v>10823</v>
      </c>
      <c r="B577" t="s">
        <v>155</v>
      </c>
      <c r="C577">
        <v>5</v>
      </c>
      <c r="D577" s="1">
        <v>35804</v>
      </c>
      <c r="E577" s="1">
        <v>35832</v>
      </c>
      <c r="F577" s="1">
        <v>35808</v>
      </c>
      <c r="G577">
        <v>2</v>
      </c>
      <c r="H577">
        <v>163.97</v>
      </c>
      <c r="I577" t="s">
        <v>156</v>
      </c>
      <c r="J577" t="s">
        <v>157</v>
      </c>
      <c r="K577" t="s">
        <v>158</v>
      </c>
      <c r="L577" t="s">
        <v>159</v>
      </c>
      <c r="M577">
        <v>3508</v>
      </c>
      <c r="N577" t="s">
        <v>62</v>
      </c>
      <c r="P577" t="s">
        <v>62</v>
      </c>
      <c r="Q577" t="s">
        <v>62</v>
      </c>
    </row>
    <row r="578" spans="1:17" x14ac:dyDescent="0.2">
      <c r="A578">
        <v>10824</v>
      </c>
      <c r="B578" t="s">
        <v>88</v>
      </c>
      <c r="C578">
        <v>8</v>
      </c>
      <c r="D578" s="1">
        <v>35804</v>
      </c>
      <c r="E578" s="1">
        <v>35832</v>
      </c>
      <c r="F578" s="1">
        <v>35825</v>
      </c>
      <c r="G578">
        <v>1</v>
      </c>
      <c r="H578">
        <v>1.23</v>
      </c>
      <c r="I578" t="s">
        <v>89</v>
      </c>
      <c r="J578" t="s">
        <v>90</v>
      </c>
      <c r="K578" t="s">
        <v>91</v>
      </c>
      <c r="L578" t="s">
        <v>18</v>
      </c>
      <c r="M578" t="s">
        <v>92</v>
      </c>
      <c r="N578" t="s">
        <v>93</v>
      </c>
      <c r="P578" t="s">
        <v>93</v>
      </c>
      <c r="Q578" t="s">
        <v>93</v>
      </c>
    </row>
    <row r="579" spans="1:17" x14ac:dyDescent="0.2">
      <c r="A579">
        <v>10825</v>
      </c>
      <c r="B579" t="s">
        <v>285</v>
      </c>
      <c r="C579">
        <v>1</v>
      </c>
      <c r="D579" s="1">
        <v>35804</v>
      </c>
      <c r="E579" s="1">
        <v>35832</v>
      </c>
      <c r="F579" s="1">
        <v>35809</v>
      </c>
      <c r="G579">
        <v>1</v>
      </c>
      <c r="H579">
        <v>79.25</v>
      </c>
      <c r="I579" t="s">
        <v>286</v>
      </c>
      <c r="J579" t="s">
        <v>287</v>
      </c>
      <c r="K579" t="s">
        <v>288</v>
      </c>
      <c r="L579" t="s">
        <v>18</v>
      </c>
      <c r="M579">
        <v>52066</v>
      </c>
      <c r="N579" t="s">
        <v>24</v>
      </c>
      <c r="P579" t="s">
        <v>24</v>
      </c>
      <c r="Q579" t="s">
        <v>24</v>
      </c>
    </row>
    <row r="580" spans="1:17" x14ac:dyDescent="0.2">
      <c r="A580">
        <v>10826</v>
      </c>
      <c r="B580" t="s">
        <v>94</v>
      </c>
      <c r="C580">
        <v>6</v>
      </c>
      <c r="D580" s="1">
        <v>35807</v>
      </c>
      <c r="E580" s="1">
        <v>35835</v>
      </c>
      <c r="F580" s="1">
        <v>35832</v>
      </c>
      <c r="G580">
        <v>1</v>
      </c>
      <c r="H580">
        <v>7.09</v>
      </c>
      <c r="I580" t="s">
        <v>95</v>
      </c>
      <c r="J580">
        <v>24</v>
      </c>
      <c r="K580" t="s">
        <v>96</v>
      </c>
      <c r="L580" t="s">
        <v>97</v>
      </c>
      <c r="M580" t="s">
        <v>18</v>
      </c>
      <c r="N580">
        <v>67000</v>
      </c>
      <c r="O580" t="s">
        <v>19</v>
      </c>
      <c r="P580" t="s">
        <v>19</v>
      </c>
      <c r="Q580" t="s">
        <v>19</v>
      </c>
    </row>
    <row r="581" spans="1:17" x14ac:dyDescent="0.2">
      <c r="A581">
        <v>10827</v>
      </c>
      <c r="B581" t="s">
        <v>244</v>
      </c>
      <c r="C581">
        <v>1</v>
      </c>
      <c r="D581" s="1">
        <v>35807</v>
      </c>
      <c r="E581" s="1">
        <v>35821</v>
      </c>
      <c r="F581" s="1">
        <v>35832</v>
      </c>
      <c r="G581">
        <v>2</v>
      </c>
      <c r="H581">
        <v>63.54</v>
      </c>
      <c r="I581" t="s">
        <v>245</v>
      </c>
      <c r="J581">
        <v>12</v>
      </c>
      <c r="K581" t="s">
        <v>246</v>
      </c>
      <c r="L581" t="s">
        <v>247</v>
      </c>
      <c r="M581" t="s">
        <v>18</v>
      </c>
      <c r="N581">
        <v>13008</v>
      </c>
      <c r="O581" t="s">
        <v>19</v>
      </c>
      <c r="P581" t="s">
        <v>19</v>
      </c>
      <c r="Q581" t="s">
        <v>19</v>
      </c>
    </row>
    <row r="582" spans="1:17" x14ac:dyDescent="0.2">
      <c r="A582">
        <v>10828</v>
      </c>
      <c r="B582" t="s">
        <v>357</v>
      </c>
      <c r="C582">
        <v>9</v>
      </c>
      <c r="D582" s="1">
        <v>35808</v>
      </c>
      <c r="E582" s="1">
        <v>35822</v>
      </c>
      <c r="F582" s="1">
        <v>35830</v>
      </c>
      <c r="G582">
        <v>1</v>
      </c>
      <c r="H582">
        <v>90.85</v>
      </c>
      <c r="I582" t="s">
        <v>358</v>
      </c>
      <c r="J582" t="s">
        <v>359</v>
      </c>
      <c r="K582" t="s">
        <v>342</v>
      </c>
      <c r="L582" t="s">
        <v>18</v>
      </c>
      <c r="M582">
        <v>1010</v>
      </c>
      <c r="N582" t="s">
        <v>343</v>
      </c>
      <c r="P582" t="s">
        <v>343</v>
      </c>
      <c r="Q582" t="s">
        <v>343</v>
      </c>
    </row>
    <row r="583" spans="1:17" x14ac:dyDescent="0.2">
      <c r="A583">
        <v>10829</v>
      </c>
      <c r="B583" t="s">
        <v>218</v>
      </c>
      <c r="C583">
        <v>9</v>
      </c>
      <c r="D583" s="1">
        <v>35808</v>
      </c>
      <c r="E583" s="1">
        <v>35836</v>
      </c>
      <c r="F583" s="1">
        <v>35818</v>
      </c>
      <c r="G583">
        <v>1</v>
      </c>
      <c r="H583">
        <v>154.72</v>
      </c>
      <c r="I583" t="s">
        <v>219</v>
      </c>
      <c r="J583" t="s">
        <v>220</v>
      </c>
      <c r="K583" t="s">
        <v>221</v>
      </c>
      <c r="L583" t="s">
        <v>222</v>
      </c>
      <c r="M583" t="s">
        <v>223</v>
      </c>
      <c r="N583" t="s">
        <v>173</v>
      </c>
      <c r="P583" t="s">
        <v>173</v>
      </c>
      <c r="Q583" t="s">
        <v>173</v>
      </c>
    </row>
    <row r="584" spans="1:17" x14ac:dyDescent="0.2">
      <c r="A584">
        <v>10830</v>
      </c>
      <c r="B584" t="s">
        <v>179</v>
      </c>
      <c r="C584">
        <v>4</v>
      </c>
      <c r="D584" s="1">
        <v>35808</v>
      </c>
      <c r="E584" s="1">
        <v>35850</v>
      </c>
      <c r="F584" s="1">
        <v>35816</v>
      </c>
      <c r="G584">
        <v>2</v>
      </c>
      <c r="H584">
        <v>81.83</v>
      </c>
      <c r="I584" t="s">
        <v>180</v>
      </c>
      <c r="J584" t="s">
        <v>181</v>
      </c>
      <c r="K584">
        <v>414</v>
      </c>
      <c r="L584" t="s">
        <v>177</v>
      </c>
      <c r="M584" t="s">
        <v>55</v>
      </c>
      <c r="N584" t="s">
        <v>182</v>
      </c>
      <c r="O584" t="s">
        <v>31</v>
      </c>
      <c r="P584" t="s">
        <v>31</v>
      </c>
      <c r="Q584" t="s">
        <v>31</v>
      </c>
    </row>
    <row r="585" spans="1:17" x14ac:dyDescent="0.2">
      <c r="A585">
        <v>10831</v>
      </c>
      <c r="B585" t="s">
        <v>319</v>
      </c>
      <c r="C585">
        <v>3</v>
      </c>
      <c r="D585" s="1">
        <v>35809</v>
      </c>
      <c r="E585" s="1">
        <v>35837</v>
      </c>
      <c r="F585" s="1">
        <v>35818</v>
      </c>
      <c r="G585">
        <v>2</v>
      </c>
      <c r="H585">
        <v>72.19</v>
      </c>
      <c r="I585" t="s">
        <v>320</v>
      </c>
      <c r="J585" t="s">
        <v>321</v>
      </c>
      <c r="K585" t="s">
        <v>322</v>
      </c>
      <c r="L585" t="s">
        <v>18</v>
      </c>
      <c r="M585">
        <v>4110</v>
      </c>
      <c r="N585" t="s">
        <v>323</v>
      </c>
      <c r="P585" t="s">
        <v>323</v>
      </c>
      <c r="Q585" t="s">
        <v>323</v>
      </c>
    </row>
    <row r="586" spans="1:17" x14ac:dyDescent="0.2">
      <c r="A586">
        <v>10832</v>
      </c>
      <c r="B586" t="s">
        <v>267</v>
      </c>
      <c r="C586">
        <v>2</v>
      </c>
      <c r="D586" s="1">
        <v>35809</v>
      </c>
      <c r="E586" s="1">
        <v>35837</v>
      </c>
      <c r="F586" s="1">
        <v>35814</v>
      </c>
      <c r="G586">
        <v>2</v>
      </c>
      <c r="H586">
        <v>43.26</v>
      </c>
      <c r="I586" t="s">
        <v>268</v>
      </c>
      <c r="J586" t="s">
        <v>269</v>
      </c>
      <c r="K586" t="s">
        <v>270</v>
      </c>
      <c r="L586" t="s">
        <v>18</v>
      </c>
      <c r="M586">
        <v>31000</v>
      </c>
      <c r="N586" t="s">
        <v>19</v>
      </c>
      <c r="P586" t="s">
        <v>19</v>
      </c>
      <c r="Q586" t="s">
        <v>19</v>
      </c>
    </row>
    <row r="587" spans="1:17" x14ac:dyDescent="0.2">
      <c r="A587">
        <v>10833</v>
      </c>
      <c r="B587" t="s">
        <v>74</v>
      </c>
      <c r="C587">
        <v>6</v>
      </c>
      <c r="D587" s="1">
        <v>35810</v>
      </c>
      <c r="E587" s="1">
        <v>35838</v>
      </c>
      <c r="F587" s="1">
        <v>35818</v>
      </c>
      <c r="G587">
        <v>2</v>
      </c>
      <c r="H587">
        <v>71.489999999999995</v>
      </c>
      <c r="I587" t="s">
        <v>75</v>
      </c>
      <c r="J587" t="s">
        <v>76</v>
      </c>
      <c r="K587" t="s">
        <v>77</v>
      </c>
      <c r="L587" t="s">
        <v>18</v>
      </c>
      <c r="M587">
        <v>50739</v>
      </c>
      <c r="N587" t="s">
        <v>24</v>
      </c>
      <c r="P587" t="s">
        <v>24</v>
      </c>
      <c r="Q587" t="s">
        <v>24</v>
      </c>
    </row>
    <row r="588" spans="1:17" x14ac:dyDescent="0.2">
      <c r="A588">
        <v>10834</v>
      </c>
      <c r="B588" t="s">
        <v>179</v>
      </c>
      <c r="C588">
        <v>1</v>
      </c>
      <c r="D588" s="1">
        <v>35810</v>
      </c>
      <c r="E588" s="1">
        <v>35838</v>
      </c>
      <c r="F588" s="1">
        <v>35814</v>
      </c>
      <c r="G588">
        <v>3</v>
      </c>
      <c r="H588">
        <v>29.78</v>
      </c>
      <c r="I588" t="s">
        <v>180</v>
      </c>
      <c r="J588" t="s">
        <v>181</v>
      </c>
      <c r="K588">
        <v>414</v>
      </c>
      <c r="L588" t="s">
        <v>177</v>
      </c>
      <c r="M588" t="s">
        <v>55</v>
      </c>
      <c r="N588" t="s">
        <v>182</v>
      </c>
      <c r="O588" t="s">
        <v>31</v>
      </c>
      <c r="P588" t="s">
        <v>31</v>
      </c>
      <c r="Q588" t="s">
        <v>31</v>
      </c>
    </row>
    <row r="589" spans="1:17" x14ac:dyDescent="0.2">
      <c r="A589">
        <v>10835</v>
      </c>
      <c r="B589" t="s">
        <v>407</v>
      </c>
      <c r="C589">
        <v>1</v>
      </c>
      <c r="D589" s="1">
        <v>35810</v>
      </c>
      <c r="E589" s="1">
        <v>35838</v>
      </c>
      <c r="F589" s="1">
        <v>35816</v>
      </c>
      <c r="G589">
        <v>3</v>
      </c>
      <c r="H589">
        <v>69.53</v>
      </c>
      <c r="I589" t="s">
        <v>414</v>
      </c>
      <c r="J589" t="s">
        <v>409</v>
      </c>
      <c r="K589" t="s">
        <v>410</v>
      </c>
      <c r="L589" t="s">
        <v>18</v>
      </c>
      <c r="M589">
        <v>12209</v>
      </c>
      <c r="N589" t="s">
        <v>24</v>
      </c>
      <c r="P589" t="s">
        <v>24</v>
      </c>
      <c r="Q589" t="s">
        <v>24</v>
      </c>
    </row>
    <row r="590" spans="1:17" x14ac:dyDescent="0.2">
      <c r="A590">
        <v>10836</v>
      </c>
      <c r="B590" t="s">
        <v>63</v>
      </c>
      <c r="C590">
        <v>7</v>
      </c>
      <c r="D590" s="1">
        <v>35811</v>
      </c>
      <c r="E590" s="1">
        <v>35839</v>
      </c>
      <c r="F590" s="1">
        <v>35816</v>
      </c>
      <c r="G590">
        <v>1</v>
      </c>
      <c r="H590">
        <v>411.88</v>
      </c>
      <c r="I590" t="s">
        <v>64</v>
      </c>
      <c r="J590" t="s">
        <v>65</v>
      </c>
      <c r="K590" t="s">
        <v>66</v>
      </c>
      <c r="L590" t="s">
        <v>18</v>
      </c>
      <c r="M590">
        <v>8010</v>
      </c>
      <c r="N590" t="s">
        <v>67</v>
      </c>
      <c r="P590" t="s">
        <v>67</v>
      </c>
      <c r="Q590" t="s">
        <v>67</v>
      </c>
    </row>
    <row r="591" spans="1:17" x14ac:dyDescent="0.2">
      <c r="A591">
        <v>10837</v>
      </c>
      <c r="B591" t="s">
        <v>141</v>
      </c>
      <c r="C591">
        <v>9</v>
      </c>
      <c r="D591" s="1">
        <v>35811</v>
      </c>
      <c r="E591" s="1">
        <v>35839</v>
      </c>
      <c r="F591" s="1">
        <v>35818</v>
      </c>
      <c r="G591">
        <v>3</v>
      </c>
      <c r="H591">
        <v>13.32</v>
      </c>
      <c r="I591" t="s">
        <v>142</v>
      </c>
      <c r="J591" t="s">
        <v>143</v>
      </c>
      <c r="K591" t="s">
        <v>144</v>
      </c>
      <c r="L591" t="s">
        <v>18</v>
      </c>
      <c r="M591" t="s">
        <v>145</v>
      </c>
      <c r="N591" t="s">
        <v>93</v>
      </c>
      <c r="P591" t="s">
        <v>93</v>
      </c>
      <c r="Q591" t="s">
        <v>93</v>
      </c>
    </row>
    <row r="592" spans="1:17" x14ac:dyDescent="0.2">
      <c r="A592">
        <v>10838</v>
      </c>
      <c r="B592" t="s">
        <v>330</v>
      </c>
      <c r="C592">
        <v>3</v>
      </c>
      <c r="D592" s="1">
        <v>35814</v>
      </c>
      <c r="E592" s="1">
        <v>35842</v>
      </c>
      <c r="F592" s="1">
        <v>35818</v>
      </c>
      <c r="G592">
        <v>3</v>
      </c>
      <c r="H592">
        <v>59.28</v>
      </c>
      <c r="I592" t="s">
        <v>331</v>
      </c>
      <c r="J592" t="s">
        <v>332</v>
      </c>
      <c r="K592" t="s">
        <v>333</v>
      </c>
      <c r="L592" t="s">
        <v>334</v>
      </c>
      <c r="M592">
        <v>4980</v>
      </c>
      <c r="N592" t="s">
        <v>62</v>
      </c>
      <c r="P592" t="s">
        <v>62</v>
      </c>
      <c r="Q592" t="s">
        <v>62</v>
      </c>
    </row>
    <row r="593" spans="1:17" x14ac:dyDescent="0.2">
      <c r="A593">
        <v>10839</v>
      </c>
      <c r="B593" t="s">
        <v>179</v>
      </c>
      <c r="C593">
        <v>3</v>
      </c>
      <c r="D593" s="1">
        <v>35814</v>
      </c>
      <c r="E593" s="1">
        <v>35842</v>
      </c>
      <c r="F593" s="1">
        <v>35817</v>
      </c>
      <c r="G593">
        <v>3</v>
      </c>
      <c r="H593">
        <v>35.43</v>
      </c>
      <c r="I593" t="s">
        <v>180</v>
      </c>
      <c r="J593" t="s">
        <v>181</v>
      </c>
      <c r="K593">
        <v>414</v>
      </c>
      <c r="L593" t="s">
        <v>177</v>
      </c>
      <c r="M593" t="s">
        <v>55</v>
      </c>
      <c r="N593" t="s">
        <v>182</v>
      </c>
      <c r="O593" t="s">
        <v>31</v>
      </c>
      <c r="P593" t="s">
        <v>31</v>
      </c>
      <c r="Q593" t="s">
        <v>31</v>
      </c>
    </row>
    <row r="594" spans="1:17" x14ac:dyDescent="0.2">
      <c r="A594">
        <v>10840</v>
      </c>
      <c r="B594" t="s">
        <v>330</v>
      </c>
      <c r="C594">
        <v>4</v>
      </c>
      <c r="D594" s="1">
        <v>35814</v>
      </c>
      <c r="E594" s="1">
        <v>35856</v>
      </c>
      <c r="F594" s="1">
        <v>35842</v>
      </c>
      <c r="G594">
        <v>2</v>
      </c>
      <c r="H594">
        <v>2.71</v>
      </c>
      <c r="I594" t="s">
        <v>331</v>
      </c>
      <c r="J594" t="s">
        <v>332</v>
      </c>
      <c r="K594" t="s">
        <v>333</v>
      </c>
      <c r="L594" t="s">
        <v>334</v>
      </c>
      <c r="M594">
        <v>4980</v>
      </c>
      <c r="N594" t="s">
        <v>62</v>
      </c>
      <c r="P594" t="s">
        <v>62</v>
      </c>
      <c r="Q594" t="s">
        <v>62</v>
      </c>
    </row>
    <row r="595" spans="1:17" x14ac:dyDescent="0.2">
      <c r="A595">
        <v>10841</v>
      </c>
      <c r="B595" t="s">
        <v>36</v>
      </c>
      <c r="C595">
        <v>5</v>
      </c>
      <c r="D595" s="1">
        <v>35815</v>
      </c>
      <c r="E595" s="1">
        <v>35843</v>
      </c>
      <c r="F595" s="1">
        <v>35824</v>
      </c>
      <c r="G595">
        <v>2</v>
      </c>
      <c r="H595">
        <v>424.3</v>
      </c>
      <c r="I595" t="s">
        <v>37</v>
      </c>
      <c r="J595" t="s">
        <v>38</v>
      </c>
      <c r="K595">
        <v>255</v>
      </c>
      <c r="L595" t="s">
        <v>39</v>
      </c>
      <c r="M595" t="s">
        <v>18</v>
      </c>
      <c r="N595" t="s">
        <v>40</v>
      </c>
      <c r="O595" t="s">
        <v>41</v>
      </c>
      <c r="P595" t="s">
        <v>41</v>
      </c>
      <c r="Q595" t="s">
        <v>41</v>
      </c>
    </row>
    <row r="596" spans="1:17" x14ac:dyDescent="0.2">
      <c r="A596">
        <v>10842</v>
      </c>
      <c r="B596" t="s">
        <v>132</v>
      </c>
      <c r="C596">
        <v>1</v>
      </c>
      <c r="D596" s="1">
        <v>35815</v>
      </c>
      <c r="E596" s="1">
        <v>35843</v>
      </c>
      <c r="F596" s="1">
        <v>35824</v>
      </c>
      <c r="G596">
        <v>3</v>
      </c>
      <c r="H596">
        <v>54.42</v>
      </c>
      <c r="I596" t="s">
        <v>133</v>
      </c>
      <c r="J596" t="s">
        <v>134</v>
      </c>
      <c r="K596" t="s">
        <v>71</v>
      </c>
      <c r="L596" t="s">
        <v>18</v>
      </c>
      <c r="M596" s="2" t="s">
        <v>135</v>
      </c>
      <c r="N596" t="s">
        <v>73</v>
      </c>
      <c r="P596" t="s">
        <v>73</v>
      </c>
      <c r="Q596" t="s">
        <v>73</v>
      </c>
    </row>
    <row r="597" spans="1:17" x14ac:dyDescent="0.2">
      <c r="A597">
        <v>10843</v>
      </c>
      <c r="B597" t="s">
        <v>32</v>
      </c>
      <c r="C597">
        <v>4</v>
      </c>
      <c r="D597" s="1">
        <v>35816</v>
      </c>
      <c r="E597" s="1">
        <v>35844</v>
      </c>
      <c r="F597" s="1">
        <v>35821</v>
      </c>
      <c r="G597">
        <v>2</v>
      </c>
      <c r="H597">
        <v>9.26</v>
      </c>
      <c r="I597" t="s">
        <v>33</v>
      </c>
      <c r="J597">
        <v>2</v>
      </c>
      <c r="K597" t="s">
        <v>34</v>
      </c>
      <c r="L597" t="s">
        <v>35</v>
      </c>
      <c r="M597" t="s">
        <v>18</v>
      </c>
      <c r="N597">
        <v>69004</v>
      </c>
      <c r="O597" t="s">
        <v>19</v>
      </c>
      <c r="P597" t="s">
        <v>19</v>
      </c>
      <c r="Q597" t="s">
        <v>19</v>
      </c>
    </row>
    <row r="598" spans="1:17" x14ac:dyDescent="0.2">
      <c r="A598">
        <v>10844</v>
      </c>
      <c r="B598" t="s">
        <v>271</v>
      </c>
      <c r="C598">
        <v>8</v>
      </c>
      <c r="D598" s="1">
        <v>35816</v>
      </c>
      <c r="E598" s="1">
        <v>35844</v>
      </c>
      <c r="F598" s="1">
        <v>35821</v>
      </c>
      <c r="G598">
        <v>2</v>
      </c>
      <c r="H598">
        <v>25.22</v>
      </c>
      <c r="I598" t="s">
        <v>272</v>
      </c>
      <c r="J598" t="s">
        <v>273</v>
      </c>
      <c r="K598" t="s">
        <v>274</v>
      </c>
      <c r="L598" t="s">
        <v>18</v>
      </c>
      <c r="M598">
        <v>5020</v>
      </c>
      <c r="N598" t="s">
        <v>67</v>
      </c>
      <c r="P598" t="s">
        <v>67</v>
      </c>
      <c r="Q598" t="s">
        <v>67</v>
      </c>
    </row>
    <row r="599" spans="1:17" x14ac:dyDescent="0.2">
      <c r="A599">
        <v>10845</v>
      </c>
      <c r="B599" t="s">
        <v>122</v>
      </c>
      <c r="C599">
        <v>8</v>
      </c>
      <c r="D599" s="1">
        <v>35816</v>
      </c>
      <c r="E599" s="1">
        <v>35830</v>
      </c>
      <c r="F599" s="1">
        <v>35825</v>
      </c>
      <c r="G599">
        <v>1</v>
      </c>
      <c r="H599">
        <v>212.98</v>
      </c>
      <c r="I599" t="s">
        <v>123</v>
      </c>
      <c r="J599" t="s">
        <v>124</v>
      </c>
      <c r="K599" t="s">
        <v>125</v>
      </c>
      <c r="L599" t="s">
        <v>18</v>
      </c>
      <c r="M599" s="2" t="s">
        <v>126</v>
      </c>
      <c r="N599" t="s">
        <v>24</v>
      </c>
      <c r="P599" t="s">
        <v>24</v>
      </c>
      <c r="Q599" t="s">
        <v>24</v>
      </c>
    </row>
    <row r="600" spans="1:17" x14ac:dyDescent="0.2">
      <c r="A600">
        <v>10846</v>
      </c>
      <c r="B600" t="s">
        <v>36</v>
      </c>
      <c r="C600">
        <v>2</v>
      </c>
      <c r="D600" s="1">
        <v>35817</v>
      </c>
      <c r="E600" s="1">
        <v>35859</v>
      </c>
      <c r="F600" s="1">
        <v>35818</v>
      </c>
      <c r="G600">
        <v>3</v>
      </c>
      <c r="H600">
        <v>56.46</v>
      </c>
      <c r="I600" t="s">
        <v>37</v>
      </c>
      <c r="J600" t="s">
        <v>38</v>
      </c>
      <c r="K600">
        <v>255</v>
      </c>
      <c r="L600" t="s">
        <v>39</v>
      </c>
      <c r="M600" t="s">
        <v>18</v>
      </c>
      <c r="N600" t="s">
        <v>40</v>
      </c>
      <c r="O600" t="s">
        <v>41</v>
      </c>
      <c r="P600" t="s">
        <v>41</v>
      </c>
      <c r="Q600" t="s">
        <v>41</v>
      </c>
    </row>
    <row r="601" spans="1:17" x14ac:dyDescent="0.2">
      <c r="A601">
        <v>10847</v>
      </c>
      <c r="B601" t="s">
        <v>231</v>
      </c>
      <c r="C601">
        <v>4</v>
      </c>
      <c r="D601" s="1">
        <v>35817</v>
      </c>
      <c r="E601" s="1">
        <v>35831</v>
      </c>
      <c r="F601" s="1">
        <v>35836</v>
      </c>
      <c r="G601">
        <v>3</v>
      </c>
      <c r="H601">
        <v>487.57</v>
      </c>
      <c r="I601" t="s">
        <v>232</v>
      </c>
      <c r="J601" t="s">
        <v>233</v>
      </c>
      <c r="K601" t="s">
        <v>234</v>
      </c>
      <c r="L601" t="s">
        <v>235</v>
      </c>
      <c r="M601">
        <v>83720</v>
      </c>
      <c r="N601" t="s">
        <v>87</v>
      </c>
      <c r="P601" t="s">
        <v>87</v>
      </c>
      <c r="Q601" t="s">
        <v>87</v>
      </c>
    </row>
    <row r="602" spans="1:17" x14ac:dyDescent="0.2">
      <c r="A602">
        <v>10848</v>
      </c>
      <c r="B602" t="s">
        <v>353</v>
      </c>
      <c r="C602">
        <v>7</v>
      </c>
      <c r="D602" s="1">
        <v>35818</v>
      </c>
      <c r="E602" s="1">
        <v>35846</v>
      </c>
      <c r="F602" s="1">
        <v>35824</v>
      </c>
      <c r="G602">
        <v>2</v>
      </c>
      <c r="H602">
        <v>38.24</v>
      </c>
      <c r="I602" t="s">
        <v>354</v>
      </c>
      <c r="J602" t="s">
        <v>355</v>
      </c>
      <c r="K602" t="s">
        <v>171</v>
      </c>
      <c r="L602" t="s">
        <v>18</v>
      </c>
      <c r="M602" t="s">
        <v>356</v>
      </c>
      <c r="N602" t="s">
        <v>173</v>
      </c>
      <c r="P602" t="s">
        <v>173</v>
      </c>
      <c r="Q602" t="s">
        <v>173</v>
      </c>
    </row>
    <row r="603" spans="1:17" x14ac:dyDescent="0.2">
      <c r="A603">
        <v>10849</v>
      </c>
      <c r="B603" t="s">
        <v>227</v>
      </c>
      <c r="C603">
        <v>9</v>
      </c>
      <c r="D603" s="1">
        <v>35818</v>
      </c>
      <c r="E603" s="1">
        <v>35846</v>
      </c>
      <c r="F603" s="1">
        <v>35825</v>
      </c>
      <c r="G603">
        <v>2</v>
      </c>
      <c r="H603">
        <v>0.56000000000000005</v>
      </c>
      <c r="I603" t="s">
        <v>228</v>
      </c>
      <c r="J603" t="s">
        <v>229</v>
      </c>
      <c r="K603" t="s">
        <v>230</v>
      </c>
      <c r="L603" t="s">
        <v>18</v>
      </c>
      <c r="M603">
        <v>14776</v>
      </c>
      <c r="N603" t="s">
        <v>24</v>
      </c>
      <c r="P603" t="s">
        <v>24</v>
      </c>
      <c r="Q603" t="s">
        <v>24</v>
      </c>
    </row>
    <row r="604" spans="1:17" x14ac:dyDescent="0.2">
      <c r="A604">
        <v>10850</v>
      </c>
      <c r="B604" t="s">
        <v>32</v>
      </c>
      <c r="C604">
        <v>1</v>
      </c>
      <c r="D604" s="1">
        <v>35818</v>
      </c>
      <c r="E604" s="1">
        <v>35860</v>
      </c>
      <c r="F604" s="1">
        <v>35825</v>
      </c>
      <c r="G604">
        <v>1</v>
      </c>
      <c r="H604">
        <v>49.19</v>
      </c>
      <c r="I604" t="s">
        <v>33</v>
      </c>
      <c r="J604">
        <v>2</v>
      </c>
      <c r="K604" t="s">
        <v>34</v>
      </c>
      <c r="L604" t="s">
        <v>35</v>
      </c>
      <c r="M604" t="s">
        <v>18</v>
      </c>
      <c r="N604">
        <v>69004</v>
      </c>
      <c r="O604" t="s">
        <v>19</v>
      </c>
      <c r="P604" t="s">
        <v>19</v>
      </c>
      <c r="Q604" t="s">
        <v>19</v>
      </c>
    </row>
    <row r="605" spans="1:17" x14ac:dyDescent="0.2">
      <c r="A605">
        <v>10851</v>
      </c>
      <c r="B605" t="s">
        <v>160</v>
      </c>
      <c r="C605">
        <v>5</v>
      </c>
      <c r="D605" s="1">
        <v>35821</v>
      </c>
      <c r="E605" s="1">
        <v>35849</v>
      </c>
      <c r="F605" s="1">
        <v>35828</v>
      </c>
      <c r="G605">
        <v>1</v>
      </c>
      <c r="H605">
        <v>160.55000000000001</v>
      </c>
      <c r="I605" t="s">
        <v>161</v>
      </c>
      <c r="J605" t="s">
        <v>162</v>
      </c>
      <c r="K605">
        <v>267</v>
      </c>
      <c r="L605" t="s">
        <v>28</v>
      </c>
      <c r="M605" t="s">
        <v>29</v>
      </c>
      <c r="N605" t="s">
        <v>163</v>
      </c>
      <c r="O605" t="s">
        <v>31</v>
      </c>
      <c r="P605" t="s">
        <v>31</v>
      </c>
      <c r="Q605" t="s">
        <v>31</v>
      </c>
    </row>
    <row r="606" spans="1:17" x14ac:dyDescent="0.2">
      <c r="A606">
        <v>10852</v>
      </c>
      <c r="B606" t="s">
        <v>82</v>
      </c>
      <c r="C606">
        <v>8</v>
      </c>
      <c r="D606" s="1">
        <v>35821</v>
      </c>
      <c r="E606" s="1">
        <v>35835</v>
      </c>
      <c r="F606" s="1">
        <v>35825</v>
      </c>
      <c r="G606">
        <v>1</v>
      </c>
      <c r="H606">
        <v>174.05</v>
      </c>
      <c r="I606" t="s">
        <v>83</v>
      </c>
      <c r="J606" t="s">
        <v>84</v>
      </c>
      <c r="K606" t="s">
        <v>85</v>
      </c>
      <c r="L606" t="s">
        <v>86</v>
      </c>
      <c r="M606">
        <v>87110</v>
      </c>
      <c r="N606" t="s">
        <v>87</v>
      </c>
      <c r="P606" t="s">
        <v>87</v>
      </c>
      <c r="Q606" t="s">
        <v>87</v>
      </c>
    </row>
    <row r="607" spans="1:17" x14ac:dyDescent="0.2">
      <c r="A607">
        <v>10853</v>
      </c>
      <c r="B607" t="s">
        <v>369</v>
      </c>
      <c r="C607">
        <v>9</v>
      </c>
      <c r="D607" s="1">
        <v>35822</v>
      </c>
      <c r="E607" s="1">
        <v>35850</v>
      </c>
      <c r="F607" s="1">
        <v>35829</v>
      </c>
      <c r="G607">
        <v>2</v>
      </c>
      <c r="H607">
        <v>53.83</v>
      </c>
      <c r="I607" t="s">
        <v>370</v>
      </c>
      <c r="J607" t="s">
        <v>371</v>
      </c>
      <c r="K607" t="s">
        <v>372</v>
      </c>
      <c r="L607" t="s">
        <v>18</v>
      </c>
      <c r="M607">
        <v>68306</v>
      </c>
      <c r="N607" t="s">
        <v>24</v>
      </c>
      <c r="P607" t="s">
        <v>24</v>
      </c>
      <c r="Q607" t="s">
        <v>24</v>
      </c>
    </row>
    <row r="608" spans="1:17" x14ac:dyDescent="0.2">
      <c r="A608">
        <v>10854</v>
      </c>
      <c r="B608" t="s">
        <v>63</v>
      </c>
      <c r="C608">
        <v>3</v>
      </c>
      <c r="D608" s="1">
        <v>35822</v>
      </c>
      <c r="E608" s="1">
        <v>35850</v>
      </c>
      <c r="F608" s="1">
        <v>35831</v>
      </c>
      <c r="G608">
        <v>2</v>
      </c>
      <c r="H608">
        <v>100.22</v>
      </c>
      <c r="I608" t="s">
        <v>64</v>
      </c>
      <c r="J608" t="s">
        <v>65</v>
      </c>
      <c r="K608" t="s">
        <v>66</v>
      </c>
      <c r="L608" t="s">
        <v>18</v>
      </c>
      <c r="M608">
        <v>8010</v>
      </c>
      <c r="N608" t="s">
        <v>67</v>
      </c>
      <c r="P608" t="s">
        <v>67</v>
      </c>
      <c r="Q608" t="s">
        <v>67</v>
      </c>
    </row>
    <row r="609" spans="1:17" x14ac:dyDescent="0.2">
      <c r="A609">
        <v>10855</v>
      </c>
      <c r="B609" t="s">
        <v>197</v>
      </c>
      <c r="C609">
        <v>3</v>
      </c>
      <c r="D609" s="1">
        <v>35822</v>
      </c>
      <c r="E609" s="1">
        <v>35850</v>
      </c>
      <c r="F609" s="1">
        <v>35830</v>
      </c>
      <c r="G609">
        <v>1</v>
      </c>
      <c r="H609">
        <v>170.97</v>
      </c>
      <c r="I609" t="s">
        <v>198</v>
      </c>
      <c r="J609" t="s">
        <v>199</v>
      </c>
      <c r="K609" t="s">
        <v>200</v>
      </c>
      <c r="L609" t="s">
        <v>201</v>
      </c>
      <c r="M609">
        <v>99508</v>
      </c>
      <c r="N609" t="s">
        <v>87</v>
      </c>
      <c r="P609" t="s">
        <v>87</v>
      </c>
      <c r="Q609" t="s">
        <v>87</v>
      </c>
    </row>
    <row r="610" spans="1:17" x14ac:dyDescent="0.2">
      <c r="A610">
        <v>10856</v>
      </c>
      <c r="B610" t="s">
        <v>293</v>
      </c>
      <c r="C610">
        <v>3</v>
      </c>
      <c r="D610" s="1">
        <v>35823</v>
      </c>
      <c r="E610" s="1">
        <v>35851</v>
      </c>
      <c r="F610" s="1">
        <v>35836</v>
      </c>
      <c r="G610">
        <v>2</v>
      </c>
      <c r="H610">
        <v>58.43</v>
      </c>
      <c r="I610" t="s">
        <v>294</v>
      </c>
      <c r="J610" t="s">
        <v>295</v>
      </c>
      <c r="K610" t="s">
        <v>71</v>
      </c>
      <c r="L610" t="s">
        <v>18</v>
      </c>
      <c r="M610" s="2" t="s">
        <v>296</v>
      </c>
      <c r="N610" t="s">
        <v>73</v>
      </c>
      <c r="P610" t="s">
        <v>73</v>
      </c>
      <c r="Q610" t="s">
        <v>73</v>
      </c>
    </row>
    <row r="611" spans="1:17" x14ac:dyDescent="0.2">
      <c r="A611">
        <v>10857</v>
      </c>
      <c r="B611" t="s">
        <v>141</v>
      </c>
      <c r="C611">
        <v>8</v>
      </c>
      <c r="D611" s="1">
        <v>35823</v>
      </c>
      <c r="E611" s="1">
        <v>35851</v>
      </c>
      <c r="F611" s="1">
        <v>35832</v>
      </c>
      <c r="G611">
        <v>2</v>
      </c>
      <c r="H611">
        <v>188.85</v>
      </c>
      <c r="I611" t="s">
        <v>142</v>
      </c>
      <c r="J611" t="s">
        <v>143</v>
      </c>
      <c r="K611" t="s">
        <v>144</v>
      </c>
      <c r="L611" t="s">
        <v>18</v>
      </c>
      <c r="M611" t="s">
        <v>145</v>
      </c>
      <c r="N611" t="s">
        <v>93</v>
      </c>
      <c r="P611" t="s">
        <v>93</v>
      </c>
      <c r="Q611" t="s">
        <v>93</v>
      </c>
    </row>
    <row r="612" spans="1:17" x14ac:dyDescent="0.2">
      <c r="A612">
        <v>10858</v>
      </c>
      <c r="B612" t="s">
        <v>419</v>
      </c>
      <c r="C612">
        <v>2</v>
      </c>
      <c r="D612" s="1">
        <v>35824</v>
      </c>
      <c r="E612" s="1">
        <v>35852</v>
      </c>
      <c r="F612" s="1">
        <v>35829</v>
      </c>
      <c r="G612">
        <v>1</v>
      </c>
      <c r="H612">
        <v>52.51</v>
      </c>
      <c r="I612" t="s">
        <v>420</v>
      </c>
      <c r="J612">
        <v>67</v>
      </c>
      <c r="K612" t="s">
        <v>421</v>
      </c>
      <c r="L612" t="s">
        <v>422</v>
      </c>
      <c r="M612" t="s">
        <v>18</v>
      </c>
      <c r="N612">
        <v>78000</v>
      </c>
      <c r="O612" t="s">
        <v>19</v>
      </c>
      <c r="P612" t="s">
        <v>19</v>
      </c>
      <c r="Q612" t="s">
        <v>19</v>
      </c>
    </row>
    <row r="613" spans="1:17" x14ac:dyDescent="0.2">
      <c r="A613">
        <v>10859</v>
      </c>
      <c r="B613" t="s">
        <v>103</v>
      </c>
      <c r="C613">
        <v>1</v>
      </c>
      <c r="D613" s="1">
        <v>35824</v>
      </c>
      <c r="E613" s="1">
        <v>35852</v>
      </c>
      <c r="F613" s="1">
        <v>35828</v>
      </c>
      <c r="G613">
        <v>2</v>
      </c>
      <c r="H613">
        <v>76.099999999999994</v>
      </c>
      <c r="I613" t="s">
        <v>104</v>
      </c>
      <c r="J613" t="s">
        <v>105</v>
      </c>
      <c r="K613" t="s">
        <v>106</v>
      </c>
      <c r="L613" t="s">
        <v>18</v>
      </c>
      <c r="M613">
        <v>80805</v>
      </c>
      <c r="N613" t="s">
        <v>24</v>
      </c>
      <c r="P613" t="s">
        <v>24</v>
      </c>
      <c r="Q613" t="s">
        <v>24</v>
      </c>
    </row>
    <row r="614" spans="1:17" x14ac:dyDescent="0.2">
      <c r="A614">
        <v>10860</v>
      </c>
      <c r="B614" t="s">
        <v>411</v>
      </c>
      <c r="C614">
        <v>3</v>
      </c>
      <c r="D614" s="1">
        <v>35824</v>
      </c>
      <c r="E614" s="1">
        <v>35852</v>
      </c>
      <c r="F614" s="1">
        <v>35830</v>
      </c>
      <c r="G614">
        <v>3</v>
      </c>
      <c r="H614">
        <v>19.260000000000002</v>
      </c>
      <c r="I614" t="s">
        <v>412</v>
      </c>
      <c r="J614">
        <v>54</v>
      </c>
      <c r="K614" t="s">
        <v>413</v>
      </c>
      <c r="L614" t="s">
        <v>217</v>
      </c>
      <c r="M614" t="s">
        <v>18</v>
      </c>
      <c r="N614">
        <v>44000</v>
      </c>
      <c r="O614" t="s">
        <v>19</v>
      </c>
      <c r="P614" t="s">
        <v>19</v>
      </c>
      <c r="Q614" t="s">
        <v>19</v>
      </c>
    </row>
    <row r="615" spans="1:17" x14ac:dyDescent="0.2">
      <c r="A615">
        <v>10861</v>
      </c>
      <c r="B615" t="s">
        <v>112</v>
      </c>
      <c r="C615">
        <v>4</v>
      </c>
      <c r="D615" s="1">
        <v>35825</v>
      </c>
      <c r="E615" s="1">
        <v>35853</v>
      </c>
      <c r="F615" s="1">
        <v>35843</v>
      </c>
      <c r="G615">
        <v>2</v>
      </c>
      <c r="H615">
        <v>14.93</v>
      </c>
      <c r="I615" t="s">
        <v>113</v>
      </c>
      <c r="J615" t="s">
        <v>114</v>
      </c>
      <c r="K615" t="s">
        <v>115</v>
      </c>
      <c r="L615" t="s">
        <v>116</v>
      </c>
      <c r="M615">
        <v>98124</v>
      </c>
      <c r="N615" t="s">
        <v>87</v>
      </c>
      <c r="P615" t="s">
        <v>87</v>
      </c>
      <c r="Q615" t="s">
        <v>87</v>
      </c>
    </row>
    <row r="616" spans="1:17" x14ac:dyDescent="0.2">
      <c r="A616">
        <v>10862</v>
      </c>
      <c r="B616" t="s">
        <v>146</v>
      </c>
      <c r="C616">
        <v>8</v>
      </c>
      <c r="D616" s="1">
        <v>35825</v>
      </c>
      <c r="E616" s="1">
        <v>35867</v>
      </c>
      <c r="F616" s="1">
        <v>35828</v>
      </c>
      <c r="G616">
        <v>2</v>
      </c>
      <c r="H616">
        <v>53.23</v>
      </c>
      <c r="I616" t="s">
        <v>147</v>
      </c>
      <c r="J616" t="s">
        <v>148</v>
      </c>
      <c r="K616" t="s">
        <v>149</v>
      </c>
      <c r="L616" t="s">
        <v>18</v>
      </c>
      <c r="M616">
        <v>60528</v>
      </c>
      <c r="N616" t="s">
        <v>24</v>
      </c>
      <c r="P616" t="s">
        <v>24</v>
      </c>
      <c r="Q616" t="s">
        <v>24</v>
      </c>
    </row>
    <row r="617" spans="1:17" x14ac:dyDescent="0.2">
      <c r="A617">
        <v>10863</v>
      </c>
      <c r="B617" t="s">
        <v>57</v>
      </c>
      <c r="C617">
        <v>4</v>
      </c>
      <c r="D617" s="1">
        <v>35828</v>
      </c>
      <c r="E617" s="1">
        <v>35856</v>
      </c>
      <c r="F617" s="1">
        <v>35843</v>
      </c>
      <c r="G617">
        <v>2</v>
      </c>
      <c r="H617">
        <v>30.26</v>
      </c>
      <c r="I617" t="s">
        <v>58</v>
      </c>
      <c r="J617" t="s">
        <v>59</v>
      </c>
      <c r="K617" t="s">
        <v>60</v>
      </c>
      <c r="L617" t="s">
        <v>61</v>
      </c>
      <c r="M617">
        <v>5022</v>
      </c>
      <c r="N617" t="s">
        <v>62</v>
      </c>
      <c r="P617" t="s">
        <v>62</v>
      </c>
      <c r="Q617" t="s">
        <v>62</v>
      </c>
    </row>
    <row r="618" spans="1:17" x14ac:dyDescent="0.2">
      <c r="A618">
        <v>10864</v>
      </c>
      <c r="B618" t="s">
        <v>275</v>
      </c>
      <c r="C618">
        <v>4</v>
      </c>
      <c r="D618" s="1">
        <v>35828</v>
      </c>
      <c r="E618" s="1">
        <v>35856</v>
      </c>
      <c r="F618" s="1">
        <v>35835</v>
      </c>
      <c r="G618">
        <v>2</v>
      </c>
      <c r="H618">
        <v>3.04</v>
      </c>
      <c r="I618" t="s">
        <v>276</v>
      </c>
      <c r="J618" t="s">
        <v>277</v>
      </c>
      <c r="K618" t="s">
        <v>278</v>
      </c>
      <c r="L618" t="s">
        <v>279</v>
      </c>
      <c r="M618" t="s">
        <v>280</v>
      </c>
      <c r="N618" t="s">
        <v>173</v>
      </c>
      <c r="P618" t="s">
        <v>173</v>
      </c>
      <c r="Q618" t="s">
        <v>173</v>
      </c>
    </row>
    <row r="619" spans="1:17" x14ac:dyDescent="0.2">
      <c r="A619">
        <v>10865</v>
      </c>
      <c r="B619" t="s">
        <v>122</v>
      </c>
      <c r="C619">
        <v>2</v>
      </c>
      <c r="D619" s="1">
        <v>35828</v>
      </c>
      <c r="E619" s="1">
        <v>35842</v>
      </c>
      <c r="F619" s="1">
        <v>35838</v>
      </c>
      <c r="G619">
        <v>1</v>
      </c>
      <c r="H619">
        <v>348.14</v>
      </c>
      <c r="I619" t="s">
        <v>123</v>
      </c>
      <c r="J619" t="s">
        <v>124</v>
      </c>
      <c r="K619" t="s">
        <v>125</v>
      </c>
      <c r="L619" t="s">
        <v>18</v>
      </c>
      <c r="M619" s="2" t="s">
        <v>126</v>
      </c>
      <c r="N619" t="s">
        <v>24</v>
      </c>
      <c r="P619" t="s">
        <v>24</v>
      </c>
      <c r="Q619" t="s">
        <v>24</v>
      </c>
    </row>
    <row r="620" spans="1:17" x14ac:dyDescent="0.2">
      <c r="A620">
        <v>10866</v>
      </c>
      <c r="B620" t="s">
        <v>141</v>
      </c>
      <c r="C620">
        <v>5</v>
      </c>
      <c r="D620" s="1">
        <v>35829</v>
      </c>
      <c r="E620" s="1">
        <v>35857</v>
      </c>
      <c r="F620" s="1">
        <v>35838</v>
      </c>
      <c r="G620">
        <v>1</v>
      </c>
      <c r="H620">
        <v>109.11</v>
      </c>
      <c r="I620" t="s">
        <v>142</v>
      </c>
      <c r="J620" t="s">
        <v>143</v>
      </c>
      <c r="K620" t="s">
        <v>144</v>
      </c>
      <c r="L620" t="s">
        <v>18</v>
      </c>
      <c r="M620" t="s">
        <v>145</v>
      </c>
      <c r="N620" t="s">
        <v>93</v>
      </c>
      <c r="P620" t="s">
        <v>93</v>
      </c>
      <c r="Q620" t="s">
        <v>93</v>
      </c>
    </row>
    <row r="621" spans="1:17" x14ac:dyDescent="0.2">
      <c r="A621">
        <v>10867</v>
      </c>
      <c r="B621" t="s">
        <v>202</v>
      </c>
      <c r="C621">
        <v>6</v>
      </c>
      <c r="D621" s="1">
        <v>35829</v>
      </c>
      <c r="E621" s="1">
        <v>35871</v>
      </c>
      <c r="F621" s="1">
        <v>35837</v>
      </c>
      <c r="G621">
        <v>1</v>
      </c>
      <c r="H621">
        <v>1.93</v>
      </c>
      <c r="I621" t="s">
        <v>203</v>
      </c>
      <c r="J621" t="s">
        <v>204</v>
      </c>
      <c r="K621" t="s">
        <v>205</v>
      </c>
      <c r="L621" t="s">
        <v>206</v>
      </c>
      <c r="M621">
        <v>97219</v>
      </c>
      <c r="N621" t="s">
        <v>87</v>
      </c>
      <c r="P621" t="s">
        <v>87</v>
      </c>
      <c r="Q621" t="s">
        <v>87</v>
      </c>
    </row>
    <row r="622" spans="1:17" x14ac:dyDescent="0.2">
      <c r="A622">
        <v>10868</v>
      </c>
      <c r="B622" t="s">
        <v>305</v>
      </c>
      <c r="C622">
        <v>7</v>
      </c>
      <c r="D622" s="1">
        <v>35830</v>
      </c>
      <c r="E622" s="1">
        <v>35858</v>
      </c>
      <c r="F622" s="1">
        <v>35849</v>
      </c>
      <c r="G622">
        <v>2</v>
      </c>
      <c r="H622">
        <v>191.27</v>
      </c>
      <c r="I622" t="s">
        <v>306</v>
      </c>
      <c r="J622" t="s">
        <v>307</v>
      </c>
      <c r="K622">
        <v>891</v>
      </c>
      <c r="L622" t="s">
        <v>177</v>
      </c>
      <c r="M622" t="s">
        <v>55</v>
      </c>
      <c r="N622" t="s">
        <v>308</v>
      </c>
      <c r="O622" t="s">
        <v>31</v>
      </c>
      <c r="P622" t="s">
        <v>31</v>
      </c>
      <c r="Q622" t="s">
        <v>31</v>
      </c>
    </row>
    <row r="623" spans="1:17" x14ac:dyDescent="0.2">
      <c r="A623">
        <v>10869</v>
      </c>
      <c r="B623" t="s">
        <v>281</v>
      </c>
      <c r="C623">
        <v>5</v>
      </c>
      <c r="D623" s="1">
        <v>35830</v>
      </c>
      <c r="E623" s="1">
        <v>35858</v>
      </c>
      <c r="F623" s="1">
        <v>35835</v>
      </c>
      <c r="G623">
        <v>1</v>
      </c>
      <c r="H623">
        <v>143.28</v>
      </c>
      <c r="I623" t="s">
        <v>282</v>
      </c>
      <c r="J623" t="s">
        <v>283</v>
      </c>
      <c r="K623" t="s">
        <v>171</v>
      </c>
      <c r="L623" t="s">
        <v>18</v>
      </c>
      <c r="M623" t="s">
        <v>284</v>
      </c>
      <c r="N623" t="s">
        <v>173</v>
      </c>
      <c r="P623" t="s">
        <v>173</v>
      </c>
      <c r="Q623" t="s">
        <v>173</v>
      </c>
    </row>
    <row r="624" spans="1:17" x14ac:dyDescent="0.2">
      <c r="A624">
        <v>10870</v>
      </c>
      <c r="B624" t="s">
        <v>309</v>
      </c>
      <c r="C624">
        <v>5</v>
      </c>
      <c r="D624" s="1">
        <v>35830</v>
      </c>
      <c r="E624" s="1">
        <v>35858</v>
      </c>
      <c r="F624" s="1">
        <v>35839</v>
      </c>
      <c r="G624">
        <v>3</v>
      </c>
      <c r="H624">
        <v>12.04</v>
      </c>
      <c r="I624" t="s">
        <v>310</v>
      </c>
      <c r="J624" t="s">
        <v>311</v>
      </c>
      <c r="K624" t="s">
        <v>312</v>
      </c>
      <c r="L624" t="s">
        <v>18</v>
      </c>
      <c r="M624" t="s">
        <v>313</v>
      </c>
      <c r="N624" t="s">
        <v>314</v>
      </c>
      <c r="P624" t="s">
        <v>314</v>
      </c>
      <c r="Q624" t="s">
        <v>314</v>
      </c>
    </row>
    <row r="625" spans="1:17" x14ac:dyDescent="0.2">
      <c r="A625">
        <v>10871</v>
      </c>
      <c r="B625" t="s">
        <v>244</v>
      </c>
      <c r="C625">
        <v>9</v>
      </c>
      <c r="D625" s="1">
        <v>35831</v>
      </c>
      <c r="E625" s="1">
        <v>35859</v>
      </c>
      <c r="F625" s="1">
        <v>35836</v>
      </c>
      <c r="G625">
        <v>2</v>
      </c>
      <c r="H625">
        <v>112.27</v>
      </c>
      <c r="I625" t="s">
        <v>245</v>
      </c>
      <c r="J625">
        <v>12</v>
      </c>
      <c r="K625" t="s">
        <v>246</v>
      </c>
      <c r="L625" t="s">
        <v>247</v>
      </c>
      <c r="M625" t="s">
        <v>18</v>
      </c>
      <c r="N625">
        <v>13008</v>
      </c>
      <c r="O625" t="s">
        <v>19</v>
      </c>
      <c r="P625" t="s">
        <v>19</v>
      </c>
      <c r="Q625" t="s">
        <v>19</v>
      </c>
    </row>
    <row r="626" spans="1:17" x14ac:dyDescent="0.2">
      <c r="A626">
        <v>10872</v>
      </c>
      <c r="B626" t="s">
        <v>193</v>
      </c>
      <c r="C626">
        <v>5</v>
      </c>
      <c r="D626" s="1">
        <v>35831</v>
      </c>
      <c r="E626" s="1">
        <v>35859</v>
      </c>
      <c r="F626" s="1">
        <v>35835</v>
      </c>
      <c r="G626">
        <v>2</v>
      </c>
      <c r="H626">
        <v>175.32</v>
      </c>
      <c r="I626" t="s">
        <v>194</v>
      </c>
      <c r="J626" t="s">
        <v>195</v>
      </c>
      <c r="K626">
        <v>33</v>
      </c>
      <c r="L626" t="s">
        <v>196</v>
      </c>
      <c r="M626" t="s">
        <v>18</v>
      </c>
      <c r="N626">
        <v>41101</v>
      </c>
      <c r="O626" t="s">
        <v>154</v>
      </c>
      <c r="P626" t="s">
        <v>154</v>
      </c>
      <c r="Q626" t="s">
        <v>154</v>
      </c>
    </row>
    <row r="627" spans="1:17" x14ac:dyDescent="0.2">
      <c r="A627">
        <v>10873</v>
      </c>
      <c r="B627" t="s">
        <v>398</v>
      </c>
      <c r="C627">
        <v>4</v>
      </c>
      <c r="D627" s="1">
        <v>35832</v>
      </c>
      <c r="E627" s="1">
        <v>35860</v>
      </c>
      <c r="F627" s="1">
        <v>35835</v>
      </c>
      <c r="G627">
        <v>1</v>
      </c>
      <c r="H627">
        <v>0.82</v>
      </c>
      <c r="I627" t="s">
        <v>399</v>
      </c>
      <c r="J627" t="s">
        <v>400</v>
      </c>
      <c r="K627" t="s">
        <v>401</v>
      </c>
      <c r="L627" t="s">
        <v>18</v>
      </c>
      <c r="M627">
        <v>21240</v>
      </c>
      <c r="N627" t="s">
        <v>102</v>
      </c>
      <c r="P627" t="s">
        <v>102</v>
      </c>
      <c r="Q627" t="s">
        <v>102</v>
      </c>
    </row>
    <row r="628" spans="1:17" x14ac:dyDescent="0.2">
      <c r="A628">
        <v>10874</v>
      </c>
      <c r="B628" t="s">
        <v>193</v>
      </c>
      <c r="C628">
        <v>5</v>
      </c>
      <c r="D628" s="1">
        <v>35832</v>
      </c>
      <c r="E628" s="1">
        <v>35860</v>
      </c>
      <c r="F628" s="1">
        <v>35837</v>
      </c>
      <c r="G628">
        <v>2</v>
      </c>
      <c r="H628">
        <v>19.579999999999998</v>
      </c>
      <c r="I628" t="s">
        <v>194</v>
      </c>
      <c r="J628" t="s">
        <v>195</v>
      </c>
      <c r="K628">
        <v>33</v>
      </c>
      <c r="L628" t="s">
        <v>196</v>
      </c>
      <c r="M628" t="s">
        <v>18</v>
      </c>
      <c r="N628">
        <v>41101</v>
      </c>
      <c r="O628" t="s">
        <v>154</v>
      </c>
      <c r="P628" t="s">
        <v>154</v>
      </c>
      <c r="Q628" t="s">
        <v>154</v>
      </c>
    </row>
    <row r="629" spans="1:17" x14ac:dyDescent="0.2">
      <c r="A629">
        <v>10875</v>
      </c>
      <c r="B629" t="s">
        <v>141</v>
      </c>
      <c r="C629">
        <v>4</v>
      </c>
      <c r="D629" s="1">
        <v>35832</v>
      </c>
      <c r="E629" s="1">
        <v>35860</v>
      </c>
      <c r="F629" s="1">
        <v>35857</v>
      </c>
      <c r="G629">
        <v>2</v>
      </c>
      <c r="H629">
        <v>32.369999999999997</v>
      </c>
      <c r="I629" t="s">
        <v>142</v>
      </c>
      <c r="J629" t="s">
        <v>143</v>
      </c>
      <c r="K629" t="s">
        <v>144</v>
      </c>
      <c r="L629" t="s">
        <v>18</v>
      </c>
      <c r="M629" t="s">
        <v>145</v>
      </c>
      <c r="N629" t="s">
        <v>93</v>
      </c>
      <c r="P629" t="s">
        <v>93</v>
      </c>
      <c r="Q629" t="s">
        <v>93</v>
      </c>
    </row>
    <row r="630" spans="1:17" x14ac:dyDescent="0.2">
      <c r="A630">
        <v>10876</v>
      </c>
      <c r="B630" t="s">
        <v>244</v>
      </c>
      <c r="C630">
        <v>7</v>
      </c>
      <c r="D630" s="1">
        <v>35835</v>
      </c>
      <c r="E630" s="1">
        <v>35863</v>
      </c>
      <c r="F630" s="1">
        <v>35838</v>
      </c>
      <c r="G630">
        <v>3</v>
      </c>
      <c r="H630">
        <v>60.42</v>
      </c>
      <c r="I630" t="s">
        <v>245</v>
      </c>
      <c r="J630">
        <v>12</v>
      </c>
      <c r="K630" t="s">
        <v>246</v>
      </c>
      <c r="L630" t="s">
        <v>247</v>
      </c>
      <c r="M630" t="s">
        <v>18</v>
      </c>
      <c r="N630">
        <v>13008</v>
      </c>
      <c r="O630" t="s">
        <v>19</v>
      </c>
      <c r="P630" t="s">
        <v>19</v>
      </c>
      <c r="Q630" t="s">
        <v>19</v>
      </c>
    </row>
    <row r="631" spans="1:17" x14ac:dyDescent="0.2">
      <c r="A631">
        <v>10877</v>
      </c>
      <c r="B631" t="s">
        <v>160</v>
      </c>
      <c r="C631">
        <v>1</v>
      </c>
      <c r="D631" s="1">
        <v>35835</v>
      </c>
      <c r="E631" s="1">
        <v>35863</v>
      </c>
      <c r="F631" s="1">
        <v>35845</v>
      </c>
      <c r="G631">
        <v>1</v>
      </c>
      <c r="H631">
        <v>38.06</v>
      </c>
      <c r="I631" t="s">
        <v>161</v>
      </c>
      <c r="J631" t="s">
        <v>162</v>
      </c>
      <c r="K631">
        <v>267</v>
      </c>
      <c r="L631" t="s">
        <v>28</v>
      </c>
      <c r="M631" t="s">
        <v>29</v>
      </c>
      <c r="N631" t="s">
        <v>163</v>
      </c>
      <c r="O631" t="s">
        <v>31</v>
      </c>
      <c r="P631" t="s">
        <v>31</v>
      </c>
      <c r="Q631" t="s">
        <v>31</v>
      </c>
    </row>
    <row r="632" spans="1:17" x14ac:dyDescent="0.2">
      <c r="A632">
        <v>10878</v>
      </c>
      <c r="B632" t="s">
        <v>122</v>
      </c>
      <c r="C632">
        <v>4</v>
      </c>
      <c r="D632" s="1">
        <v>35836</v>
      </c>
      <c r="E632" s="1">
        <v>35864</v>
      </c>
      <c r="F632" s="1">
        <v>35838</v>
      </c>
      <c r="G632">
        <v>1</v>
      </c>
      <c r="H632">
        <v>46.69</v>
      </c>
      <c r="I632" t="s">
        <v>123</v>
      </c>
      <c r="J632" t="s">
        <v>124</v>
      </c>
      <c r="K632" t="s">
        <v>125</v>
      </c>
      <c r="L632" t="s">
        <v>18</v>
      </c>
      <c r="M632" s="2" t="s">
        <v>126</v>
      </c>
      <c r="N632" t="s">
        <v>24</v>
      </c>
      <c r="P632" t="s">
        <v>24</v>
      </c>
      <c r="Q632" t="s">
        <v>24</v>
      </c>
    </row>
    <row r="633" spans="1:17" x14ac:dyDescent="0.2">
      <c r="A633">
        <v>10879</v>
      </c>
      <c r="B633" t="s">
        <v>398</v>
      </c>
      <c r="C633">
        <v>3</v>
      </c>
      <c r="D633" s="1">
        <v>35836</v>
      </c>
      <c r="E633" s="1">
        <v>35864</v>
      </c>
      <c r="F633" s="1">
        <v>35838</v>
      </c>
      <c r="G633">
        <v>3</v>
      </c>
      <c r="H633">
        <v>8.5</v>
      </c>
      <c r="I633" t="s">
        <v>399</v>
      </c>
      <c r="J633" t="s">
        <v>400</v>
      </c>
      <c r="K633" t="s">
        <v>401</v>
      </c>
      <c r="L633" t="s">
        <v>18</v>
      </c>
      <c r="M633">
        <v>21240</v>
      </c>
      <c r="N633" t="s">
        <v>102</v>
      </c>
      <c r="P633" t="s">
        <v>102</v>
      </c>
      <c r="Q633" t="s">
        <v>102</v>
      </c>
    </row>
    <row r="634" spans="1:17" x14ac:dyDescent="0.2">
      <c r="A634">
        <v>10880</v>
      </c>
      <c r="B634" t="s">
        <v>88</v>
      </c>
      <c r="C634">
        <v>7</v>
      </c>
      <c r="D634" s="1">
        <v>35836</v>
      </c>
      <c r="E634" s="1">
        <v>35878</v>
      </c>
      <c r="F634" s="1">
        <v>35844</v>
      </c>
      <c r="G634">
        <v>1</v>
      </c>
      <c r="H634">
        <v>88.01</v>
      </c>
      <c r="I634" t="s">
        <v>89</v>
      </c>
      <c r="J634" t="s">
        <v>90</v>
      </c>
      <c r="K634" t="s">
        <v>91</v>
      </c>
      <c r="L634" t="s">
        <v>18</v>
      </c>
      <c r="M634" t="s">
        <v>92</v>
      </c>
      <c r="N634" t="s">
        <v>93</v>
      </c>
      <c r="P634" t="s">
        <v>93</v>
      </c>
      <c r="Q634" t="s">
        <v>93</v>
      </c>
    </row>
    <row r="635" spans="1:17" x14ac:dyDescent="0.2">
      <c r="A635">
        <v>10881</v>
      </c>
      <c r="B635" t="s">
        <v>377</v>
      </c>
      <c r="C635">
        <v>4</v>
      </c>
      <c r="D635" s="1">
        <v>35837</v>
      </c>
      <c r="E635" s="1">
        <v>35865</v>
      </c>
      <c r="F635" s="1">
        <v>35844</v>
      </c>
      <c r="G635">
        <v>1</v>
      </c>
      <c r="H635">
        <v>2.84</v>
      </c>
      <c r="I635" t="s">
        <v>378</v>
      </c>
      <c r="J635" t="s">
        <v>379</v>
      </c>
      <c r="K635" t="s">
        <v>342</v>
      </c>
      <c r="L635" t="s">
        <v>18</v>
      </c>
      <c r="M635">
        <v>1010</v>
      </c>
      <c r="N635" t="s">
        <v>343</v>
      </c>
      <c r="P635" t="s">
        <v>343</v>
      </c>
      <c r="Q635" t="s">
        <v>343</v>
      </c>
    </row>
    <row r="636" spans="1:17" x14ac:dyDescent="0.2">
      <c r="A636">
        <v>10882</v>
      </c>
      <c r="B636" t="s">
        <v>231</v>
      </c>
      <c r="C636">
        <v>4</v>
      </c>
      <c r="D636" s="1">
        <v>35837</v>
      </c>
      <c r="E636" s="1">
        <v>35865</v>
      </c>
      <c r="F636" s="1">
        <v>35846</v>
      </c>
      <c r="G636">
        <v>3</v>
      </c>
      <c r="H636">
        <v>23.1</v>
      </c>
      <c r="I636" t="s">
        <v>232</v>
      </c>
      <c r="J636" t="s">
        <v>233</v>
      </c>
      <c r="K636" t="s">
        <v>234</v>
      </c>
      <c r="L636" t="s">
        <v>235</v>
      </c>
      <c r="M636">
        <v>83720</v>
      </c>
      <c r="N636" t="s">
        <v>87</v>
      </c>
      <c r="P636" t="s">
        <v>87</v>
      </c>
      <c r="Q636" t="s">
        <v>87</v>
      </c>
    </row>
    <row r="637" spans="1:17" x14ac:dyDescent="0.2">
      <c r="A637">
        <v>10883</v>
      </c>
      <c r="B637" t="s">
        <v>202</v>
      </c>
      <c r="C637">
        <v>8</v>
      </c>
      <c r="D637" s="1">
        <v>35838</v>
      </c>
      <c r="E637" s="1">
        <v>35866</v>
      </c>
      <c r="F637" s="1">
        <v>35846</v>
      </c>
      <c r="G637">
        <v>3</v>
      </c>
      <c r="H637">
        <v>0.53</v>
      </c>
      <c r="I637" t="s">
        <v>203</v>
      </c>
      <c r="J637" t="s">
        <v>204</v>
      </c>
      <c r="K637" t="s">
        <v>205</v>
      </c>
      <c r="L637" t="s">
        <v>206</v>
      </c>
      <c r="M637">
        <v>97219</v>
      </c>
      <c r="N637" t="s">
        <v>87</v>
      </c>
      <c r="P637" t="s">
        <v>87</v>
      </c>
      <c r="Q637" t="s">
        <v>87</v>
      </c>
    </row>
    <row r="638" spans="1:17" x14ac:dyDescent="0.2">
      <c r="A638">
        <v>10884</v>
      </c>
      <c r="B638" t="s">
        <v>393</v>
      </c>
      <c r="C638">
        <v>4</v>
      </c>
      <c r="D638" s="1">
        <v>35838</v>
      </c>
      <c r="E638" s="1">
        <v>35866</v>
      </c>
      <c r="F638" s="1">
        <v>35839</v>
      </c>
      <c r="G638">
        <v>2</v>
      </c>
      <c r="H638">
        <v>90.97</v>
      </c>
      <c r="I638" t="s">
        <v>394</v>
      </c>
      <c r="J638" t="s">
        <v>395</v>
      </c>
      <c r="K638" t="s">
        <v>396</v>
      </c>
      <c r="L638" t="s">
        <v>397</v>
      </c>
      <c r="M638">
        <v>94117</v>
      </c>
      <c r="N638" t="s">
        <v>87</v>
      </c>
      <c r="P638" t="s">
        <v>87</v>
      </c>
      <c r="Q638" t="s">
        <v>87</v>
      </c>
    </row>
    <row r="639" spans="1:17" x14ac:dyDescent="0.2">
      <c r="A639">
        <v>10885</v>
      </c>
      <c r="B639" t="s">
        <v>36</v>
      </c>
      <c r="C639">
        <v>6</v>
      </c>
      <c r="D639" s="1">
        <v>35838</v>
      </c>
      <c r="E639" s="1">
        <v>35866</v>
      </c>
      <c r="F639" s="1">
        <v>35844</v>
      </c>
      <c r="G639">
        <v>3</v>
      </c>
      <c r="H639">
        <v>5.64</v>
      </c>
      <c r="I639" t="s">
        <v>37</v>
      </c>
      <c r="J639" t="s">
        <v>38</v>
      </c>
      <c r="K639">
        <v>255</v>
      </c>
      <c r="L639" t="s">
        <v>39</v>
      </c>
      <c r="M639" t="s">
        <v>18</v>
      </c>
      <c r="N639" t="s">
        <v>40</v>
      </c>
      <c r="O639" t="s">
        <v>41</v>
      </c>
      <c r="P639" t="s">
        <v>41</v>
      </c>
      <c r="Q639" t="s">
        <v>41</v>
      </c>
    </row>
    <row r="640" spans="1:17" x14ac:dyDescent="0.2">
      <c r="A640">
        <v>10886</v>
      </c>
      <c r="B640" t="s">
        <v>25</v>
      </c>
      <c r="C640">
        <v>1</v>
      </c>
      <c r="D640" s="1">
        <v>35839</v>
      </c>
      <c r="E640" s="1">
        <v>35867</v>
      </c>
      <c r="F640" s="1">
        <v>35856</v>
      </c>
      <c r="G640">
        <v>1</v>
      </c>
      <c r="H640">
        <v>4.99</v>
      </c>
      <c r="I640" t="s">
        <v>26</v>
      </c>
      <c r="J640" t="s">
        <v>27</v>
      </c>
      <c r="K640">
        <v>67</v>
      </c>
      <c r="L640" t="s">
        <v>28</v>
      </c>
      <c r="M640" t="s">
        <v>29</v>
      </c>
      <c r="N640" t="s">
        <v>30</v>
      </c>
      <c r="O640" t="s">
        <v>31</v>
      </c>
      <c r="P640" t="s">
        <v>31</v>
      </c>
      <c r="Q640" t="s">
        <v>31</v>
      </c>
    </row>
    <row r="641" spans="1:17" x14ac:dyDescent="0.2">
      <c r="A641">
        <v>10887</v>
      </c>
      <c r="B641" t="s">
        <v>297</v>
      </c>
      <c r="C641">
        <v>8</v>
      </c>
      <c r="D641" s="1">
        <v>35839</v>
      </c>
      <c r="E641" s="1">
        <v>35867</v>
      </c>
      <c r="F641" s="1">
        <v>35842</v>
      </c>
      <c r="G641">
        <v>3</v>
      </c>
      <c r="H641">
        <v>1.25</v>
      </c>
      <c r="I641" t="s">
        <v>298</v>
      </c>
      <c r="J641" t="s">
        <v>299</v>
      </c>
      <c r="K641">
        <v>23</v>
      </c>
      <c r="L641" t="s">
        <v>300</v>
      </c>
      <c r="M641" t="s">
        <v>18</v>
      </c>
      <c r="N641">
        <v>8022</v>
      </c>
      <c r="O641" t="s">
        <v>154</v>
      </c>
      <c r="P641" t="s">
        <v>154</v>
      </c>
      <c r="Q641" t="s">
        <v>154</v>
      </c>
    </row>
    <row r="642" spans="1:17" x14ac:dyDescent="0.2">
      <c r="A642">
        <v>10888</v>
      </c>
      <c r="B642" t="s">
        <v>193</v>
      </c>
      <c r="C642">
        <v>1</v>
      </c>
      <c r="D642" s="1">
        <v>35842</v>
      </c>
      <c r="E642" s="1">
        <v>35870</v>
      </c>
      <c r="F642" s="1">
        <v>35849</v>
      </c>
      <c r="G642">
        <v>2</v>
      </c>
      <c r="H642">
        <v>51.87</v>
      </c>
      <c r="I642" t="s">
        <v>194</v>
      </c>
      <c r="J642" t="s">
        <v>195</v>
      </c>
      <c r="K642">
        <v>33</v>
      </c>
      <c r="L642" t="s">
        <v>196</v>
      </c>
      <c r="M642" t="s">
        <v>18</v>
      </c>
      <c r="N642">
        <v>41101</v>
      </c>
      <c r="O642" t="s">
        <v>154</v>
      </c>
      <c r="P642" t="s">
        <v>154</v>
      </c>
      <c r="Q642" t="s">
        <v>154</v>
      </c>
    </row>
    <row r="643" spans="1:17" x14ac:dyDescent="0.2">
      <c r="A643">
        <v>10889</v>
      </c>
      <c r="B643" t="s">
        <v>82</v>
      </c>
      <c r="C643">
        <v>9</v>
      </c>
      <c r="D643" s="1">
        <v>35842</v>
      </c>
      <c r="E643" s="1">
        <v>35870</v>
      </c>
      <c r="F643" s="1">
        <v>35849</v>
      </c>
      <c r="G643">
        <v>3</v>
      </c>
      <c r="H643">
        <v>280.61</v>
      </c>
      <c r="I643" t="s">
        <v>83</v>
      </c>
      <c r="J643" t="s">
        <v>84</v>
      </c>
      <c r="K643" t="s">
        <v>85</v>
      </c>
      <c r="L643" t="s">
        <v>86</v>
      </c>
      <c r="M643">
        <v>87110</v>
      </c>
      <c r="N643" t="s">
        <v>87</v>
      </c>
      <c r="P643" t="s">
        <v>87</v>
      </c>
      <c r="Q643" t="s">
        <v>87</v>
      </c>
    </row>
    <row r="644" spans="1:17" x14ac:dyDescent="0.2">
      <c r="A644">
        <v>10890</v>
      </c>
      <c r="B644" t="s">
        <v>214</v>
      </c>
      <c r="C644">
        <v>7</v>
      </c>
      <c r="D644" s="1">
        <v>35842</v>
      </c>
      <c r="E644" s="1">
        <v>35870</v>
      </c>
      <c r="F644" s="1">
        <v>35844</v>
      </c>
      <c r="G644">
        <v>1</v>
      </c>
      <c r="H644">
        <v>32.76</v>
      </c>
      <c r="I644" t="s">
        <v>215</v>
      </c>
      <c r="J644">
        <v>67</v>
      </c>
      <c r="K644" t="s">
        <v>216</v>
      </c>
      <c r="L644" t="s">
        <v>217</v>
      </c>
      <c r="M644" t="s">
        <v>18</v>
      </c>
      <c r="N644">
        <v>44000</v>
      </c>
      <c r="O644" t="s">
        <v>19</v>
      </c>
      <c r="P644" t="s">
        <v>19</v>
      </c>
      <c r="Q644" t="s">
        <v>19</v>
      </c>
    </row>
    <row r="645" spans="1:17" x14ac:dyDescent="0.2">
      <c r="A645">
        <v>10891</v>
      </c>
      <c r="B645" t="s">
        <v>146</v>
      </c>
      <c r="C645">
        <v>7</v>
      </c>
      <c r="D645" s="1">
        <v>35843</v>
      </c>
      <c r="E645" s="1">
        <v>35871</v>
      </c>
      <c r="F645" s="1">
        <v>35845</v>
      </c>
      <c r="G645">
        <v>2</v>
      </c>
      <c r="H645">
        <v>20.37</v>
      </c>
      <c r="I645" t="s">
        <v>147</v>
      </c>
      <c r="J645" t="s">
        <v>148</v>
      </c>
      <c r="K645" t="s">
        <v>149</v>
      </c>
      <c r="L645" t="s">
        <v>18</v>
      </c>
      <c r="M645">
        <v>60528</v>
      </c>
      <c r="N645" t="s">
        <v>24</v>
      </c>
      <c r="P645" t="s">
        <v>24</v>
      </c>
      <c r="Q645" t="s">
        <v>24</v>
      </c>
    </row>
    <row r="646" spans="1:17" x14ac:dyDescent="0.2">
      <c r="A646">
        <v>10892</v>
      </c>
      <c r="B646" t="s">
        <v>384</v>
      </c>
      <c r="C646">
        <v>4</v>
      </c>
      <c r="D646" s="1">
        <v>35843</v>
      </c>
      <c r="E646" s="1">
        <v>35871</v>
      </c>
      <c r="F646" s="1">
        <v>35845</v>
      </c>
      <c r="G646">
        <v>2</v>
      </c>
      <c r="H646">
        <v>120.27</v>
      </c>
      <c r="I646" t="s">
        <v>385</v>
      </c>
      <c r="J646" t="s">
        <v>386</v>
      </c>
      <c r="K646" t="s">
        <v>387</v>
      </c>
      <c r="L646" t="s">
        <v>18</v>
      </c>
      <c r="M646" t="s">
        <v>388</v>
      </c>
      <c r="N646" t="s">
        <v>41</v>
      </c>
      <c r="P646" t="s">
        <v>41</v>
      </c>
      <c r="Q646" t="s">
        <v>41</v>
      </c>
    </row>
    <row r="647" spans="1:17" x14ac:dyDescent="0.2">
      <c r="A647">
        <v>10893</v>
      </c>
      <c r="B647" t="s">
        <v>227</v>
      </c>
      <c r="C647">
        <v>9</v>
      </c>
      <c r="D647" s="1">
        <v>35844</v>
      </c>
      <c r="E647" s="1">
        <v>35872</v>
      </c>
      <c r="F647" s="1">
        <v>35846</v>
      </c>
      <c r="G647">
        <v>2</v>
      </c>
      <c r="H647">
        <v>77.78</v>
      </c>
      <c r="I647" t="s">
        <v>228</v>
      </c>
      <c r="J647" t="s">
        <v>229</v>
      </c>
      <c r="K647" t="s">
        <v>230</v>
      </c>
      <c r="L647" t="s">
        <v>18</v>
      </c>
      <c r="M647">
        <v>14776</v>
      </c>
      <c r="N647" t="s">
        <v>24</v>
      </c>
      <c r="P647" t="s">
        <v>24</v>
      </c>
      <c r="Q647" t="s">
        <v>24</v>
      </c>
    </row>
    <row r="648" spans="1:17" x14ac:dyDescent="0.2">
      <c r="A648">
        <v>10894</v>
      </c>
      <c r="B648" t="s">
        <v>231</v>
      </c>
      <c r="C648">
        <v>1</v>
      </c>
      <c r="D648" s="1">
        <v>35844</v>
      </c>
      <c r="E648" s="1">
        <v>35872</v>
      </c>
      <c r="F648" s="1">
        <v>35846</v>
      </c>
      <c r="G648">
        <v>1</v>
      </c>
      <c r="H648">
        <v>116.13</v>
      </c>
      <c r="I648" t="s">
        <v>232</v>
      </c>
      <c r="J648" t="s">
        <v>233</v>
      </c>
      <c r="K648" t="s">
        <v>234</v>
      </c>
      <c r="L648" t="s">
        <v>235</v>
      </c>
      <c r="M648">
        <v>83720</v>
      </c>
      <c r="N648" t="s">
        <v>87</v>
      </c>
      <c r="P648" t="s">
        <v>87</v>
      </c>
      <c r="Q648" t="s">
        <v>87</v>
      </c>
    </row>
    <row r="649" spans="1:17" x14ac:dyDescent="0.2">
      <c r="A649">
        <v>10895</v>
      </c>
      <c r="B649" t="s">
        <v>63</v>
      </c>
      <c r="C649">
        <v>3</v>
      </c>
      <c r="D649" s="1">
        <v>35844</v>
      </c>
      <c r="E649" s="1">
        <v>35872</v>
      </c>
      <c r="F649" s="1">
        <v>35849</v>
      </c>
      <c r="G649">
        <v>1</v>
      </c>
      <c r="H649">
        <v>162.75</v>
      </c>
      <c r="I649" t="s">
        <v>64</v>
      </c>
      <c r="J649" t="s">
        <v>65</v>
      </c>
      <c r="K649" t="s">
        <v>66</v>
      </c>
      <c r="L649" t="s">
        <v>18</v>
      </c>
      <c r="M649">
        <v>8010</v>
      </c>
      <c r="N649" t="s">
        <v>67</v>
      </c>
      <c r="P649" t="s">
        <v>67</v>
      </c>
      <c r="Q649" t="s">
        <v>67</v>
      </c>
    </row>
    <row r="650" spans="1:17" x14ac:dyDescent="0.2">
      <c r="A650">
        <v>10896</v>
      </c>
      <c r="B650" t="s">
        <v>384</v>
      </c>
      <c r="C650">
        <v>7</v>
      </c>
      <c r="D650" s="1">
        <v>35845</v>
      </c>
      <c r="E650" s="1">
        <v>35873</v>
      </c>
      <c r="F650" s="1">
        <v>35853</v>
      </c>
      <c r="G650">
        <v>3</v>
      </c>
      <c r="H650">
        <v>32.450000000000003</v>
      </c>
      <c r="I650" t="s">
        <v>385</v>
      </c>
      <c r="J650" t="s">
        <v>386</v>
      </c>
      <c r="K650" t="s">
        <v>387</v>
      </c>
      <c r="L650" t="s">
        <v>18</v>
      </c>
      <c r="M650" t="s">
        <v>388</v>
      </c>
      <c r="N650" t="s">
        <v>41</v>
      </c>
      <c r="P650" t="s">
        <v>41</v>
      </c>
      <c r="Q650" t="s">
        <v>41</v>
      </c>
    </row>
    <row r="651" spans="1:17" x14ac:dyDescent="0.2">
      <c r="A651">
        <v>10897</v>
      </c>
      <c r="B651" t="s">
        <v>183</v>
      </c>
      <c r="C651">
        <v>3</v>
      </c>
      <c r="D651" s="1">
        <v>35845</v>
      </c>
      <c r="E651" s="1">
        <v>35873</v>
      </c>
      <c r="F651" s="1">
        <v>35851</v>
      </c>
      <c r="G651">
        <v>2</v>
      </c>
      <c r="H651">
        <v>603.54</v>
      </c>
      <c r="I651" t="s">
        <v>184</v>
      </c>
      <c r="J651" t="s">
        <v>185</v>
      </c>
      <c r="K651" t="s">
        <v>186</v>
      </c>
      <c r="L651" t="s">
        <v>187</v>
      </c>
      <c r="M651" t="s">
        <v>18</v>
      </c>
      <c r="N651" t="s">
        <v>188</v>
      </c>
      <c r="P651" t="s">
        <v>188</v>
      </c>
      <c r="Q651" t="s">
        <v>188</v>
      </c>
    </row>
    <row r="652" spans="1:17" x14ac:dyDescent="0.2">
      <c r="A652">
        <v>10898</v>
      </c>
      <c r="B652" t="s">
        <v>339</v>
      </c>
      <c r="C652">
        <v>4</v>
      </c>
      <c r="D652" s="1">
        <v>35846</v>
      </c>
      <c r="E652" s="1">
        <v>35874</v>
      </c>
      <c r="F652" s="1">
        <v>35860</v>
      </c>
      <c r="G652">
        <v>2</v>
      </c>
      <c r="H652">
        <v>1.27</v>
      </c>
      <c r="I652" t="s">
        <v>340</v>
      </c>
      <c r="J652" t="s">
        <v>341</v>
      </c>
      <c r="K652" t="s">
        <v>342</v>
      </c>
      <c r="L652" t="s">
        <v>18</v>
      </c>
      <c r="M652">
        <v>1010</v>
      </c>
      <c r="N652" t="s">
        <v>343</v>
      </c>
      <c r="P652" t="s">
        <v>343</v>
      </c>
      <c r="Q652" t="s">
        <v>343</v>
      </c>
    </row>
    <row r="653" spans="1:17" x14ac:dyDescent="0.2">
      <c r="A653">
        <v>10899</v>
      </c>
      <c r="B653" t="s">
        <v>155</v>
      </c>
      <c r="C653">
        <v>5</v>
      </c>
      <c r="D653" s="1">
        <v>35846</v>
      </c>
      <c r="E653" s="1">
        <v>35874</v>
      </c>
      <c r="F653" s="1">
        <v>35852</v>
      </c>
      <c r="G653">
        <v>3</v>
      </c>
      <c r="H653">
        <v>1.21</v>
      </c>
      <c r="I653" t="s">
        <v>156</v>
      </c>
      <c r="J653" t="s">
        <v>157</v>
      </c>
      <c r="K653" t="s">
        <v>158</v>
      </c>
      <c r="L653" t="s">
        <v>159</v>
      </c>
      <c r="M653">
        <v>3508</v>
      </c>
      <c r="N653" t="s">
        <v>62</v>
      </c>
      <c r="P653" t="s">
        <v>62</v>
      </c>
      <c r="Q653" t="s">
        <v>62</v>
      </c>
    </row>
    <row r="654" spans="1:17" x14ac:dyDescent="0.2">
      <c r="A654">
        <v>10900</v>
      </c>
      <c r="B654" t="s">
        <v>51</v>
      </c>
      <c r="C654">
        <v>1</v>
      </c>
      <c r="D654" s="1">
        <v>35846</v>
      </c>
      <c r="E654" s="1">
        <v>35874</v>
      </c>
      <c r="F654" s="1">
        <v>35858</v>
      </c>
      <c r="G654">
        <v>2</v>
      </c>
      <c r="H654">
        <v>1.66</v>
      </c>
      <c r="I654" t="s">
        <v>52</v>
      </c>
      <c r="J654" t="s">
        <v>53</v>
      </c>
      <c r="K654">
        <v>12</v>
      </c>
      <c r="L654" t="s">
        <v>54</v>
      </c>
      <c r="M654" t="s">
        <v>55</v>
      </c>
      <c r="N654" t="s">
        <v>56</v>
      </c>
      <c r="O654" t="s">
        <v>31</v>
      </c>
      <c r="P654" t="s">
        <v>31</v>
      </c>
      <c r="Q654" t="s">
        <v>31</v>
      </c>
    </row>
    <row r="655" spans="1:17" x14ac:dyDescent="0.2">
      <c r="A655">
        <v>10901</v>
      </c>
      <c r="B655" t="s">
        <v>57</v>
      </c>
      <c r="C655">
        <v>4</v>
      </c>
      <c r="D655" s="1">
        <v>35849</v>
      </c>
      <c r="E655" s="1">
        <v>35877</v>
      </c>
      <c r="F655" s="1">
        <v>35852</v>
      </c>
      <c r="G655">
        <v>1</v>
      </c>
      <c r="H655">
        <v>62.09</v>
      </c>
      <c r="I655" t="s">
        <v>58</v>
      </c>
      <c r="J655" t="s">
        <v>59</v>
      </c>
      <c r="K655" t="s">
        <v>60</v>
      </c>
      <c r="L655" t="s">
        <v>61</v>
      </c>
      <c r="M655">
        <v>5022</v>
      </c>
      <c r="N655" t="s">
        <v>62</v>
      </c>
      <c r="P655" t="s">
        <v>62</v>
      </c>
      <c r="Q655" t="s">
        <v>62</v>
      </c>
    </row>
    <row r="656" spans="1:17" x14ac:dyDescent="0.2">
      <c r="A656">
        <v>10902</v>
      </c>
      <c r="B656" t="s">
        <v>88</v>
      </c>
      <c r="C656">
        <v>1</v>
      </c>
      <c r="D656" s="1">
        <v>35849</v>
      </c>
      <c r="E656" s="1">
        <v>35877</v>
      </c>
      <c r="F656" s="1">
        <v>35857</v>
      </c>
      <c r="G656">
        <v>1</v>
      </c>
      <c r="H656">
        <v>44.15</v>
      </c>
      <c r="I656" t="s">
        <v>89</v>
      </c>
      <c r="J656" t="s">
        <v>90</v>
      </c>
      <c r="K656" t="s">
        <v>91</v>
      </c>
      <c r="L656" t="s">
        <v>18</v>
      </c>
      <c r="M656" t="s">
        <v>92</v>
      </c>
      <c r="N656" t="s">
        <v>93</v>
      </c>
      <c r="P656" t="s">
        <v>93</v>
      </c>
      <c r="Q656" t="s">
        <v>93</v>
      </c>
    </row>
    <row r="657" spans="1:17" x14ac:dyDescent="0.2">
      <c r="A657">
        <v>10903</v>
      </c>
      <c r="B657" t="s">
        <v>25</v>
      </c>
      <c r="C657">
        <v>3</v>
      </c>
      <c r="D657" s="1">
        <v>35850</v>
      </c>
      <c r="E657" s="1">
        <v>35878</v>
      </c>
      <c r="F657" s="1">
        <v>35858</v>
      </c>
      <c r="G657">
        <v>3</v>
      </c>
      <c r="H657">
        <v>36.71</v>
      </c>
      <c r="I657" t="s">
        <v>26</v>
      </c>
      <c r="J657" t="s">
        <v>27</v>
      </c>
      <c r="K657">
        <v>67</v>
      </c>
      <c r="L657" t="s">
        <v>28</v>
      </c>
      <c r="M657" t="s">
        <v>29</v>
      </c>
      <c r="N657" t="s">
        <v>30</v>
      </c>
      <c r="O657" t="s">
        <v>31</v>
      </c>
      <c r="P657" t="s">
        <v>31</v>
      </c>
      <c r="Q657" t="s">
        <v>31</v>
      </c>
    </row>
    <row r="658" spans="1:17" x14ac:dyDescent="0.2">
      <c r="A658">
        <v>10904</v>
      </c>
      <c r="B658" t="s">
        <v>112</v>
      </c>
      <c r="C658">
        <v>3</v>
      </c>
      <c r="D658" s="1">
        <v>35850</v>
      </c>
      <c r="E658" s="1">
        <v>35878</v>
      </c>
      <c r="F658" s="1">
        <v>35853</v>
      </c>
      <c r="G658">
        <v>3</v>
      </c>
      <c r="H658">
        <v>162.94999999999999</v>
      </c>
      <c r="I658" t="s">
        <v>113</v>
      </c>
      <c r="J658" t="s">
        <v>114</v>
      </c>
      <c r="K658" t="s">
        <v>115</v>
      </c>
      <c r="L658" t="s">
        <v>116</v>
      </c>
      <c r="M658">
        <v>98124</v>
      </c>
      <c r="N658" t="s">
        <v>87</v>
      </c>
      <c r="P658" t="s">
        <v>87</v>
      </c>
      <c r="Q658" t="s">
        <v>87</v>
      </c>
    </row>
    <row r="659" spans="1:17" x14ac:dyDescent="0.2">
      <c r="A659">
        <v>10905</v>
      </c>
      <c r="B659" t="s">
        <v>51</v>
      </c>
      <c r="C659">
        <v>9</v>
      </c>
      <c r="D659" s="1">
        <v>35850</v>
      </c>
      <c r="E659" s="1">
        <v>35878</v>
      </c>
      <c r="F659" s="1">
        <v>35860</v>
      </c>
      <c r="G659">
        <v>2</v>
      </c>
      <c r="H659">
        <v>13.72</v>
      </c>
      <c r="I659" t="s">
        <v>52</v>
      </c>
      <c r="J659" t="s">
        <v>53</v>
      </c>
      <c r="K659">
        <v>12</v>
      </c>
      <c r="L659" t="s">
        <v>54</v>
      </c>
      <c r="M659" t="s">
        <v>55</v>
      </c>
      <c r="N659" t="s">
        <v>56</v>
      </c>
      <c r="O659" t="s">
        <v>31</v>
      </c>
      <c r="P659" t="s">
        <v>31</v>
      </c>
      <c r="Q659" t="s">
        <v>31</v>
      </c>
    </row>
    <row r="660" spans="1:17" x14ac:dyDescent="0.2">
      <c r="A660">
        <v>10906</v>
      </c>
      <c r="B660" t="s">
        <v>309</v>
      </c>
      <c r="C660">
        <v>4</v>
      </c>
      <c r="D660" s="1">
        <v>35851</v>
      </c>
      <c r="E660" s="1">
        <v>35865</v>
      </c>
      <c r="F660" s="1">
        <v>35857</v>
      </c>
      <c r="G660">
        <v>3</v>
      </c>
      <c r="H660">
        <v>26.29</v>
      </c>
      <c r="I660" t="s">
        <v>310</v>
      </c>
      <c r="J660" t="s">
        <v>311</v>
      </c>
      <c r="K660" t="s">
        <v>312</v>
      </c>
      <c r="L660" t="s">
        <v>18</v>
      </c>
      <c r="M660" t="s">
        <v>313</v>
      </c>
      <c r="N660" t="s">
        <v>314</v>
      </c>
      <c r="P660" t="s">
        <v>314</v>
      </c>
      <c r="Q660" t="s">
        <v>314</v>
      </c>
    </row>
    <row r="661" spans="1:17" x14ac:dyDescent="0.2">
      <c r="A661">
        <v>10907</v>
      </c>
      <c r="B661" t="s">
        <v>415</v>
      </c>
      <c r="C661">
        <v>6</v>
      </c>
      <c r="D661" s="1">
        <v>35851</v>
      </c>
      <c r="E661" s="1">
        <v>35879</v>
      </c>
      <c r="F661" s="1">
        <v>35853</v>
      </c>
      <c r="G661">
        <v>3</v>
      </c>
      <c r="H661">
        <v>9.19</v>
      </c>
      <c r="I661" t="s">
        <v>416</v>
      </c>
      <c r="J661">
        <v>25</v>
      </c>
      <c r="K661" t="s">
        <v>417</v>
      </c>
      <c r="L661" t="s">
        <v>418</v>
      </c>
      <c r="M661" t="s">
        <v>18</v>
      </c>
      <c r="N661">
        <v>75016</v>
      </c>
      <c r="O661" t="s">
        <v>19</v>
      </c>
      <c r="P661" t="s">
        <v>19</v>
      </c>
      <c r="Q661" t="s">
        <v>19</v>
      </c>
    </row>
    <row r="662" spans="1:17" x14ac:dyDescent="0.2">
      <c r="A662">
        <v>10908</v>
      </c>
      <c r="B662" t="s">
        <v>164</v>
      </c>
      <c r="C662">
        <v>4</v>
      </c>
      <c r="D662" s="1">
        <v>35852</v>
      </c>
      <c r="E662" s="1">
        <v>35880</v>
      </c>
      <c r="F662" s="1">
        <v>35860</v>
      </c>
      <c r="G662">
        <v>2</v>
      </c>
      <c r="H662">
        <v>32.96</v>
      </c>
      <c r="I662" t="s">
        <v>165</v>
      </c>
      <c r="J662" t="s">
        <v>166</v>
      </c>
      <c r="K662" t="s">
        <v>167</v>
      </c>
      <c r="L662" t="s">
        <v>18</v>
      </c>
      <c r="M662">
        <v>42100</v>
      </c>
      <c r="N662" t="s">
        <v>131</v>
      </c>
      <c r="P662" t="s">
        <v>131</v>
      </c>
      <c r="Q662" t="s">
        <v>131</v>
      </c>
    </row>
    <row r="663" spans="1:17" x14ac:dyDescent="0.2">
      <c r="A663">
        <v>10909</v>
      </c>
      <c r="B663" t="s">
        <v>319</v>
      </c>
      <c r="C663">
        <v>1</v>
      </c>
      <c r="D663" s="1">
        <v>35852</v>
      </c>
      <c r="E663" s="1">
        <v>35880</v>
      </c>
      <c r="F663" s="1">
        <v>35864</v>
      </c>
      <c r="G663">
        <v>2</v>
      </c>
      <c r="H663">
        <v>53.05</v>
      </c>
      <c r="I663" t="s">
        <v>320</v>
      </c>
      <c r="J663" t="s">
        <v>321</v>
      </c>
      <c r="K663" t="s">
        <v>322</v>
      </c>
      <c r="L663" t="s">
        <v>18</v>
      </c>
      <c r="M663">
        <v>4110</v>
      </c>
      <c r="N663" t="s">
        <v>323</v>
      </c>
      <c r="P663" t="s">
        <v>323</v>
      </c>
      <c r="Q663" t="s">
        <v>323</v>
      </c>
    </row>
    <row r="664" spans="1:17" x14ac:dyDescent="0.2">
      <c r="A664">
        <v>10910</v>
      </c>
      <c r="B664" t="s">
        <v>398</v>
      </c>
      <c r="C664">
        <v>1</v>
      </c>
      <c r="D664" s="1">
        <v>35852</v>
      </c>
      <c r="E664" s="1">
        <v>35880</v>
      </c>
      <c r="F664" s="1">
        <v>35858</v>
      </c>
      <c r="G664">
        <v>3</v>
      </c>
      <c r="H664">
        <v>38.11</v>
      </c>
      <c r="I664" t="s">
        <v>399</v>
      </c>
      <c r="J664" t="s">
        <v>400</v>
      </c>
      <c r="K664" t="s">
        <v>401</v>
      </c>
      <c r="L664" t="s">
        <v>18</v>
      </c>
      <c r="M664">
        <v>21240</v>
      </c>
      <c r="N664" t="s">
        <v>102</v>
      </c>
      <c r="P664" t="s">
        <v>102</v>
      </c>
      <c r="Q664" t="s">
        <v>102</v>
      </c>
    </row>
    <row r="665" spans="1:17" x14ac:dyDescent="0.2">
      <c r="A665">
        <v>10911</v>
      </c>
      <c r="B665" t="s">
        <v>193</v>
      </c>
      <c r="C665">
        <v>3</v>
      </c>
      <c r="D665" s="1">
        <v>35852</v>
      </c>
      <c r="E665" s="1">
        <v>35880</v>
      </c>
      <c r="F665" s="1">
        <v>35859</v>
      </c>
      <c r="G665">
        <v>1</v>
      </c>
      <c r="H665">
        <v>38.19</v>
      </c>
      <c r="I665" t="s">
        <v>194</v>
      </c>
      <c r="J665" t="s">
        <v>195</v>
      </c>
      <c r="K665">
        <v>33</v>
      </c>
      <c r="L665" t="s">
        <v>196</v>
      </c>
      <c r="M665" t="s">
        <v>18</v>
      </c>
      <c r="N665">
        <v>41101</v>
      </c>
      <c r="O665" t="s">
        <v>154</v>
      </c>
      <c r="P665" t="s">
        <v>154</v>
      </c>
      <c r="Q665" t="s">
        <v>154</v>
      </c>
    </row>
    <row r="666" spans="1:17" x14ac:dyDescent="0.2">
      <c r="A666">
        <v>10912</v>
      </c>
      <c r="B666" t="s">
        <v>183</v>
      </c>
      <c r="C666">
        <v>2</v>
      </c>
      <c r="D666" s="1">
        <v>35852</v>
      </c>
      <c r="E666" s="1">
        <v>35880</v>
      </c>
      <c r="F666" s="1">
        <v>35872</v>
      </c>
      <c r="G666">
        <v>2</v>
      </c>
      <c r="H666">
        <v>580.91</v>
      </c>
      <c r="I666" t="s">
        <v>184</v>
      </c>
      <c r="J666" t="s">
        <v>185</v>
      </c>
      <c r="K666" t="s">
        <v>186</v>
      </c>
      <c r="L666" t="s">
        <v>187</v>
      </c>
      <c r="M666" t="s">
        <v>18</v>
      </c>
      <c r="N666" t="s">
        <v>188</v>
      </c>
      <c r="P666" t="s">
        <v>188</v>
      </c>
      <c r="Q666" t="s">
        <v>188</v>
      </c>
    </row>
    <row r="667" spans="1:17" x14ac:dyDescent="0.2">
      <c r="A667">
        <v>10913</v>
      </c>
      <c r="B667" t="s">
        <v>305</v>
      </c>
      <c r="C667">
        <v>4</v>
      </c>
      <c r="D667" s="1">
        <v>35852</v>
      </c>
      <c r="E667" s="1">
        <v>35880</v>
      </c>
      <c r="F667" s="1">
        <v>35858</v>
      </c>
      <c r="G667">
        <v>1</v>
      </c>
      <c r="H667">
        <v>33.049999999999997</v>
      </c>
      <c r="I667" t="s">
        <v>306</v>
      </c>
      <c r="J667" t="s">
        <v>307</v>
      </c>
      <c r="K667">
        <v>891</v>
      </c>
      <c r="L667" t="s">
        <v>177</v>
      </c>
      <c r="M667" t="s">
        <v>55</v>
      </c>
      <c r="N667" t="s">
        <v>308</v>
      </c>
      <c r="O667" t="s">
        <v>31</v>
      </c>
      <c r="P667" t="s">
        <v>31</v>
      </c>
      <c r="Q667" t="s">
        <v>31</v>
      </c>
    </row>
    <row r="668" spans="1:17" x14ac:dyDescent="0.2">
      <c r="A668">
        <v>10914</v>
      </c>
      <c r="B668" t="s">
        <v>305</v>
      </c>
      <c r="C668">
        <v>6</v>
      </c>
      <c r="D668" s="1">
        <v>35853</v>
      </c>
      <c r="E668" s="1">
        <v>35881</v>
      </c>
      <c r="F668" s="1">
        <v>35856</v>
      </c>
      <c r="G668">
        <v>1</v>
      </c>
      <c r="H668">
        <v>21.19</v>
      </c>
      <c r="I668" t="s">
        <v>306</v>
      </c>
      <c r="J668" t="s">
        <v>307</v>
      </c>
      <c r="K668">
        <v>891</v>
      </c>
      <c r="L668" t="s">
        <v>177</v>
      </c>
      <c r="M668" t="s">
        <v>55</v>
      </c>
      <c r="N668" t="s">
        <v>308</v>
      </c>
      <c r="O668" t="s">
        <v>31</v>
      </c>
      <c r="P668" t="s">
        <v>31</v>
      </c>
      <c r="Q668" t="s">
        <v>31</v>
      </c>
    </row>
    <row r="669" spans="1:17" x14ac:dyDescent="0.2">
      <c r="A669">
        <v>10915</v>
      </c>
      <c r="B669" t="s">
        <v>132</v>
      </c>
      <c r="C669">
        <v>2</v>
      </c>
      <c r="D669" s="1">
        <v>35853</v>
      </c>
      <c r="E669" s="1">
        <v>35881</v>
      </c>
      <c r="F669" s="1">
        <v>35856</v>
      </c>
      <c r="G669">
        <v>2</v>
      </c>
      <c r="H669">
        <v>3.51</v>
      </c>
      <c r="I669" t="s">
        <v>133</v>
      </c>
      <c r="J669" t="s">
        <v>134</v>
      </c>
      <c r="K669" t="s">
        <v>71</v>
      </c>
      <c r="L669" t="s">
        <v>18</v>
      </c>
      <c r="M669" s="2" t="s">
        <v>135</v>
      </c>
      <c r="N669" t="s">
        <v>73</v>
      </c>
      <c r="P669" t="s">
        <v>73</v>
      </c>
      <c r="Q669" t="s">
        <v>73</v>
      </c>
    </row>
    <row r="670" spans="1:17" x14ac:dyDescent="0.2">
      <c r="A670">
        <v>10916</v>
      </c>
      <c r="B670" t="s">
        <v>357</v>
      </c>
      <c r="C670">
        <v>1</v>
      </c>
      <c r="D670" s="1">
        <v>35853</v>
      </c>
      <c r="E670" s="1">
        <v>35881</v>
      </c>
      <c r="F670" s="1">
        <v>35863</v>
      </c>
      <c r="G670">
        <v>2</v>
      </c>
      <c r="H670">
        <v>63.77</v>
      </c>
      <c r="I670" t="s">
        <v>358</v>
      </c>
      <c r="J670" t="s">
        <v>359</v>
      </c>
      <c r="K670" t="s">
        <v>342</v>
      </c>
      <c r="L670" t="s">
        <v>18</v>
      </c>
      <c r="M670">
        <v>1010</v>
      </c>
      <c r="N670" t="s">
        <v>343</v>
      </c>
      <c r="P670" t="s">
        <v>343</v>
      </c>
      <c r="Q670" t="s">
        <v>343</v>
      </c>
    </row>
    <row r="671" spans="1:17" x14ac:dyDescent="0.2">
      <c r="A671">
        <v>10917</v>
      </c>
      <c r="B671" t="s">
        <v>150</v>
      </c>
      <c r="C671">
        <v>4</v>
      </c>
      <c r="D671" s="1">
        <v>35856</v>
      </c>
      <c r="E671" s="1">
        <v>35884</v>
      </c>
      <c r="F671" s="1">
        <v>35865</v>
      </c>
      <c r="G671">
        <v>2</v>
      </c>
      <c r="H671">
        <v>8.2899999999999991</v>
      </c>
      <c r="I671" t="s">
        <v>151</v>
      </c>
      <c r="J671" t="s">
        <v>152</v>
      </c>
      <c r="K671">
        <v>1</v>
      </c>
      <c r="L671" t="s">
        <v>153</v>
      </c>
      <c r="M671" t="s">
        <v>18</v>
      </c>
      <c r="N671">
        <v>28001</v>
      </c>
      <c r="O671" t="s">
        <v>154</v>
      </c>
      <c r="P671" t="s">
        <v>154</v>
      </c>
      <c r="Q671" t="s">
        <v>154</v>
      </c>
    </row>
    <row r="672" spans="1:17" x14ac:dyDescent="0.2">
      <c r="A672">
        <v>10918</v>
      </c>
      <c r="B672" t="s">
        <v>324</v>
      </c>
      <c r="C672">
        <v>3</v>
      </c>
      <c r="D672" s="1">
        <v>35856</v>
      </c>
      <c r="E672" s="1">
        <v>35884</v>
      </c>
      <c r="F672" s="1">
        <v>35865</v>
      </c>
      <c r="G672">
        <v>3</v>
      </c>
      <c r="H672">
        <v>48.83</v>
      </c>
      <c r="I672" t="s">
        <v>325</v>
      </c>
      <c r="J672" t="s">
        <v>326</v>
      </c>
      <c r="K672" t="s">
        <v>327</v>
      </c>
      <c r="L672" t="s">
        <v>328</v>
      </c>
      <c r="M672" t="s">
        <v>329</v>
      </c>
      <c r="N672" t="s">
        <v>254</v>
      </c>
      <c r="P672" t="s">
        <v>254</v>
      </c>
      <c r="Q672" t="s">
        <v>254</v>
      </c>
    </row>
    <row r="673" spans="1:17" x14ac:dyDescent="0.2">
      <c r="A673">
        <v>10919</v>
      </c>
      <c r="B673" t="s">
        <v>330</v>
      </c>
      <c r="C673">
        <v>2</v>
      </c>
      <c r="D673" s="1">
        <v>35856</v>
      </c>
      <c r="E673" s="1">
        <v>35884</v>
      </c>
      <c r="F673" s="1">
        <v>35858</v>
      </c>
      <c r="G673">
        <v>2</v>
      </c>
      <c r="H673">
        <v>19.8</v>
      </c>
      <c r="I673" t="s">
        <v>331</v>
      </c>
      <c r="J673" t="s">
        <v>332</v>
      </c>
      <c r="K673" t="s">
        <v>333</v>
      </c>
      <c r="L673" t="s">
        <v>334</v>
      </c>
      <c r="M673">
        <v>4980</v>
      </c>
      <c r="N673" t="s">
        <v>62</v>
      </c>
      <c r="P673" t="s">
        <v>62</v>
      </c>
      <c r="Q673" t="s">
        <v>62</v>
      </c>
    </row>
    <row r="674" spans="1:17" x14ac:dyDescent="0.2">
      <c r="A674">
        <v>10920</v>
      </c>
      <c r="B674" t="s">
        <v>275</v>
      </c>
      <c r="C674">
        <v>4</v>
      </c>
      <c r="D674" s="1">
        <v>35857</v>
      </c>
      <c r="E674" s="1">
        <v>35885</v>
      </c>
      <c r="F674" s="1">
        <v>35863</v>
      </c>
      <c r="G674">
        <v>2</v>
      </c>
      <c r="H674">
        <v>29.61</v>
      </c>
      <c r="I674" t="s">
        <v>276</v>
      </c>
      <c r="J674" t="s">
        <v>277</v>
      </c>
      <c r="K674" t="s">
        <v>278</v>
      </c>
      <c r="L674" t="s">
        <v>279</v>
      </c>
      <c r="M674" t="s">
        <v>280</v>
      </c>
      <c r="N674" t="s">
        <v>173</v>
      </c>
      <c r="P674" t="s">
        <v>173</v>
      </c>
      <c r="Q674" t="s">
        <v>173</v>
      </c>
    </row>
    <row r="675" spans="1:17" x14ac:dyDescent="0.2">
      <c r="A675">
        <v>10921</v>
      </c>
      <c r="B675" t="s">
        <v>301</v>
      </c>
      <c r="C675">
        <v>1</v>
      </c>
      <c r="D675" s="1">
        <v>35857</v>
      </c>
      <c r="E675" s="1">
        <v>35899</v>
      </c>
      <c r="F675" s="1">
        <v>35863</v>
      </c>
      <c r="G675">
        <v>1</v>
      </c>
      <c r="H675">
        <v>176.48</v>
      </c>
      <c r="I675" t="s">
        <v>302</v>
      </c>
      <c r="J675" t="s">
        <v>303</v>
      </c>
      <c r="K675" t="s">
        <v>304</v>
      </c>
      <c r="L675" t="s">
        <v>18</v>
      </c>
      <c r="M675">
        <v>8200</v>
      </c>
      <c r="N675" t="s">
        <v>262</v>
      </c>
      <c r="P675" t="s">
        <v>262</v>
      </c>
      <c r="Q675" t="s">
        <v>262</v>
      </c>
    </row>
    <row r="676" spans="1:17" x14ac:dyDescent="0.2">
      <c r="A676">
        <v>10922</v>
      </c>
      <c r="B676" t="s">
        <v>25</v>
      </c>
      <c r="C676">
        <v>5</v>
      </c>
      <c r="D676" s="1">
        <v>35857</v>
      </c>
      <c r="E676" s="1">
        <v>35885</v>
      </c>
      <c r="F676" s="1">
        <v>35859</v>
      </c>
      <c r="G676">
        <v>3</v>
      </c>
      <c r="H676">
        <v>62.74</v>
      </c>
      <c r="I676" t="s">
        <v>26</v>
      </c>
      <c r="J676" t="s">
        <v>27</v>
      </c>
      <c r="K676">
        <v>67</v>
      </c>
      <c r="L676" t="s">
        <v>28</v>
      </c>
      <c r="M676" t="s">
        <v>29</v>
      </c>
      <c r="N676" t="s">
        <v>30</v>
      </c>
      <c r="O676" t="s">
        <v>31</v>
      </c>
      <c r="P676" t="s">
        <v>31</v>
      </c>
      <c r="Q676" t="s">
        <v>31</v>
      </c>
    </row>
    <row r="677" spans="1:17" x14ac:dyDescent="0.2">
      <c r="A677">
        <v>10923</v>
      </c>
      <c r="B677" t="s">
        <v>267</v>
      </c>
      <c r="C677">
        <v>7</v>
      </c>
      <c r="D677" s="1">
        <v>35857</v>
      </c>
      <c r="E677" s="1">
        <v>35899</v>
      </c>
      <c r="F677" s="1">
        <v>35867</v>
      </c>
      <c r="G677">
        <v>3</v>
      </c>
      <c r="H677">
        <v>68.260000000000005</v>
      </c>
      <c r="I677" t="s">
        <v>268</v>
      </c>
      <c r="J677" t="s">
        <v>269</v>
      </c>
      <c r="K677" t="s">
        <v>270</v>
      </c>
      <c r="L677" t="s">
        <v>18</v>
      </c>
      <c r="M677">
        <v>31000</v>
      </c>
      <c r="N677" t="s">
        <v>19</v>
      </c>
      <c r="P677" t="s">
        <v>19</v>
      </c>
      <c r="Q677" t="s">
        <v>19</v>
      </c>
    </row>
    <row r="678" spans="1:17" x14ac:dyDescent="0.2">
      <c r="A678">
        <v>10924</v>
      </c>
      <c r="B678" t="s">
        <v>141</v>
      </c>
      <c r="C678">
        <v>3</v>
      </c>
      <c r="D678" s="1">
        <v>35858</v>
      </c>
      <c r="E678" s="1">
        <v>35886</v>
      </c>
      <c r="F678" s="1">
        <v>35893</v>
      </c>
      <c r="G678">
        <v>2</v>
      </c>
      <c r="H678">
        <v>151.52000000000001</v>
      </c>
      <c r="I678" t="s">
        <v>142</v>
      </c>
      <c r="J678" t="s">
        <v>143</v>
      </c>
      <c r="K678" t="s">
        <v>144</v>
      </c>
      <c r="L678" t="s">
        <v>18</v>
      </c>
      <c r="M678" t="s">
        <v>145</v>
      </c>
      <c r="N678" t="s">
        <v>93</v>
      </c>
      <c r="P678" t="s">
        <v>93</v>
      </c>
      <c r="Q678" t="s">
        <v>93</v>
      </c>
    </row>
    <row r="679" spans="1:17" x14ac:dyDescent="0.2">
      <c r="A679">
        <v>10925</v>
      </c>
      <c r="B679" t="s">
        <v>25</v>
      </c>
      <c r="C679">
        <v>3</v>
      </c>
      <c r="D679" s="1">
        <v>35858</v>
      </c>
      <c r="E679" s="1">
        <v>35886</v>
      </c>
      <c r="F679" s="1">
        <v>35867</v>
      </c>
      <c r="G679">
        <v>1</v>
      </c>
      <c r="H679">
        <v>2.27</v>
      </c>
      <c r="I679" t="s">
        <v>26</v>
      </c>
      <c r="J679" t="s">
        <v>27</v>
      </c>
      <c r="K679">
        <v>67</v>
      </c>
      <c r="L679" t="s">
        <v>28</v>
      </c>
      <c r="M679" t="s">
        <v>29</v>
      </c>
      <c r="N679" t="s">
        <v>30</v>
      </c>
      <c r="O679" t="s">
        <v>31</v>
      </c>
      <c r="P679" t="s">
        <v>31</v>
      </c>
      <c r="Q679" t="s">
        <v>31</v>
      </c>
    </row>
    <row r="680" spans="1:17" x14ac:dyDescent="0.2">
      <c r="A680">
        <v>10926</v>
      </c>
      <c r="B680" t="s">
        <v>207</v>
      </c>
      <c r="C680">
        <v>4</v>
      </c>
      <c r="D680" s="1">
        <v>35858</v>
      </c>
      <c r="E680" s="1">
        <v>35886</v>
      </c>
      <c r="F680" s="1">
        <v>35865</v>
      </c>
      <c r="G680">
        <v>3</v>
      </c>
      <c r="H680">
        <v>39.92</v>
      </c>
      <c r="I680" t="s">
        <v>208</v>
      </c>
      <c r="J680" t="s">
        <v>209</v>
      </c>
      <c r="K680" t="s">
        <v>71</v>
      </c>
      <c r="L680" t="s">
        <v>18</v>
      </c>
      <c r="M680" s="2" t="s">
        <v>210</v>
      </c>
      <c r="N680" t="s">
        <v>73</v>
      </c>
      <c r="P680" t="s">
        <v>73</v>
      </c>
      <c r="Q680" t="s">
        <v>73</v>
      </c>
    </row>
    <row r="681" spans="1:17" x14ac:dyDescent="0.2">
      <c r="A681">
        <v>10927</v>
      </c>
      <c r="B681" t="s">
        <v>419</v>
      </c>
      <c r="C681">
        <v>4</v>
      </c>
      <c r="D681" s="1">
        <v>35859</v>
      </c>
      <c r="E681" s="1">
        <v>35887</v>
      </c>
      <c r="F681" s="1">
        <v>35893</v>
      </c>
      <c r="G681">
        <v>1</v>
      </c>
      <c r="H681">
        <v>19.79</v>
      </c>
      <c r="I681" t="s">
        <v>420</v>
      </c>
      <c r="J681">
        <v>67</v>
      </c>
      <c r="K681" t="s">
        <v>421</v>
      </c>
      <c r="L681" t="s">
        <v>422</v>
      </c>
      <c r="M681" t="s">
        <v>18</v>
      </c>
      <c r="N681">
        <v>78000</v>
      </c>
      <c r="O681" t="s">
        <v>19</v>
      </c>
      <c r="P681" t="s">
        <v>19</v>
      </c>
      <c r="Q681" t="s">
        <v>19</v>
      </c>
    </row>
    <row r="682" spans="1:17" x14ac:dyDescent="0.2">
      <c r="A682">
        <v>10928</v>
      </c>
      <c r="B682" t="s">
        <v>297</v>
      </c>
      <c r="C682">
        <v>1</v>
      </c>
      <c r="D682" s="1">
        <v>35859</v>
      </c>
      <c r="E682" s="1">
        <v>35887</v>
      </c>
      <c r="F682" s="1">
        <v>35872</v>
      </c>
      <c r="G682">
        <v>1</v>
      </c>
      <c r="H682">
        <v>1.36</v>
      </c>
      <c r="I682" t="s">
        <v>298</v>
      </c>
      <c r="J682" t="s">
        <v>299</v>
      </c>
      <c r="K682">
        <v>23</v>
      </c>
      <c r="L682" t="s">
        <v>300</v>
      </c>
      <c r="M682" t="s">
        <v>18</v>
      </c>
      <c r="N682">
        <v>8022</v>
      </c>
      <c r="O682" t="s">
        <v>154</v>
      </c>
      <c r="P682" t="s">
        <v>154</v>
      </c>
      <c r="Q682" t="s">
        <v>154</v>
      </c>
    </row>
    <row r="683" spans="1:17" x14ac:dyDescent="0.2">
      <c r="A683">
        <v>10929</v>
      </c>
      <c r="B683" t="s">
        <v>103</v>
      </c>
      <c r="C683">
        <v>6</v>
      </c>
      <c r="D683" s="1">
        <v>35859</v>
      </c>
      <c r="E683" s="1">
        <v>35887</v>
      </c>
      <c r="F683" s="1">
        <v>35866</v>
      </c>
      <c r="G683">
        <v>1</v>
      </c>
      <c r="H683">
        <v>33.93</v>
      </c>
      <c r="I683" t="s">
        <v>104</v>
      </c>
      <c r="J683" t="s">
        <v>105</v>
      </c>
      <c r="K683" t="s">
        <v>106</v>
      </c>
      <c r="L683" t="s">
        <v>18</v>
      </c>
      <c r="M683">
        <v>80805</v>
      </c>
      <c r="N683" t="s">
        <v>24</v>
      </c>
      <c r="P683" t="s">
        <v>24</v>
      </c>
      <c r="Q683" t="s">
        <v>24</v>
      </c>
    </row>
    <row r="684" spans="1:17" x14ac:dyDescent="0.2">
      <c r="A684">
        <v>10930</v>
      </c>
      <c r="B684" t="s">
        <v>36</v>
      </c>
      <c r="C684">
        <v>4</v>
      </c>
      <c r="D684" s="1">
        <v>35860</v>
      </c>
      <c r="E684" s="1">
        <v>35902</v>
      </c>
      <c r="F684" s="1">
        <v>35872</v>
      </c>
      <c r="G684">
        <v>3</v>
      </c>
      <c r="H684">
        <v>15.55</v>
      </c>
      <c r="I684" t="s">
        <v>37</v>
      </c>
      <c r="J684" t="s">
        <v>38</v>
      </c>
      <c r="K684">
        <v>255</v>
      </c>
      <c r="L684" t="s">
        <v>39</v>
      </c>
      <c r="M684" t="s">
        <v>18</v>
      </c>
      <c r="N684" t="s">
        <v>40</v>
      </c>
      <c r="O684" t="s">
        <v>41</v>
      </c>
      <c r="P684" t="s">
        <v>41</v>
      </c>
      <c r="Q684" t="s">
        <v>41</v>
      </c>
    </row>
    <row r="685" spans="1:17" x14ac:dyDescent="0.2">
      <c r="A685">
        <v>10931</v>
      </c>
      <c r="B685" t="s">
        <v>47</v>
      </c>
      <c r="C685">
        <v>4</v>
      </c>
      <c r="D685" s="1">
        <v>35860</v>
      </c>
      <c r="E685" s="1">
        <v>35874</v>
      </c>
      <c r="F685" s="1">
        <v>35873</v>
      </c>
      <c r="G685">
        <v>2</v>
      </c>
      <c r="H685">
        <v>13.6</v>
      </c>
      <c r="I685" t="s">
        <v>48</v>
      </c>
      <c r="J685" t="s">
        <v>49</v>
      </c>
      <c r="K685" t="s">
        <v>50</v>
      </c>
      <c r="L685" t="s">
        <v>18</v>
      </c>
      <c r="M685">
        <v>1204</v>
      </c>
      <c r="N685" t="s">
        <v>46</v>
      </c>
      <c r="P685" t="s">
        <v>46</v>
      </c>
      <c r="Q685" t="s">
        <v>46</v>
      </c>
    </row>
    <row r="686" spans="1:17" x14ac:dyDescent="0.2">
      <c r="A686">
        <v>10932</v>
      </c>
      <c r="B686" t="s">
        <v>244</v>
      </c>
      <c r="C686">
        <v>8</v>
      </c>
      <c r="D686" s="1">
        <v>35860</v>
      </c>
      <c r="E686" s="1">
        <v>35888</v>
      </c>
      <c r="F686" s="1">
        <v>35878</v>
      </c>
      <c r="G686">
        <v>1</v>
      </c>
      <c r="H686">
        <v>134.63999999999999</v>
      </c>
      <c r="I686" t="s">
        <v>245</v>
      </c>
      <c r="J686">
        <v>12</v>
      </c>
      <c r="K686" t="s">
        <v>246</v>
      </c>
      <c r="L686" t="s">
        <v>247</v>
      </c>
      <c r="M686" t="s">
        <v>18</v>
      </c>
      <c r="N686">
        <v>13008</v>
      </c>
      <c r="O686" t="s">
        <v>19</v>
      </c>
      <c r="P686" t="s">
        <v>19</v>
      </c>
      <c r="Q686" t="s">
        <v>19</v>
      </c>
    </row>
    <row r="687" spans="1:17" x14ac:dyDescent="0.2">
      <c r="A687">
        <v>10933</v>
      </c>
      <c r="B687" t="s">
        <v>218</v>
      </c>
      <c r="C687">
        <v>6</v>
      </c>
      <c r="D687" s="1">
        <v>35860</v>
      </c>
      <c r="E687" s="1">
        <v>35888</v>
      </c>
      <c r="F687" s="1">
        <v>35870</v>
      </c>
      <c r="G687">
        <v>3</v>
      </c>
      <c r="H687">
        <v>54.15</v>
      </c>
      <c r="I687" t="s">
        <v>219</v>
      </c>
      <c r="J687" t="s">
        <v>220</v>
      </c>
      <c r="K687" t="s">
        <v>221</v>
      </c>
      <c r="L687" t="s">
        <v>222</v>
      </c>
      <c r="M687" t="s">
        <v>223</v>
      </c>
      <c r="N687" t="s">
        <v>173</v>
      </c>
      <c r="P687" t="s">
        <v>173</v>
      </c>
      <c r="Q687" t="s">
        <v>173</v>
      </c>
    </row>
    <row r="688" spans="1:17" x14ac:dyDescent="0.2">
      <c r="A688">
        <v>10934</v>
      </c>
      <c r="B688" t="s">
        <v>146</v>
      </c>
      <c r="C688">
        <v>3</v>
      </c>
      <c r="D688" s="1">
        <v>35863</v>
      </c>
      <c r="E688" s="1">
        <v>35891</v>
      </c>
      <c r="F688" s="1">
        <v>35866</v>
      </c>
      <c r="G688">
        <v>3</v>
      </c>
      <c r="H688">
        <v>32.01</v>
      </c>
      <c r="I688" t="s">
        <v>147</v>
      </c>
      <c r="J688" t="s">
        <v>148</v>
      </c>
      <c r="K688" t="s">
        <v>149</v>
      </c>
      <c r="L688" t="s">
        <v>18</v>
      </c>
      <c r="M688">
        <v>60528</v>
      </c>
      <c r="N688" t="s">
        <v>24</v>
      </c>
      <c r="P688" t="s">
        <v>24</v>
      </c>
      <c r="Q688" t="s">
        <v>24</v>
      </c>
    </row>
    <row r="689" spans="1:17" x14ac:dyDescent="0.2">
      <c r="A689">
        <v>10935</v>
      </c>
      <c r="B689" t="s">
        <v>51</v>
      </c>
      <c r="C689">
        <v>4</v>
      </c>
      <c r="D689" s="1">
        <v>35863</v>
      </c>
      <c r="E689" s="1">
        <v>35891</v>
      </c>
      <c r="F689" s="1">
        <v>35872</v>
      </c>
      <c r="G689">
        <v>3</v>
      </c>
      <c r="H689">
        <v>47.59</v>
      </c>
      <c r="I689" t="s">
        <v>52</v>
      </c>
      <c r="J689" t="s">
        <v>53</v>
      </c>
      <c r="K689">
        <v>12</v>
      </c>
      <c r="L689" t="s">
        <v>54</v>
      </c>
      <c r="M689" t="s">
        <v>55</v>
      </c>
      <c r="N689" t="s">
        <v>56</v>
      </c>
      <c r="O689" t="s">
        <v>31</v>
      </c>
      <c r="P689" t="s">
        <v>31</v>
      </c>
      <c r="Q689" t="s">
        <v>31</v>
      </c>
    </row>
    <row r="690" spans="1:17" x14ac:dyDescent="0.2">
      <c r="A690">
        <v>10936</v>
      </c>
      <c r="B690" t="s">
        <v>380</v>
      </c>
      <c r="C690">
        <v>3</v>
      </c>
      <c r="D690" s="1">
        <v>35863</v>
      </c>
      <c r="E690" s="1">
        <v>35891</v>
      </c>
      <c r="F690" s="1">
        <v>35872</v>
      </c>
      <c r="G690">
        <v>2</v>
      </c>
      <c r="H690">
        <v>33.68</v>
      </c>
      <c r="I690" t="s">
        <v>381</v>
      </c>
      <c r="J690" t="s">
        <v>382</v>
      </c>
      <c r="K690" t="s">
        <v>383</v>
      </c>
      <c r="L690" t="s">
        <v>206</v>
      </c>
      <c r="M690">
        <v>97403</v>
      </c>
      <c r="N690" t="s">
        <v>87</v>
      </c>
      <c r="P690" t="s">
        <v>87</v>
      </c>
      <c r="Q690" t="s">
        <v>87</v>
      </c>
    </row>
    <row r="691" spans="1:17" x14ac:dyDescent="0.2">
      <c r="A691">
        <v>10937</v>
      </c>
      <c r="B691" t="s">
        <v>377</v>
      </c>
      <c r="C691">
        <v>7</v>
      </c>
      <c r="D691" s="1">
        <v>35864</v>
      </c>
      <c r="E691" s="1">
        <v>35878</v>
      </c>
      <c r="F691" s="1">
        <v>35867</v>
      </c>
      <c r="G691">
        <v>3</v>
      </c>
      <c r="H691">
        <v>31.51</v>
      </c>
      <c r="I691" t="s">
        <v>378</v>
      </c>
      <c r="J691" t="s">
        <v>379</v>
      </c>
      <c r="K691" t="s">
        <v>342</v>
      </c>
      <c r="L691" t="s">
        <v>18</v>
      </c>
      <c r="M691">
        <v>1010</v>
      </c>
      <c r="N691" t="s">
        <v>343</v>
      </c>
      <c r="P691" t="s">
        <v>343</v>
      </c>
      <c r="Q691" t="s">
        <v>343</v>
      </c>
    </row>
    <row r="692" spans="1:17" x14ac:dyDescent="0.2">
      <c r="A692">
        <v>10938</v>
      </c>
      <c r="B692" t="s">
        <v>122</v>
      </c>
      <c r="C692">
        <v>3</v>
      </c>
      <c r="D692" s="1">
        <v>35864</v>
      </c>
      <c r="E692" s="1">
        <v>35892</v>
      </c>
      <c r="F692" s="1">
        <v>35870</v>
      </c>
      <c r="G692">
        <v>2</v>
      </c>
      <c r="H692">
        <v>31.89</v>
      </c>
      <c r="I692" t="s">
        <v>123</v>
      </c>
      <c r="J692" t="s">
        <v>124</v>
      </c>
      <c r="K692" t="s">
        <v>125</v>
      </c>
      <c r="L692" t="s">
        <v>18</v>
      </c>
      <c r="M692" s="2" t="s">
        <v>126</v>
      </c>
      <c r="N692" t="s">
        <v>24</v>
      </c>
      <c r="P692" t="s">
        <v>24</v>
      </c>
      <c r="Q692" t="s">
        <v>24</v>
      </c>
    </row>
    <row r="693" spans="1:17" x14ac:dyDescent="0.2">
      <c r="A693">
        <v>10939</v>
      </c>
      <c r="B693" t="s">
        <v>127</v>
      </c>
      <c r="C693">
        <v>2</v>
      </c>
      <c r="D693" s="1">
        <v>35864</v>
      </c>
      <c r="E693" s="1">
        <v>35892</v>
      </c>
      <c r="F693" s="1">
        <v>35867</v>
      </c>
      <c r="G693">
        <v>2</v>
      </c>
      <c r="H693">
        <v>76.33</v>
      </c>
      <c r="I693" t="s">
        <v>128</v>
      </c>
      <c r="J693" t="s">
        <v>129</v>
      </c>
      <c r="K693" t="s">
        <v>130</v>
      </c>
      <c r="L693" t="s">
        <v>18</v>
      </c>
      <c r="M693">
        <v>24100</v>
      </c>
      <c r="N693" t="s">
        <v>131</v>
      </c>
      <c r="P693" t="s">
        <v>131</v>
      </c>
      <c r="Q693" t="s">
        <v>131</v>
      </c>
    </row>
    <row r="694" spans="1:17" x14ac:dyDescent="0.2">
      <c r="A694">
        <v>10940</v>
      </c>
      <c r="B694" t="s">
        <v>244</v>
      </c>
      <c r="C694">
        <v>8</v>
      </c>
      <c r="D694" s="1">
        <v>35865</v>
      </c>
      <c r="E694" s="1">
        <v>35893</v>
      </c>
      <c r="F694" s="1">
        <v>35877</v>
      </c>
      <c r="G694">
        <v>3</v>
      </c>
      <c r="H694">
        <v>19.77</v>
      </c>
      <c r="I694" t="s">
        <v>245</v>
      </c>
      <c r="J694">
        <v>12</v>
      </c>
      <c r="K694" t="s">
        <v>246</v>
      </c>
      <c r="L694" t="s">
        <v>247</v>
      </c>
      <c r="M694" t="s">
        <v>18</v>
      </c>
      <c r="N694">
        <v>13008</v>
      </c>
      <c r="O694" t="s">
        <v>19</v>
      </c>
      <c r="P694" t="s">
        <v>19</v>
      </c>
      <c r="Q694" t="s">
        <v>19</v>
      </c>
    </row>
    <row r="695" spans="1:17" x14ac:dyDescent="0.2">
      <c r="A695">
        <v>10941</v>
      </c>
      <c r="B695" t="s">
        <v>231</v>
      </c>
      <c r="C695">
        <v>7</v>
      </c>
      <c r="D695" s="1">
        <v>35865</v>
      </c>
      <c r="E695" s="1">
        <v>35893</v>
      </c>
      <c r="F695" s="1">
        <v>35874</v>
      </c>
      <c r="G695">
        <v>2</v>
      </c>
      <c r="H695">
        <v>400.81</v>
      </c>
      <c r="I695" t="s">
        <v>232</v>
      </c>
      <c r="J695" t="s">
        <v>233</v>
      </c>
      <c r="K695" t="s">
        <v>234</v>
      </c>
      <c r="L695" t="s">
        <v>235</v>
      </c>
      <c r="M695">
        <v>83720</v>
      </c>
      <c r="N695" t="s">
        <v>87</v>
      </c>
      <c r="P695" t="s">
        <v>87</v>
      </c>
      <c r="Q695" t="s">
        <v>87</v>
      </c>
    </row>
    <row r="696" spans="1:17" x14ac:dyDescent="0.2">
      <c r="A696">
        <v>10942</v>
      </c>
      <c r="B696" t="s">
        <v>164</v>
      </c>
      <c r="C696">
        <v>9</v>
      </c>
      <c r="D696" s="1">
        <v>35865</v>
      </c>
      <c r="E696" s="1">
        <v>35893</v>
      </c>
      <c r="F696" s="1">
        <v>35872</v>
      </c>
      <c r="G696">
        <v>3</v>
      </c>
      <c r="H696">
        <v>17.95</v>
      </c>
      <c r="I696" t="s">
        <v>165</v>
      </c>
      <c r="J696" t="s">
        <v>166</v>
      </c>
      <c r="K696" t="s">
        <v>167</v>
      </c>
      <c r="L696" t="s">
        <v>18</v>
      </c>
      <c r="M696">
        <v>42100</v>
      </c>
      <c r="N696" t="s">
        <v>131</v>
      </c>
      <c r="P696" t="s">
        <v>131</v>
      </c>
      <c r="Q696" t="s">
        <v>131</v>
      </c>
    </row>
    <row r="697" spans="1:17" x14ac:dyDescent="0.2">
      <c r="A697">
        <v>10943</v>
      </c>
      <c r="B697" t="s">
        <v>168</v>
      </c>
      <c r="C697">
        <v>4</v>
      </c>
      <c r="D697" s="1">
        <v>35865</v>
      </c>
      <c r="E697" s="1">
        <v>35893</v>
      </c>
      <c r="F697" s="1">
        <v>35873</v>
      </c>
      <c r="G697">
        <v>2</v>
      </c>
      <c r="H697">
        <v>2.17</v>
      </c>
      <c r="I697" t="s">
        <v>169</v>
      </c>
      <c r="J697" t="s">
        <v>170</v>
      </c>
      <c r="K697" t="s">
        <v>171</v>
      </c>
      <c r="L697" t="s">
        <v>18</v>
      </c>
      <c r="M697" t="s">
        <v>172</v>
      </c>
      <c r="N697" t="s">
        <v>173</v>
      </c>
      <c r="P697" t="s">
        <v>173</v>
      </c>
      <c r="Q697" t="s">
        <v>173</v>
      </c>
    </row>
    <row r="698" spans="1:17" x14ac:dyDescent="0.2">
      <c r="A698">
        <v>10944</v>
      </c>
      <c r="B698" t="s">
        <v>324</v>
      </c>
      <c r="C698">
        <v>6</v>
      </c>
      <c r="D698" s="1">
        <v>35866</v>
      </c>
      <c r="E698" s="1">
        <v>35880</v>
      </c>
      <c r="F698" s="1">
        <v>35867</v>
      </c>
      <c r="G698">
        <v>3</v>
      </c>
      <c r="H698">
        <v>52.92</v>
      </c>
      <c r="I698" t="s">
        <v>325</v>
      </c>
      <c r="J698" t="s">
        <v>326</v>
      </c>
      <c r="K698" t="s">
        <v>327</v>
      </c>
      <c r="L698" t="s">
        <v>328</v>
      </c>
      <c r="M698" t="s">
        <v>329</v>
      </c>
      <c r="N698" t="s">
        <v>254</v>
      </c>
      <c r="P698" t="s">
        <v>254</v>
      </c>
      <c r="Q698" t="s">
        <v>254</v>
      </c>
    </row>
    <row r="699" spans="1:17" x14ac:dyDescent="0.2">
      <c r="A699">
        <v>10945</v>
      </c>
      <c r="B699" t="s">
        <v>136</v>
      </c>
      <c r="C699">
        <v>4</v>
      </c>
      <c r="D699" s="1">
        <v>35866</v>
      </c>
      <c r="E699" s="1">
        <v>35894</v>
      </c>
      <c r="F699" s="1">
        <v>35872</v>
      </c>
      <c r="G699">
        <v>1</v>
      </c>
      <c r="H699">
        <v>10.220000000000001</v>
      </c>
      <c r="I699" t="s">
        <v>137</v>
      </c>
      <c r="J699" t="s">
        <v>138</v>
      </c>
      <c r="K699" t="s">
        <v>139</v>
      </c>
      <c r="L699" t="s">
        <v>18</v>
      </c>
      <c r="M699" s="2" t="s">
        <v>140</v>
      </c>
      <c r="N699" t="s">
        <v>24</v>
      </c>
      <c r="P699" t="s">
        <v>24</v>
      </c>
      <c r="Q699" t="s">
        <v>24</v>
      </c>
    </row>
    <row r="700" spans="1:17" x14ac:dyDescent="0.2">
      <c r="A700">
        <v>10946</v>
      </c>
      <c r="B700" t="s">
        <v>301</v>
      </c>
      <c r="C700">
        <v>1</v>
      </c>
      <c r="D700" s="1">
        <v>35866</v>
      </c>
      <c r="E700" s="1">
        <v>35894</v>
      </c>
      <c r="F700" s="1">
        <v>35873</v>
      </c>
      <c r="G700">
        <v>2</v>
      </c>
      <c r="H700">
        <v>27.2</v>
      </c>
      <c r="I700" t="s">
        <v>302</v>
      </c>
      <c r="J700" t="s">
        <v>303</v>
      </c>
      <c r="K700" t="s">
        <v>304</v>
      </c>
      <c r="L700" t="s">
        <v>18</v>
      </c>
      <c r="M700">
        <v>8200</v>
      </c>
      <c r="N700" t="s">
        <v>262</v>
      </c>
      <c r="P700" t="s">
        <v>262</v>
      </c>
      <c r="Q700" t="s">
        <v>262</v>
      </c>
    </row>
    <row r="701" spans="1:17" x14ac:dyDescent="0.2">
      <c r="A701">
        <v>10947</v>
      </c>
      <c r="B701" t="s">
        <v>168</v>
      </c>
      <c r="C701">
        <v>3</v>
      </c>
      <c r="D701" s="1">
        <v>35867</v>
      </c>
      <c r="E701" s="1">
        <v>35895</v>
      </c>
      <c r="F701" s="1">
        <v>35870</v>
      </c>
      <c r="G701">
        <v>2</v>
      </c>
      <c r="H701">
        <v>3.26</v>
      </c>
      <c r="I701" t="s">
        <v>169</v>
      </c>
      <c r="J701" t="s">
        <v>170</v>
      </c>
      <c r="K701" t="s">
        <v>171</v>
      </c>
      <c r="L701" t="s">
        <v>18</v>
      </c>
      <c r="M701" t="s">
        <v>172</v>
      </c>
      <c r="N701" t="s">
        <v>173</v>
      </c>
      <c r="P701" t="s">
        <v>173</v>
      </c>
      <c r="Q701" t="s">
        <v>173</v>
      </c>
    </row>
    <row r="702" spans="1:17" x14ac:dyDescent="0.2">
      <c r="A702">
        <v>10948</v>
      </c>
      <c r="B702" t="s">
        <v>193</v>
      </c>
      <c r="C702">
        <v>3</v>
      </c>
      <c r="D702" s="1">
        <v>35867</v>
      </c>
      <c r="E702" s="1">
        <v>35895</v>
      </c>
      <c r="F702" s="1">
        <v>35873</v>
      </c>
      <c r="G702">
        <v>3</v>
      </c>
      <c r="H702">
        <v>23.39</v>
      </c>
      <c r="I702" t="s">
        <v>194</v>
      </c>
      <c r="J702" t="s">
        <v>195</v>
      </c>
      <c r="K702">
        <v>33</v>
      </c>
      <c r="L702" t="s">
        <v>196</v>
      </c>
      <c r="M702" t="s">
        <v>18</v>
      </c>
      <c r="N702">
        <v>41101</v>
      </c>
      <c r="O702" t="s">
        <v>154</v>
      </c>
      <c r="P702" t="s">
        <v>154</v>
      </c>
      <c r="Q702" t="s">
        <v>154</v>
      </c>
    </row>
    <row r="703" spans="1:17" x14ac:dyDescent="0.2">
      <c r="A703">
        <v>10949</v>
      </c>
      <c r="B703" t="s">
        <v>324</v>
      </c>
      <c r="C703">
        <v>2</v>
      </c>
      <c r="D703" s="1">
        <v>35867</v>
      </c>
      <c r="E703" s="1">
        <v>35895</v>
      </c>
      <c r="F703" s="1">
        <v>35871</v>
      </c>
      <c r="G703">
        <v>3</v>
      </c>
      <c r="H703">
        <v>74.44</v>
      </c>
      <c r="I703" t="s">
        <v>325</v>
      </c>
      <c r="J703" t="s">
        <v>326</v>
      </c>
      <c r="K703" t="s">
        <v>327</v>
      </c>
      <c r="L703" t="s">
        <v>328</v>
      </c>
      <c r="M703" t="s">
        <v>329</v>
      </c>
      <c r="N703" t="s">
        <v>254</v>
      </c>
      <c r="P703" t="s">
        <v>254</v>
      </c>
      <c r="Q703" t="s">
        <v>254</v>
      </c>
    </row>
    <row r="704" spans="1:17" x14ac:dyDescent="0.2">
      <c r="A704">
        <v>10950</v>
      </c>
      <c r="B704" t="s">
        <v>127</v>
      </c>
      <c r="C704">
        <v>1</v>
      </c>
      <c r="D704" s="1">
        <v>35870</v>
      </c>
      <c r="E704" s="1">
        <v>35898</v>
      </c>
      <c r="F704" s="1">
        <v>35877</v>
      </c>
      <c r="G704">
        <v>2</v>
      </c>
      <c r="H704">
        <v>2.5</v>
      </c>
      <c r="I704" t="s">
        <v>128</v>
      </c>
      <c r="J704" t="s">
        <v>129</v>
      </c>
      <c r="K704" t="s">
        <v>130</v>
      </c>
      <c r="L704" t="s">
        <v>18</v>
      </c>
      <c r="M704">
        <v>24100</v>
      </c>
      <c r="N704" t="s">
        <v>131</v>
      </c>
      <c r="P704" t="s">
        <v>131</v>
      </c>
      <c r="Q704" t="s">
        <v>131</v>
      </c>
    </row>
    <row r="705" spans="1:17" x14ac:dyDescent="0.2">
      <c r="A705">
        <v>10951</v>
      </c>
      <c r="B705" t="s">
        <v>47</v>
      </c>
      <c r="C705">
        <v>9</v>
      </c>
      <c r="D705" s="1">
        <v>35870</v>
      </c>
      <c r="E705" s="1">
        <v>35912</v>
      </c>
      <c r="F705" s="1">
        <v>35892</v>
      </c>
      <c r="G705">
        <v>2</v>
      </c>
      <c r="H705">
        <v>30.85</v>
      </c>
      <c r="I705" t="s">
        <v>48</v>
      </c>
      <c r="J705" t="s">
        <v>49</v>
      </c>
      <c r="K705" t="s">
        <v>50</v>
      </c>
      <c r="L705" t="s">
        <v>18</v>
      </c>
      <c r="M705">
        <v>1204</v>
      </c>
      <c r="N705" t="s">
        <v>46</v>
      </c>
      <c r="P705" t="s">
        <v>46</v>
      </c>
      <c r="Q705" t="s">
        <v>46</v>
      </c>
    </row>
    <row r="706" spans="1:17" x14ac:dyDescent="0.2">
      <c r="A706">
        <v>10952</v>
      </c>
      <c r="B706" t="s">
        <v>407</v>
      </c>
      <c r="C706">
        <v>1</v>
      </c>
      <c r="D706" s="1">
        <v>35870</v>
      </c>
      <c r="E706" s="1">
        <v>35912</v>
      </c>
      <c r="F706" s="1">
        <v>35878</v>
      </c>
      <c r="G706">
        <v>1</v>
      </c>
      <c r="H706">
        <v>40.42</v>
      </c>
      <c r="I706" t="s">
        <v>414</v>
      </c>
      <c r="J706" t="s">
        <v>409</v>
      </c>
      <c r="K706" t="s">
        <v>410</v>
      </c>
      <c r="L706" t="s">
        <v>18</v>
      </c>
      <c r="M706">
        <v>12209</v>
      </c>
      <c r="N706" t="s">
        <v>24</v>
      </c>
      <c r="P706" t="s">
        <v>24</v>
      </c>
      <c r="Q706" t="s">
        <v>24</v>
      </c>
    </row>
    <row r="707" spans="1:17" x14ac:dyDescent="0.2">
      <c r="A707">
        <v>10953</v>
      </c>
      <c r="B707" t="s">
        <v>275</v>
      </c>
      <c r="C707">
        <v>9</v>
      </c>
      <c r="D707" s="1">
        <v>35870</v>
      </c>
      <c r="E707" s="1">
        <v>35884</v>
      </c>
      <c r="F707" s="1">
        <v>35879</v>
      </c>
      <c r="G707">
        <v>2</v>
      </c>
      <c r="H707">
        <v>23.72</v>
      </c>
      <c r="I707" t="s">
        <v>276</v>
      </c>
      <c r="J707" t="s">
        <v>277</v>
      </c>
      <c r="K707" t="s">
        <v>278</v>
      </c>
      <c r="L707" t="s">
        <v>279</v>
      </c>
      <c r="M707" t="s">
        <v>280</v>
      </c>
      <c r="N707" t="s">
        <v>173</v>
      </c>
      <c r="P707" t="s">
        <v>173</v>
      </c>
      <c r="Q707" t="s">
        <v>173</v>
      </c>
    </row>
    <row r="708" spans="1:17" x14ac:dyDescent="0.2">
      <c r="A708">
        <v>10954</v>
      </c>
      <c r="B708" t="s">
        <v>330</v>
      </c>
      <c r="C708">
        <v>5</v>
      </c>
      <c r="D708" s="1">
        <v>35871</v>
      </c>
      <c r="E708" s="1">
        <v>35913</v>
      </c>
      <c r="F708" s="1">
        <v>35874</v>
      </c>
      <c r="G708">
        <v>1</v>
      </c>
      <c r="H708">
        <v>27.91</v>
      </c>
      <c r="I708" t="s">
        <v>331</v>
      </c>
      <c r="J708" t="s">
        <v>332</v>
      </c>
      <c r="K708" t="s">
        <v>333</v>
      </c>
      <c r="L708" t="s">
        <v>334</v>
      </c>
      <c r="M708">
        <v>4980</v>
      </c>
      <c r="N708" t="s">
        <v>62</v>
      </c>
      <c r="P708" t="s">
        <v>62</v>
      </c>
      <c r="Q708" t="s">
        <v>62</v>
      </c>
    </row>
    <row r="709" spans="1:17" x14ac:dyDescent="0.2">
      <c r="A709">
        <v>10955</v>
      </c>
      <c r="B709" t="s">
        <v>88</v>
      </c>
      <c r="C709">
        <v>8</v>
      </c>
      <c r="D709" s="1">
        <v>35871</v>
      </c>
      <c r="E709" s="1">
        <v>35899</v>
      </c>
      <c r="F709" s="1">
        <v>35874</v>
      </c>
      <c r="G709">
        <v>2</v>
      </c>
      <c r="H709">
        <v>3.26</v>
      </c>
      <c r="I709" t="s">
        <v>89</v>
      </c>
      <c r="J709" t="s">
        <v>90</v>
      </c>
      <c r="K709" t="s">
        <v>91</v>
      </c>
      <c r="L709" t="s">
        <v>18</v>
      </c>
      <c r="M709" t="s">
        <v>92</v>
      </c>
      <c r="N709" t="s">
        <v>93</v>
      </c>
      <c r="P709" t="s">
        <v>93</v>
      </c>
      <c r="Q709" t="s">
        <v>93</v>
      </c>
    </row>
    <row r="710" spans="1:17" x14ac:dyDescent="0.2">
      <c r="A710">
        <v>10956</v>
      </c>
      <c r="B710" t="s">
        <v>369</v>
      </c>
      <c r="C710">
        <v>6</v>
      </c>
      <c r="D710" s="1">
        <v>35871</v>
      </c>
      <c r="E710" s="1">
        <v>35913</v>
      </c>
      <c r="F710" s="1">
        <v>35874</v>
      </c>
      <c r="G710">
        <v>2</v>
      </c>
      <c r="H710">
        <v>44.65</v>
      </c>
      <c r="I710" t="s">
        <v>370</v>
      </c>
      <c r="J710" t="s">
        <v>371</v>
      </c>
      <c r="K710" t="s">
        <v>372</v>
      </c>
      <c r="L710" t="s">
        <v>18</v>
      </c>
      <c r="M710">
        <v>68306</v>
      </c>
      <c r="N710" t="s">
        <v>24</v>
      </c>
      <c r="P710" t="s">
        <v>24</v>
      </c>
      <c r="Q710" t="s">
        <v>24</v>
      </c>
    </row>
    <row r="711" spans="1:17" x14ac:dyDescent="0.2">
      <c r="A711">
        <v>10957</v>
      </c>
      <c r="B711" t="s">
        <v>57</v>
      </c>
      <c r="C711">
        <v>8</v>
      </c>
      <c r="D711" s="1">
        <v>35872</v>
      </c>
      <c r="E711" s="1">
        <v>35900</v>
      </c>
      <c r="F711" s="1">
        <v>35881</v>
      </c>
      <c r="G711">
        <v>3</v>
      </c>
      <c r="H711">
        <v>105.36</v>
      </c>
      <c r="I711" t="s">
        <v>58</v>
      </c>
      <c r="J711" t="s">
        <v>59</v>
      </c>
      <c r="K711" t="s">
        <v>60</v>
      </c>
      <c r="L711" t="s">
        <v>61</v>
      </c>
      <c r="M711">
        <v>5022</v>
      </c>
      <c r="N711" t="s">
        <v>62</v>
      </c>
      <c r="P711" t="s">
        <v>62</v>
      </c>
      <c r="Q711" t="s">
        <v>62</v>
      </c>
    </row>
    <row r="712" spans="1:17" x14ac:dyDescent="0.2">
      <c r="A712">
        <v>10958</v>
      </c>
      <c r="B712" t="s">
        <v>339</v>
      </c>
      <c r="C712">
        <v>7</v>
      </c>
      <c r="D712" s="1">
        <v>35872</v>
      </c>
      <c r="E712" s="1">
        <v>35900</v>
      </c>
      <c r="F712" s="1">
        <v>35881</v>
      </c>
      <c r="G712">
        <v>2</v>
      </c>
      <c r="H712">
        <v>49.56</v>
      </c>
      <c r="I712" t="s">
        <v>340</v>
      </c>
      <c r="J712" t="s">
        <v>341</v>
      </c>
      <c r="K712" t="s">
        <v>342</v>
      </c>
      <c r="L712" t="s">
        <v>18</v>
      </c>
      <c r="M712">
        <v>1010</v>
      </c>
      <c r="N712" t="s">
        <v>343</v>
      </c>
      <c r="P712" t="s">
        <v>343</v>
      </c>
      <c r="Q712" t="s">
        <v>343</v>
      </c>
    </row>
    <row r="713" spans="1:17" x14ac:dyDescent="0.2">
      <c r="A713">
        <v>10959</v>
      </c>
      <c r="B713" t="s">
        <v>348</v>
      </c>
      <c r="C713">
        <v>6</v>
      </c>
      <c r="D713" s="1">
        <v>35872</v>
      </c>
      <c r="E713" s="1">
        <v>35914</v>
      </c>
      <c r="F713" s="1">
        <v>35877</v>
      </c>
      <c r="G713">
        <v>2</v>
      </c>
      <c r="H713">
        <v>4.9800000000000004</v>
      </c>
      <c r="I713" t="s">
        <v>349</v>
      </c>
      <c r="J713" t="s">
        <v>350</v>
      </c>
      <c r="K713">
        <v>442</v>
      </c>
      <c r="L713" t="s">
        <v>351</v>
      </c>
      <c r="M713" t="s">
        <v>55</v>
      </c>
      <c r="N713" t="s">
        <v>352</v>
      </c>
      <c r="O713" t="s">
        <v>31</v>
      </c>
      <c r="P713" t="s">
        <v>31</v>
      </c>
      <c r="Q713" t="s">
        <v>31</v>
      </c>
    </row>
    <row r="714" spans="1:17" x14ac:dyDescent="0.2">
      <c r="A714">
        <v>10960</v>
      </c>
      <c r="B714" t="s">
        <v>57</v>
      </c>
      <c r="C714">
        <v>3</v>
      </c>
      <c r="D714" s="1">
        <v>35873</v>
      </c>
      <c r="E714" s="1">
        <v>35887</v>
      </c>
      <c r="F714" s="1">
        <v>35893</v>
      </c>
      <c r="G714">
        <v>1</v>
      </c>
      <c r="H714">
        <v>2.08</v>
      </c>
      <c r="I714" t="s">
        <v>58</v>
      </c>
      <c r="J714" t="s">
        <v>59</v>
      </c>
      <c r="K714" t="s">
        <v>60</v>
      </c>
      <c r="L714" t="s">
        <v>61</v>
      </c>
      <c r="M714">
        <v>5022</v>
      </c>
      <c r="N714" t="s">
        <v>62</v>
      </c>
      <c r="P714" t="s">
        <v>62</v>
      </c>
      <c r="Q714" t="s">
        <v>62</v>
      </c>
    </row>
    <row r="715" spans="1:17" x14ac:dyDescent="0.2">
      <c r="A715">
        <v>10961</v>
      </c>
      <c r="B715" t="s">
        <v>305</v>
      </c>
      <c r="C715">
        <v>8</v>
      </c>
      <c r="D715" s="1">
        <v>35873</v>
      </c>
      <c r="E715" s="1">
        <v>35901</v>
      </c>
      <c r="F715" s="1">
        <v>35884</v>
      </c>
      <c r="G715">
        <v>1</v>
      </c>
      <c r="H715">
        <v>104.47</v>
      </c>
      <c r="I715" t="s">
        <v>306</v>
      </c>
      <c r="J715" t="s">
        <v>307</v>
      </c>
      <c r="K715">
        <v>891</v>
      </c>
      <c r="L715" t="s">
        <v>177</v>
      </c>
      <c r="M715" t="s">
        <v>55</v>
      </c>
      <c r="N715" t="s">
        <v>308</v>
      </c>
      <c r="O715" t="s">
        <v>31</v>
      </c>
      <c r="P715" t="s">
        <v>31</v>
      </c>
      <c r="Q715" t="s">
        <v>31</v>
      </c>
    </row>
    <row r="716" spans="1:17" x14ac:dyDescent="0.2">
      <c r="A716">
        <v>10962</v>
      </c>
      <c r="B716" t="s">
        <v>122</v>
      </c>
      <c r="C716">
        <v>8</v>
      </c>
      <c r="D716" s="1">
        <v>35873</v>
      </c>
      <c r="E716" s="1">
        <v>35901</v>
      </c>
      <c r="F716" s="1">
        <v>35877</v>
      </c>
      <c r="G716">
        <v>2</v>
      </c>
      <c r="H716">
        <v>275.79000000000002</v>
      </c>
      <c r="I716" t="s">
        <v>123</v>
      </c>
      <c r="J716" t="s">
        <v>124</v>
      </c>
      <c r="K716" t="s">
        <v>125</v>
      </c>
      <c r="L716" t="s">
        <v>18</v>
      </c>
      <c r="M716" s="2" t="s">
        <v>126</v>
      </c>
      <c r="N716" t="s">
        <v>24</v>
      </c>
      <c r="P716" t="s">
        <v>24</v>
      </c>
      <c r="Q716" t="s">
        <v>24</v>
      </c>
    </row>
    <row r="717" spans="1:17" x14ac:dyDescent="0.2">
      <c r="A717">
        <v>10963</v>
      </c>
      <c r="B717" t="s">
        <v>239</v>
      </c>
      <c r="C717">
        <v>9</v>
      </c>
      <c r="D717" s="1">
        <v>35873</v>
      </c>
      <c r="E717" s="1">
        <v>35901</v>
      </c>
      <c r="F717" s="1">
        <v>35880</v>
      </c>
      <c r="G717">
        <v>3</v>
      </c>
      <c r="H717">
        <v>2.7</v>
      </c>
      <c r="I717" t="s">
        <v>240</v>
      </c>
      <c r="J717" t="s">
        <v>241</v>
      </c>
      <c r="K717" t="s">
        <v>242</v>
      </c>
      <c r="L717" t="s">
        <v>18</v>
      </c>
      <c r="M717">
        <v>1675</v>
      </c>
      <c r="N717" t="s">
        <v>243</v>
      </c>
      <c r="P717" t="s">
        <v>243</v>
      </c>
      <c r="Q717" t="s">
        <v>243</v>
      </c>
    </row>
    <row r="718" spans="1:17" x14ac:dyDescent="0.2">
      <c r="A718">
        <v>10964</v>
      </c>
      <c r="B718" t="s">
        <v>415</v>
      </c>
      <c r="C718">
        <v>3</v>
      </c>
      <c r="D718" s="1">
        <v>35874</v>
      </c>
      <c r="E718" s="1">
        <v>35902</v>
      </c>
      <c r="F718" s="1">
        <v>35878</v>
      </c>
      <c r="G718">
        <v>2</v>
      </c>
      <c r="H718">
        <v>87.38</v>
      </c>
      <c r="I718" t="s">
        <v>416</v>
      </c>
      <c r="J718">
        <v>25</v>
      </c>
      <c r="K718" t="s">
        <v>417</v>
      </c>
      <c r="L718" t="s">
        <v>418</v>
      </c>
      <c r="M718" t="s">
        <v>18</v>
      </c>
      <c r="N718">
        <v>75016</v>
      </c>
      <c r="O718" t="s">
        <v>19</v>
      </c>
      <c r="P718" t="s">
        <v>19</v>
      </c>
      <c r="Q718" t="s">
        <v>19</v>
      </c>
    </row>
    <row r="719" spans="1:17" x14ac:dyDescent="0.2">
      <c r="A719">
        <v>10965</v>
      </c>
      <c r="B719" t="s">
        <v>197</v>
      </c>
      <c r="C719">
        <v>6</v>
      </c>
      <c r="D719" s="1">
        <v>35874</v>
      </c>
      <c r="E719" s="1">
        <v>35902</v>
      </c>
      <c r="F719" s="1">
        <v>35884</v>
      </c>
      <c r="G719">
        <v>3</v>
      </c>
      <c r="H719">
        <v>144.38</v>
      </c>
      <c r="I719" t="s">
        <v>198</v>
      </c>
      <c r="J719" t="s">
        <v>199</v>
      </c>
      <c r="K719" t="s">
        <v>200</v>
      </c>
      <c r="L719" t="s">
        <v>201</v>
      </c>
      <c r="M719">
        <v>99508</v>
      </c>
      <c r="N719" t="s">
        <v>87</v>
      </c>
      <c r="P719" t="s">
        <v>87</v>
      </c>
      <c r="Q719" t="s">
        <v>87</v>
      </c>
    </row>
    <row r="720" spans="1:17" x14ac:dyDescent="0.2">
      <c r="A720">
        <v>10966</v>
      </c>
      <c r="B720" t="s">
        <v>42</v>
      </c>
      <c r="C720">
        <v>4</v>
      </c>
      <c r="D720" s="1">
        <v>35874</v>
      </c>
      <c r="E720" s="1">
        <v>35902</v>
      </c>
      <c r="F720" s="1">
        <v>35893</v>
      </c>
      <c r="G720">
        <v>1</v>
      </c>
      <c r="H720">
        <v>27.19</v>
      </c>
      <c r="I720" t="s">
        <v>43</v>
      </c>
      <c r="J720" t="s">
        <v>44</v>
      </c>
      <c r="K720" t="s">
        <v>45</v>
      </c>
      <c r="L720" t="s">
        <v>18</v>
      </c>
      <c r="M720">
        <v>3012</v>
      </c>
      <c r="N720" t="s">
        <v>46</v>
      </c>
      <c r="P720" t="s">
        <v>46</v>
      </c>
      <c r="Q720" t="s">
        <v>46</v>
      </c>
    </row>
    <row r="721" spans="1:17" x14ac:dyDescent="0.2">
      <c r="A721">
        <v>10967</v>
      </c>
      <c r="B721" t="s">
        <v>20</v>
      </c>
      <c r="C721">
        <v>2</v>
      </c>
      <c r="D721" s="1">
        <v>35877</v>
      </c>
      <c r="E721" s="1">
        <v>35905</v>
      </c>
      <c r="F721" s="1">
        <v>35887</v>
      </c>
      <c r="G721">
        <v>2</v>
      </c>
      <c r="H721">
        <v>62.22</v>
      </c>
      <c r="I721" t="s">
        <v>21</v>
      </c>
      <c r="J721" t="s">
        <v>22</v>
      </c>
      <c r="K721" t="s">
        <v>23</v>
      </c>
      <c r="L721" t="s">
        <v>18</v>
      </c>
      <c r="M721">
        <v>44087</v>
      </c>
      <c r="N721" t="s">
        <v>24</v>
      </c>
      <c r="P721" t="s">
        <v>24</v>
      </c>
      <c r="Q721" t="s">
        <v>24</v>
      </c>
    </row>
    <row r="722" spans="1:17" x14ac:dyDescent="0.2">
      <c r="A722">
        <v>10968</v>
      </c>
      <c r="B722" t="s">
        <v>63</v>
      </c>
      <c r="C722">
        <v>1</v>
      </c>
      <c r="D722" s="1">
        <v>35877</v>
      </c>
      <c r="E722" s="1">
        <v>35905</v>
      </c>
      <c r="F722" s="1">
        <v>35886</v>
      </c>
      <c r="G722">
        <v>3</v>
      </c>
      <c r="H722">
        <v>74.599999999999994</v>
      </c>
      <c r="I722" t="s">
        <v>64</v>
      </c>
      <c r="J722" t="s">
        <v>65</v>
      </c>
      <c r="K722" t="s">
        <v>66</v>
      </c>
      <c r="L722" t="s">
        <v>18</v>
      </c>
      <c r="M722">
        <v>8010</v>
      </c>
      <c r="N722" t="s">
        <v>67</v>
      </c>
      <c r="P722" t="s">
        <v>67</v>
      </c>
      <c r="Q722" t="s">
        <v>67</v>
      </c>
    </row>
    <row r="723" spans="1:17" x14ac:dyDescent="0.2">
      <c r="A723">
        <v>10969</v>
      </c>
      <c r="B723" t="s">
        <v>174</v>
      </c>
      <c r="C723">
        <v>1</v>
      </c>
      <c r="D723" s="1">
        <v>35877</v>
      </c>
      <c r="E723" s="1">
        <v>35905</v>
      </c>
      <c r="F723" s="1">
        <v>35884</v>
      </c>
      <c r="G723">
        <v>2</v>
      </c>
      <c r="H723">
        <v>0.21</v>
      </c>
      <c r="I723" t="s">
        <v>175</v>
      </c>
      <c r="J723" t="s">
        <v>176</v>
      </c>
      <c r="K723">
        <v>23</v>
      </c>
      <c r="L723" t="s">
        <v>177</v>
      </c>
      <c r="M723" t="s">
        <v>55</v>
      </c>
      <c r="N723" t="s">
        <v>178</v>
      </c>
      <c r="O723" t="s">
        <v>31</v>
      </c>
      <c r="P723" t="s">
        <v>31</v>
      </c>
      <c r="Q723" t="s">
        <v>31</v>
      </c>
    </row>
    <row r="724" spans="1:17" x14ac:dyDescent="0.2">
      <c r="A724">
        <v>10970</v>
      </c>
      <c r="B724" t="s">
        <v>236</v>
      </c>
      <c r="C724">
        <v>9</v>
      </c>
      <c r="D724" s="1">
        <v>35878</v>
      </c>
      <c r="E724" s="1">
        <v>35892</v>
      </c>
      <c r="F724" s="1">
        <v>35909</v>
      </c>
      <c r="G724">
        <v>1</v>
      </c>
      <c r="H724">
        <v>16.16</v>
      </c>
      <c r="I724" t="s">
        <v>237</v>
      </c>
      <c r="J724" t="s">
        <v>238</v>
      </c>
      <c r="K724">
        <v>67</v>
      </c>
      <c r="L724" t="s">
        <v>153</v>
      </c>
      <c r="M724" t="s">
        <v>18</v>
      </c>
      <c r="N724">
        <v>28023</v>
      </c>
      <c r="O724" t="s">
        <v>154</v>
      </c>
      <c r="P724" t="s">
        <v>154</v>
      </c>
      <c r="Q724" t="s">
        <v>154</v>
      </c>
    </row>
    <row r="725" spans="1:17" x14ac:dyDescent="0.2">
      <c r="A725">
        <v>10971</v>
      </c>
      <c r="B725" t="s">
        <v>411</v>
      </c>
      <c r="C725">
        <v>2</v>
      </c>
      <c r="D725" s="1">
        <v>35878</v>
      </c>
      <c r="E725" s="1">
        <v>35906</v>
      </c>
      <c r="F725" s="1">
        <v>35887</v>
      </c>
      <c r="G725">
        <v>2</v>
      </c>
      <c r="H725">
        <v>121.82</v>
      </c>
      <c r="I725" t="s">
        <v>412</v>
      </c>
      <c r="J725">
        <v>54</v>
      </c>
      <c r="K725" t="s">
        <v>413</v>
      </c>
      <c r="L725" t="s">
        <v>217</v>
      </c>
      <c r="M725" t="s">
        <v>18</v>
      </c>
      <c r="N725">
        <v>44000</v>
      </c>
      <c r="O725" t="s">
        <v>19</v>
      </c>
      <c r="P725" t="s">
        <v>19</v>
      </c>
      <c r="Q725" t="s">
        <v>19</v>
      </c>
    </row>
    <row r="726" spans="1:17" x14ac:dyDescent="0.2">
      <c r="A726">
        <v>10972</v>
      </c>
      <c r="B726" t="s">
        <v>419</v>
      </c>
      <c r="C726">
        <v>4</v>
      </c>
      <c r="D726" s="1">
        <v>35878</v>
      </c>
      <c r="E726" s="1">
        <v>35906</v>
      </c>
      <c r="F726" s="1">
        <v>35880</v>
      </c>
      <c r="G726">
        <v>2</v>
      </c>
      <c r="H726">
        <v>0.02</v>
      </c>
      <c r="I726" t="s">
        <v>420</v>
      </c>
      <c r="J726">
        <v>67</v>
      </c>
      <c r="K726" t="s">
        <v>421</v>
      </c>
      <c r="L726" t="s">
        <v>422</v>
      </c>
      <c r="M726" t="s">
        <v>18</v>
      </c>
      <c r="N726">
        <v>78000</v>
      </c>
      <c r="O726" t="s">
        <v>19</v>
      </c>
      <c r="P726" t="s">
        <v>19</v>
      </c>
      <c r="Q726" t="s">
        <v>19</v>
      </c>
    </row>
    <row r="727" spans="1:17" x14ac:dyDescent="0.2">
      <c r="A727">
        <v>10973</v>
      </c>
      <c r="B727" t="s">
        <v>419</v>
      </c>
      <c r="C727">
        <v>6</v>
      </c>
      <c r="D727" s="1">
        <v>35878</v>
      </c>
      <c r="E727" s="1">
        <v>35906</v>
      </c>
      <c r="F727" s="1">
        <v>35881</v>
      </c>
      <c r="G727">
        <v>2</v>
      </c>
      <c r="H727">
        <v>15.17</v>
      </c>
      <c r="I727" t="s">
        <v>420</v>
      </c>
      <c r="J727">
        <v>67</v>
      </c>
      <c r="K727" t="s">
        <v>421</v>
      </c>
      <c r="L727" t="s">
        <v>422</v>
      </c>
      <c r="M727" t="s">
        <v>18</v>
      </c>
      <c r="N727">
        <v>78000</v>
      </c>
      <c r="O727" t="s">
        <v>19</v>
      </c>
      <c r="P727" t="s">
        <v>19</v>
      </c>
      <c r="Q727" t="s">
        <v>19</v>
      </c>
    </row>
    <row r="728" spans="1:17" x14ac:dyDescent="0.2">
      <c r="A728">
        <v>10974</v>
      </c>
      <c r="B728" t="s">
        <v>117</v>
      </c>
      <c r="C728">
        <v>3</v>
      </c>
      <c r="D728" s="1">
        <v>35879</v>
      </c>
      <c r="E728" s="1">
        <v>35893</v>
      </c>
      <c r="F728" s="1">
        <v>35888</v>
      </c>
      <c r="G728">
        <v>3</v>
      </c>
      <c r="H728">
        <v>12.96</v>
      </c>
      <c r="I728" t="s">
        <v>118</v>
      </c>
      <c r="J728" t="s">
        <v>119</v>
      </c>
      <c r="K728" t="s">
        <v>120</v>
      </c>
      <c r="L728" t="s">
        <v>121</v>
      </c>
      <c r="M728">
        <v>82520</v>
      </c>
      <c r="N728" t="s">
        <v>87</v>
      </c>
      <c r="P728" t="s">
        <v>87</v>
      </c>
      <c r="Q728" t="s">
        <v>87</v>
      </c>
    </row>
    <row r="729" spans="1:17" x14ac:dyDescent="0.2">
      <c r="A729">
        <v>10975</v>
      </c>
      <c r="B729" t="s">
        <v>324</v>
      </c>
      <c r="C729">
        <v>1</v>
      </c>
      <c r="D729" s="1">
        <v>35879</v>
      </c>
      <c r="E729" s="1">
        <v>35907</v>
      </c>
      <c r="F729" s="1">
        <v>35881</v>
      </c>
      <c r="G729">
        <v>3</v>
      </c>
      <c r="H729">
        <v>32.270000000000003</v>
      </c>
      <c r="I729" t="s">
        <v>325</v>
      </c>
      <c r="J729" t="s">
        <v>326</v>
      </c>
      <c r="K729" t="s">
        <v>327</v>
      </c>
      <c r="L729" t="s">
        <v>328</v>
      </c>
      <c r="M729" t="s">
        <v>329</v>
      </c>
      <c r="N729" t="s">
        <v>254</v>
      </c>
      <c r="P729" t="s">
        <v>254</v>
      </c>
      <c r="Q729" t="s">
        <v>254</v>
      </c>
    </row>
    <row r="730" spans="1:17" x14ac:dyDescent="0.2">
      <c r="A730">
        <v>10976</v>
      </c>
      <c r="B730" t="s">
        <v>57</v>
      </c>
      <c r="C730">
        <v>1</v>
      </c>
      <c r="D730" s="1">
        <v>35879</v>
      </c>
      <c r="E730" s="1">
        <v>35921</v>
      </c>
      <c r="F730" s="1">
        <v>35888</v>
      </c>
      <c r="G730">
        <v>1</v>
      </c>
      <c r="H730">
        <v>37.97</v>
      </c>
      <c r="I730" t="s">
        <v>58</v>
      </c>
      <c r="J730" t="s">
        <v>59</v>
      </c>
      <c r="K730" t="s">
        <v>60</v>
      </c>
      <c r="L730" t="s">
        <v>61</v>
      </c>
      <c r="M730">
        <v>5022</v>
      </c>
      <c r="N730" t="s">
        <v>62</v>
      </c>
      <c r="P730" t="s">
        <v>62</v>
      </c>
      <c r="Q730" t="s">
        <v>62</v>
      </c>
    </row>
    <row r="731" spans="1:17" x14ac:dyDescent="0.2">
      <c r="A731">
        <v>10977</v>
      </c>
      <c r="B731" t="s">
        <v>88</v>
      </c>
      <c r="C731">
        <v>8</v>
      </c>
      <c r="D731" s="1">
        <v>35880</v>
      </c>
      <c r="E731" s="1">
        <v>35908</v>
      </c>
      <c r="F731" s="1">
        <v>35895</v>
      </c>
      <c r="G731">
        <v>3</v>
      </c>
      <c r="H731">
        <v>208.5</v>
      </c>
      <c r="I731" t="s">
        <v>89</v>
      </c>
      <c r="J731" t="s">
        <v>90</v>
      </c>
      <c r="K731" t="s">
        <v>91</v>
      </c>
      <c r="L731" t="s">
        <v>18</v>
      </c>
      <c r="M731" t="s">
        <v>92</v>
      </c>
      <c r="N731" t="s">
        <v>93</v>
      </c>
      <c r="P731" t="s">
        <v>93</v>
      </c>
      <c r="Q731" t="s">
        <v>93</v>
      </c>
    </row>
    <row r="732" spans="1:17" x14ac:dyDescent="0.2">
      <c r="A732">
        <v>10978</v>
      </c>
      <c r="B732" t="s">
        <v>384</v>
      </c>
      <c r="C732">
        <v>9</v>
      </c>
      <c r="D732" s="1">
        <v>35880</v>
      </c>
      <c r="E732" s="1">
        <v>35908</v>
      </c>
      <c r="F732" s="1">
        <v>35908</v>
      </c>
      <c r="G732">
        <v>2</v>
      </c>
      <c r="H732">
        <v>32.82</v>
      </c>
      <c r="I732" t="s">
        <v>385</v>
      </c>
      <c r="J732" t="s">
        <v>386</v>
      </c>
      <c r="K732" t="s">
        <v>387</v>
      </c>
      <c r="L732" t="s">
        <v>18</v>
      </c>
      <c r="M732" t="s">
        <v>388</v>
      </c>
      <c r="N732" t="s">
        <v>41</v>
      </c>
      <c r="P732" t="s">
        <v>41</v>
      </c>
      <c r="Q732" t="s">
        <v>41</v>
      </c>
    </row>
    <row r="733" spans="1:17" x14ac:dyDescent="0.2">
      <c r="A733">
        <v>10979</v>
      </c>
      <c r="B733" t="s">
        <v>63</v>
      </c>
      <c r="C733">
        <v>8</v>
      </c>
      <c r="D733" s="1">
        <v>35880</v>
      </c>
      <c r="E733" s="1">
        <v>35908</v>
      </c>
      <c r="F733" s="1">
        <v>35885</v>
      </c>
      <c r="G733">
        <v>2</v>
      </c>
      <c r="H733">
        <v>353.07</v>
      </c>
      <c r="I733" t="s">
        <v>64</v>
      </c>
      <c r="J733" t="s">
        <v>65</v>
      </c>
      <c r="K733" t="s">
        <v>66</v>
      </c>
      <c r="L733" t="s">
        <v>18</v>
      </c>
      <c r="M733">
        <v>8010</v>
      </c>
      <c r="N733" t="s">
        <v>67</v>
      </c>
      <c r="P733" t="s">
        <v>67</v>
      </c>
      <c r="Q733" t="s">
        <v>67</v>
      </c>
    </row>
    <row r="734" spans="1:17" x14ac:dyDescent="0.2">
      <c r="A734">
        <v>10980</v>
      </c>
      <c r="B734" t="s">
        <v>88</v>
      </c>
      <c r="C734">
        <v>4</v>
      </c>
      <c r="D734" s="1">
        <v>35881</v>
      </c>
      <c r="E734" s="1">
        <v>35923</v>
      </c>
      <c r="F734" s="1">
        <v>35902</v>
      </c>
      <c r="G734">
        <v>1</v>
      </c>
      <c r="H734">
        <v>1.26</v>
      </c>
      <c r="I734" t="s">
        <v>89</v>
      </c>
      <c r="J734" t="s">
        <v>90</v>
      </c>
      <c r="K734" t="s">
        <v>91</v>
      </c>
      <c r="L734" t="s">
        <v>18</v>
      </c>
      <c r="M734" t="s">
        <v>92</v>
      </c>
      <c r="N734" t="s">
        <v>93</v>
      </c>
      <c r="P734" t="s">
        <v>93</v>
      </c>
      <c r="Q734" t="s">
        <v>93</v>
      </c>
    </row>
    <row r="735" spans="1:17" x14ac:dyDescent="0.2">
      <c r="A735">
        <v>10981</v>
      </c>
      <c r="B735" t="s">
        <v>25</v>
      </c>
      <c r="C735">
        <v>1</v>
      </c>
      <c r="D735" s="1">
        <v>35881</v>
      </c>
      <c r="E735" s="1">
        <v>35909</v>
      </c>
      <c r="F735" s="1">
        <v>35887</v>
      </c>
      <c r="G735">
        <v>2</v>
      </c>
      <c r="H735">
        <v>193.37</v>
      </c>
      <c r="I735" t="s">
        <v>26</v>
      </c>
      <c r="J735" t="s">
        <v>27</v>
      </c>
      <c r="K735">
        <v>67</v>
      </c>
      <c r="L735" t="s">
        <v>28</v>
      </c>
      <c r="M735" t="s">
        <v>29</v>
      </c>
      <c r="N735" t="s">
        <v>30</v>
      </c>
      <c r="O735" t="s">
        <v>31</v>
      </c>
      <c r="P735" t="s">
        <v>31</v>
      </c>
      <c r="Q735" t="s">
        <v>31</v>
      </c>
    </row>
    <row r="736" spans="1:17" x14ac:dyDescent="0.2">
      <c r="A736">
        <v>10982</v>
      </c>
      <c r="B736" t="s">
        <v>324</v>
      </c>
      <c r="C736">
        <v>2</v>
      </c>
      <c r="D736" s="1">
        <v>35881</v>
      </c>
      <c r="E736" s="1">
        <v>35909</v>
      </c>
      <c r="F736" s="1">
        <v>35893</v>
      </c>
      <c r="G736">
        <v>1</v>
      </c>
      <c r="H736">
        <v>14.01</v>
      </c>
      <c r="I736" t="s">
        <v>325</v>
      </c>
      <c r="J736" t="s">
        <v>326</v>
      </c>
      <c r="K736" t="s">
        <v>327</v>
      </c>
      <c r="L736" t="s">
        <v>328</v>
      </c>
      <c r="M736" t="s">
        <v>329</v>
      </c>
      <c r="N736" t="s">
        <v>254</v>
      </c>
      <c r="P736" t="s">
        <v>254</v>
      </c>
      <c r="Q736" t="s">
        <v>254</v>
      </c>
    </row>
    <row r="737" spans="1:17" x14ac:dyDescent="0.2">
      <c r="A737">
        <v>10983</v>
      </c>
      <c r="B737" t="s">
        <v>231</v>
      </c>
      <c r="C737">
        <v>2</v>
      </c>
      <c r="D737" s="1">
        <v>35881</v>
      </c>
      <c r="E737" s="1">
        <v>35909</v>
      </c>
      <c r="F737" s="1">
        <v>35891</v>
      </c>
      <c r="G737">
        <v>2</v>
      </c>
      <c r="H737">
        <v>657.54</v>
      </c>
      <c r="I737" t="s">
        <v>232</v>
      </c>
      <c r="J737" t="s">
        <v>233</v>
      </c>
      <c r="K737" t="s">
        <v>234</v>
      </c>
      <c r="L737" t="s">
        <v>235</v>
      </c>
      <c r="M737">
        <v>83720</v>
      </c>
      <c r="N737" t="s">
        <v>87</v>
      </c>
      <c r="P737" t="s">
        <v>87</v>
      </c>
      <c r="Q737" t="s">
        <v>87</v>
      </c>
    </row>
    <row r="738" spans="1:17" x14ac:dyDescent="0.2">
      <c r="A738">
        <v>10984</v>
      </c>
      <c r="B738" t="s">
        <v>231</v>
      </c>
      <c r="C738">
        <v>1</v>
      </c>
      <c r="D738" s="1">
        <v>35884</v>
      </c>
      <c r="E738" s="1">
        <v>35912</v>
      </c>
      <c r="F738" s="1">
        <v>35888</v>
      </c>
      <c r="G738">
        <v>3</v>
      </c>
      <c r="H738">
        <v>211.22</v>
      </c>
      <c r="I738" t="s">
        <v>232</v>
      </c>
      <c r="J738" t="s">
        <v>233</v>
      </c>
      <c r="K738" t="s">
        <v>234</v>
      </c>
      <c r="L738" t="s">
        <v>235</v>
      </c>
      <c r="M738">
        <v>83720</v>
      </c>
      <c r="N738" t="s">
        <v>87</v>
      </c>
      <c r="P738" t="s">
        <v>87</v>
      </c>
      <c r="Q738" t="s">
        <v>87</v>
      </c>
    </row>
    <row r="739" spans="1:17" x14ac:dyDescent="0.2">
      <c r="A739">
        <v>10985</v>
      </c>
      <c r="B739" t="s">
        <v>183</v>
      </c>
      <c r="C739">
        <v>2</v>
      </c>
      <c r="D739" s="1">
        <v>35884</v>
      </c>
      <c r="E739" s="1">
        <v>35912</v>
      </c>
      <c r="F739" s="1">
        <v>35887</v>
      </c>
      <c r="G739">
        <v>1</v>
      </c>
      <c r="H739">
        <v>91.51</v>
      </c>
      <c r="I739" t="s">
        <v>184</v>
      </c>
      <c r="J739" t="s">
        <v>185</v>
      </c>
      <c r="K739" t="s">
        <v>186</v>
      </c>
      <c r="L739" t="s">
        <v>187</v>
      </c>
      <c r="M739" t="s">
        <v>18</v>
      </c>
      <c r="N739" t="s">
        <v>188</v>
      </c>
      <c r="P739" t="s">
        <v>188</v>
      </c>
      <c r="Q739" t="s">
        <v>188</v>
      </c>
    </row>
    <row r="740" spans="1:17" x14ac:dyDescent="0.2">
      <c r="A740">
        <v>10986</v>
      </c>
      <c r="B740" t="s">
        <v>339</v>
      </c>
      <c r="C740">
        <v>8</v>
      </c>
      <c r="D740" s="1">
        <v>35884</v>
      </c>
      <c r="E740" s="1">
        <v>35912</v>
      </c>
      <c r="F740" s="1">
        <v>35906</v>
      </c>
      <c r="G740">
        <v>2</v>
      </c>
      <c r="H740">
        <v>217.86</v>
      </c>
      <c r="I740" t="s">
        <v>340</v>
      </c>
      <c r="J740" t="s">
        <v>341</v>
      </c>
      <c r="K740" t="s">
        <v>342</v>
      </c>
      <c r="L740" t="s">
        <v>18</v>
      </c>
      <c r="M740">
        <v>1010</v>
      </c>
      <c r="N740" t="s">
        <v>343</v>
      </c>
      <c r="P740" t="s">
        <v>343</v>
      </c>
      <c r="Q740" t="s">
        <v>343</v>
      </c>
    </row>
    <row r="741" spans="1:17" x14ac:dyDescent="0.2">
      <c r="A741">
        <v>10987</v>
      </c>
      <c r="B741" t="s">
        <v>289</v>
      </c>
      <c r="C741">
        <v>8</v>
      </c>
      <c r="D741" s="1">
        <v>35885</v>
      </c>
      <c r="E741" s="1">
        <v>35913</v>
      </c>
      <c r="F741" s="1">
        <v>35891</v>
      </c>
      <c r="G741">
        <v>1</v>
      </c>
      <c r="H741">
        <v>185.48</v>
      </c>
      <c r="I741" t="s">
        <v>290</v>
      </c>
      <c r="J741" t="s">
        <v>291</v>
      </c>
      <c r="K741" t="s">
        <v>171</v>
      </c>
      <c r="L741" t="s">
        <v>18</v>
      </c>
      <c r="M741" t="s">
        <v>292</v>
      </c>
      <c r="N741" t="s">
        <v>173</v>
      </c>
      <c r="P741" t="s">
        <v>173</v>
      </c>
      <c r="Q741" t="s">
        <v>173</v>
      </c>
    </row>
    <row r="742" spans="1:17" x14ac:dyDescent="0.2">
      <c r="A742">
        <v>10988</v>
      </c>
      <c r="B742" t="s">
        <v>82</v>
      </c>
      <c r="C742">
        <v>3</v>
      </c>
      <c r="D742" s="1">
        <v>35885</v>
      </c>
      <c r="E742" s="1">
        <v>35913</v>
      </c>
      <c r="F742" s="1">
        <v>35895</v>
      </c>
      <c r="G742">
        <v>2</v>
      </c>
      <c r="H742">
        <v>61.14</v>
      </c>
      <c r="I742" t="s">
        <v>83</v>
      </c>
      <c r="J742" t="s">
        <v>84</v>
      </c>
      <c r="K742" t="s">
        <v>85</v>
      </c>
      <c r="L742" t="s">
        <v>86</v>
      </c>
      <c r="M742">
        <v>87110</v>
      </c>
      <c r="N742" t="s">
        <v>87</v>
      </c>
      <c r="P742" t="s">
        <v>87</v>
      </c>
      <c r="Q742" t="s">
        <v>87</v>
      </c>
    </row>
    <row r="743" spans="1:17" x14ac:dyDescent="0.2">
      <c r="A743">
        <v>10989</v>
      </c>
      <c r="B743" t="s">
        <v>78</v>
      </c>
      <c r="C743">
        <v>2</v>
      </c>
      <c r="D743" s="1">
        <v>35885</v>
      </c>
      <c r="E743" s="1">
        <v>35913</v>
      </c>
      <c r="F743" s="1">
        <v>35887</v>
      </c>
      <c r="G743">
        <v>1</v>
      </c>
      <c r="H743">
        <v>34.76</v>
      </c>
      <c r="I743" t="s">
        <v>79</v>
      </c>
      <c r="J743" t="s">
        <v>80</v>
      </c>
      <c r="K743">
        <v>12</v>
      </c>
      <c r="L743" t="s">
        <v>28</v>
      </c>
      <c r="M743" t="s">
        <v>29</v>
      </c>
      <c r="N743" t="s">
        <v>81</v>
      </c>
      <c r="O743" t="s">
        <v>31</v>
      </c>
      <c r="P743" t="s">
        <v>31</v>
      </c>
      <c r="Q743" t="s">
        <v>31</v>
      </c>
    </row>
    <row r="744" spans="1:17" x14ac:dyDescent="0.2">
      <c r="A744">
        <v>10990</v>
      </c>
      <c r="B744" t="s">
        <v>63</v>
      </c>
      <c r="C744">
        <v>2</v>
      </c>
      <c r="D744" s="1">
        <v>35886</v>
      </c>
      <c r="E744" s="1">
        <v>35928</v>
      </c>
      <c r="F744" s="1">
        <v>35892</v>
      </c>
      <c r="G744">
        <v>3</v>
      </c>
      <c r="H744">
        <v>117.61</v>
      </c>
      <c r="I744" t="s">
        <v>64</v>
      </c>
      <c r="J744" t="s">
        <v>65</v>
      </c>
      <c r="K744" t="s">
        <v>66</v>
      </c>
      <c r="L744" t="s">
        <v>18</v>
      </c>
      <c r="M744">
        <v>8010</v>
      </c>
      <c r="N744" t="s">
        <v>67</v>
      </c>
      <c r="P744" t="s">
        <v>67</v>
      </c>
      <c r="Q744" t="s">
        <v>67</v>
      </c>
    </row>
    <row r="745" spans="1:17" x14ac:dyDescent="0.2">
      <c r="A745">
        <v>10991</v>
      </c>
      <c r="B745" t="s">
        <v>122</v>
      </c>
      <c r="C745">
        <v>1</v>
      </c>
      <c r="D745" s="1">
        <v>35886</v>
      </c>
      <c r="E745" s="1">
        <v>35914</v>
      </c>
      <c r="F745" s="1">
        <v>35892</v>
      </c>
      <c r="G745">
        <v>1</v>
      </c>
      <c r="H745">
        <v>38.51</v>
      </c>
      <c r="I745" t="s">
        <v>123</v>
      </c>
      <c r="J745" t="s">
        <v>124</v>
      </c>
      <c r="K745" t="s">
        <v>125</v>
      </c>
      <c r="L745" t="s">
        <v>18</v>
      </c>
      <c r="M745" s="2" t="s">
        <v>126</v>
      </c>
      <c r="N745" t="s">
        <v>24</v>
      </c>
      <c r="P745" t="s">
        <v>24</v>
      </c>
      <c r="Q745" t="s">
        <v>24</v>
      </c>
    </row>
    <row r="746" spans="1:17" x14ac:dyDescent="0.2">
      <c r="A746">
        <v>10992</v>
      </c>
      <c r="B746" t="s">
        <v>211</v>
      </c>
      <c r="C746">
        <v>1</v>
      </c>
      <c r="D746" s="1">
        <v>35886</v>
      </c>
      <c r="E746" s="1">
        <v>35914</v>
      </c>
      <c r="F746" s="1">
        <v>35888</v>
      </c>
      <c r="G746">
        <v>3</v>
      </c>
      <c r="H746">
        <v>4.2699999999999996</v>
      </c>
      <c r="I746" t="s">
        <v>212</v>
      </c>
      <c r="J746" t="s">
        <v>213</v>
      </c>
      <c r="K746" t="s">
        <v>205</v>
      </c>
      <c r="L746" t="s">
        <v>206</v>
      </c>
      <c r="M746">
        <v>97201</v>
      </c>
      <c r="N746" t="s">
        <v>87</v>
      </c>
      <c r="P746" t="s">
        <v>87</v>
      </c>
      <c r="Q746" t="s">
        <v>87</v>
      </c>
    </row>
    <row r="747" spans="1:17" x14ac:dyDescent="0.2">
      <c r="A747">
        <v>10993</v>
      </c>
      <c r="B747" t="s">
        <v>88</v>
      </c>
      <c r="C747">
        <v>7</v>
      </c>
      <c r="D747" s="1">
        <v>35886</v>
      </c>
      <c r="E747" s="1">
        <v>35914</v>
      </c>
      <c r="F747" s="1">
        <v>35895</v>
      </c>
      <c r="G747">
        <v>3</v>
      </c>
      <c r="H747">
        <v>8.81</v>
      </c>
      <c r="I747" t="s">
        <v>89</v>
      </c>
      <c r="J747" t="s">
        <v>90</v>
      </c>
      <c r="K747" t="s">
        <v>91</v>
      </c>
      <c r="L747" t="s">
        <v>18</v>
      </c>
      <c r="M747" t="s">
        <v>92</v>
      </c>
      <c r="N747" t="s">
        <v>93</v>
      </c>
      <c r="P747" t="s">
        <v>93</v>
      </c>
      <c r="Q747" t="s">
        <v>93</v>
      </c>
    </row>
    <row r="748" spans="1:17" x14ac:dyDescent="0.2">
      <c r="A748">
        <v>10994</v>
      </c>
      <c r="B748" t="s">
        <v>301</v>
      </c>
      <c r="C748">
        <v>2</v>
      </c>
      <c r="D748" s="1">
        <v>35887</v>
      </c>
      <c r="E748" s="1">
        <v>35901</v>
      </c>
      <c r="F748" s="1">
        <v>35894</v>
      </c>
      <c r="G748">
        <v>3</v>
      </c>
      <c r="H748">
        <v>65.53</v>
      </c>
      <c r="I748" t="s">
        <v>302</v>
      </c>
      <c r="J748" t="s">
        <v>303</v>
      </c>
      <c r="K748" t="s">
        <v>304</v>
      </c>
      <c r="L748" t="s">
        <v>18</v>
      </c>
      <c r="M748">
        <v>8200</v>
      </c>
      <c r="N748" t="s">
        <v>262</v>
      </c>
      <c r="P748" t="s">
        <v>262</v>
      </c>
      <c r="Q748" t="s">
        <v>262</v>
      </c>
    </row>
    <row r="749" spans="1:17" x14ac:dyDescent="0.2">
      <c r="A749">
        <v>10995</v>
      </c>
      <c r="B749" t="s">
        <v>224</v>
      </c>
      <c r="C749">
        <v>1</v>
      </c>
      <c r="D749" s="1">
        <v>35887</v>
      </c>
      <c r="E749" s="1">
        <v>35915</v>
      </c>
      <c r="F749" s="1">
        <v>35891</v>
      </c>
      <c r="G749">
        <v>3</v>
      </c>
      <c r="H749">
        <v>46</v>
      </c>
      <c r="I749" t="s">
        <v>225</v>
      </c>
      <c r="J749" t="s">
        <v>226</v>
      </c>
      <c r="K749" t="s">
        <v>71</v>
      </c>
      <c r="L749" t="s">
        <v>18</v>
      </c>
      <c r="M749" s="2" t="s">
        <v>135</v>
      </c>
      <c r="N749" t="s">
        <v>73</v>
      </c>
      <c r="P749" t="s">
        <v>73</v>
      </c>
      <c r="Q749" t="s">
        <v>73</v>
      </c>
    </row>
    <row r="750" spans="1:17" x14ac:dyDescent="0.2">
      <c r="A750">
        <v>10996</v>
      </c>
      <c r="B750" t="s">
        <v>122</v>
      </c>
      <c r="C750">
        <v>4</v>
      </c>
      <c r="D750" s="1">
        <v>35887</v>
      </c>
      <c r="E750" s="1">
        <v>35915</v>
      </c>
      <c r="F750" s="1">
        <v>35895</v>
      </c>
      <c r="G750">
        <v>2</v>
      </c>
      <c r="H750">
        <v>1.1200000000000001</v>
      </c>
      <c r="I750" t="s">
        <v>123</v>
      </c>
      <c r="J750" t="s">
        <v>124</v>
      </c>
      <c r="K750" t="s">
        <v>125</v>
      </c>
      <c r="L750" t="s">
        <v>18</v>
      </c>
      <c r="M750" s="2" t="s">
        <v>126</v>
      </c>
      <c r="N750" t="s">
        <v>24</v>
      </c>
      <c r="P750" t="s">
        <v>24</v>
      </c>
      <c r="Q750" t="s">
        <v>24</v>
      </c>
    </row>
    <row r="751" spans="1:17" x14ac:dyDescent="0.2">
      <c r="A751">
        <v>10997</v>
      </c>
      <c r="B751" t="s">
        <v>155</v>
      </c>
      <c r="C751">
        <v>8</v>
      </c>
      <c r="D751" s="1">
        <v>35888</v>
      </c>
      <c r="E751" s="1">
        <v>35930</v>
      </c>
      <c r="F751" s="1">
        <v>35898</v>
      </c>
      <c r="G751">
        <v>2</v>
      </c>
      <c r="H751">
        <v>73.91</v>
      </c>
      <c r="I751" t="s">
        <v>156</v>
      </c>
      <c r="J751" t="s">
        <v>157</v>
      </c>
      <c r="K751" t="s">
        <v>158</v>
      </c>
      <c r="L751" t="s">
        <v>159</v>
      </c>
      <c r="M751">
        <v>3508</v>
      </c>
      <c r="N751" t="s">
        <v>62</v>
      </c>
      <c r="P751" t="s">
        <v>62</v>
      </c>
      <c r="Q751" t="s">
        <v>62</v>
      </c>
    </row>
    <row r="752" spans="1:17" x14ac:dyDescent="0.2">
      <c r="A752">
        <v>10998</v>
      </c>
      <c r="B752" t="s">
        <v>309</v>
      </c>
      <c r="C752">
        <v>8</v>
      </c>
      <c r="D752" s="1">
        <v>35888</v>
      </c>
      <c r="E752" s="1">
        <v>35902</v>
      </c>
      <c r="F752" s="1">
        <v>35902</v>
      </c>
      <c r="G752">
        <v>2</v>
      </c>
      <c r="H752">
        <v>20.309999999999999</v>
      </c>
      <c r="I752" t="s">
        <v>310</v>
      </c>
      <c r="J752" t="s">
        <v>311</v>
      </c>
      <c r="K752" t="s">
        <v>312</v>
      </c>
      <c r="L752" t="s">
        <v>18</v>
      </c>
      <c r="M752" t="s">
        <v>313</v>
      </c>
      <c r="N752" t="s">
        <v>314</v>
      </c>
      <c r="P752" t="s">
        <v>314</v>
      </c>
      <c r="Q752" t="s">
        <v>314</v>
      </c>
    </row>
    <row r="753" spans="1:17" x14ac:dyDescent="0.2">
      <c r="A753">
        <v>10999</v>
      </c>
      <c r="B753" t="s">
        <v>74</v>
      </c>
      <c r="C753">
        <v>6</v>
      </c>
      <c r="D753" s="1">
        <v>35888</v>
      </c>
      <c r="E753" s="1">
        <v>35916</v>
      </c>
      <c r="F753" s="1">
        <v>35895</v>
      </c>
      <c r="G753">
        <v>2</v>
      </c>
      <c r="H753">
        <v>96.35</v>
      </c>
      <c r="I753" t="s">
        <v>75</v>
      </c>
      <c r="J753" t="s">
        <v>76</v>
      </c>
      <c r="K753" t="s">
        <v>77</v>
      </c>
      <c r="L753" t="s">
        <v>18</v>
      </c>
      <c r="M753">
        <v>50739</v>
      </c>
      <c r="N753" t="s">
        <v>24</v>
      </c>
      <c r="P753" t="s">
        <v>24</v>
      </c>
      <c r="Q753" t="s">
        <v>24</v>
      </c>
    </row>
    <row r="754" spans="1:17" x14ac:dyDescent="0.2">
      <c r="A754">
        <v>11000</v>
      </c>
      <c r="B754" t="s">
        <v>82</v>
      </c>
      <c r="C754">
        <v>2</v>
      </c>
      <c r="D754" s="1">
        <v>35891</v>
      </c>
      <c r="E754" s="1">
        <v>35919</v>
      </c>
      <c r="F754" s="1">
        <v>35899</v>
      </c>
      <c r="G754">
        <v>3</v>
      </c>
      <c r="H754">
        <v>55.12</v>
      </c>
      <c r="I754" t="s">
        <v>83</v>
      </c>
      <c r="J754" t="s">
        <v>84</v>
      </c>
      <c r="K754" t="s">
        <v>85</v>
      </c>
      <c r="L754" t="s">
        <v>86</v>
      </c>
      <c r="M754">
        <v>87110</v>
      </c>
      <c r="N754" t="s">
        <v>87</v>
      </c>
      <c r="P754" t="s">
        <v>87</v>
      </c>
      <c r="Q754" t="s">
        <v>87</v>
      </c>
    </row>
    <row r="755" spans="1:17" x14ac:dyDescent="0.2">
      <c r="A755">
        <v>11001</v>
      </c>
      <c r="B755" t="s">
        <v>88</v>
      </c>
      <c r="C755">
        <v>2</v>
      </c>
      <c r="D755" s="1">
        <v>35891</v>
      </c>
      <c r="E755" s="1">
        <v>35919</v>
      </c>
      <c r="F755" s="1">
        <v>35899</v>
      </c>
      <c r="G755">
        <v>2</v>
      </c>
      <c r="H755">
        <v>197.3</v>
      </c>
      <c r="I755" t="s">
        <v>89</v>
      </c>
      <c r="J755" t="s">
        <v>90</v>
      </c>
      <c r="K755" t="s">
        <v>91</v>
      </c>
      <c r="L755" t="s">
        <v>18</v>
      </c>
      <c r="M755" t="s">
        <v>92</v>
      </c>
      <c r="N755" t="s">
        <v>93</v>
      </c>
      <c r="P755" t="s">
        <v>93</v>
      </c>
      <c r="Q755" t="s">
        <v>93</v>
      </c>
    </row>
    <row r="756" spans="1:17" x14ac:dyDescent="0.2">
      <c r="A756">
        <v>11002</v>
      </c>
      <c r="B756" t="s">
        <v>231</v>
      </c>
      <c r="C756">
        <v>4</v>
      </c>
      <c r="D756" s="1">
        <v>35891</v>
      </c>
      <c r="E756" s="1">
        <v>35919</v>
      </c>
      <c r="F756" s="1">
        <v>35901</v>
      </c>
      <c r="G756">
        <v>1</v>
      </c>
      <c r="H756">
        <v>141.16</v>
      </c>
      <c r="I756" t="s">
        <v>232</v>
      </c>
      <c r="J756" t="s">
        <v>233</v>
      </c>
      <c r="K756" t="s">
        <v>234</v>
      </c>
      <c r="L756" t="s">
        <v>235</v>
      </c>
      <c r="M756">
        <v>83720</v>
      </c>
      <c r="N756" t="s">
        <v>87</v>
      </c>
      <c r="P756" t="s">
        <v>87</v>
      </c>
      <c r="Q756" t="s">
        <v>87</v>
      </c>
    </row>
    <row r="757" spans="1:17" x14ac:dyDescent="0.2">
      <c r="A757">
        <v>11003</v>
      </c>
      <c r="B757" t="s">
        <v>402</v>
      </c>
      <c r="C757">
        <v>3</v>
      </c>
      <c r="D757" s="1">
        <v>35891</v>
      </c>
      <c r="E757" s="1">
        <v>35919</v>
      </c>
      <c r="F757" s="1">
        <v>35893</v>
      </c>
      <c r="G757">
        <v>3</v>
      </c>
      <c r="H757">
        <v>14.91</v>
      </c>
      <c r="I757" t="s">
        <v>403</v>
      </c>
      <c r="J757" t="s">
        <v>404</v>
      </c>
      <c r="K757" t="s">
        <v>405</v>
      </c>
      <c r="L757" t="s">
        <v>406</v>
      </c>
      <c r="M757">
        <v>59801</v>
      </c>
      <c r="N757" t="s">
        <v>87</v>
      </c>
      <c r="P757" t="s">
        <v>87</v>
      </c>
      <c r="Q757" t="s">
        <v>87</v>
      </c>
    </row>
    <row r="758" spans="1:17" x14ac:dyDescent="0.2">
      <c r="A758">
        <v>11004</v>
      </c>
      <c r="B758" t="s">
        <v>384</v>
      </c>
      <c r="C758">
        <v>3</v>
      </c>
      <c r="D758" s="1">
        <v>35892</v>
      </c>
      <c r="E758" s="1">
        <v>35920</v>
      </c>
      <c r="F758" s="1">
        <v>35905</v>
      </c>
      <c r="G758">
        <v>1</v>
      </c>
      <c r="H758">
        <v>44.84</v>
      </c>
      <c r="I758" t="s">
        <v>385</v>
      </c>
      <c r="J758" t="s">
        <v>386</v>
      </c>
      <c r="K758" t="s">
        <v>387</v>
      </c>
      <c r="L758" t="s">
        <v>18</v>
      </c>
      <c r="M758" t="s">
        <v>388</v>
      </c>
      <c r="N758" t="s">
        <v>41</v>
      </c>
      <c r="P758" t="s">
        <v>41</v>
      </c>
      <c r="Q758" t="s">
        <v>41</v>
      </c>
    </row>
    <row r="759" spans="1:17" x14ac:dyDescent="0.2">
      <c r="A759">
        <v>11005</v>
      </c>
      <c r="B759" t="s">
        <v>398</v>
      </c>
      <c r="C759">
        <v>2</v>
      </c>
      <c r="D759" s="1">
        <v>35892</v>
      </c>
      <c r="E759" s="1">
        <v>35920</v>
      </c>
      <c r="F759" s="1">
        <v>35895</v>
      </c>
      <c r="G759">
        <v>1</v>
      </c>
      <c r="H759">
        <v>0.75</v>
      </c>
      <c r="I759" t="s">
        <v>399</v>
      </c>
      <c r="J759" t="s">
        <v>400</v>
      </c>
      <c r="K759" t="s">
        <v>401</v>
      </c>
      <c r="L759" t="s">
        <v>18</v>
      </c>
      <c r="M759">
        <v>21240</v>
      </c>
      <c r="N759" t="s">
        <v>102</v>
      </c>
      <c r="P759" t="s">
        <v>102</v>
      </c>
      <c r="Q759" t="s">
        <v>102</v>
      </c>
    </row>
    <row r="760" spans="1:17" x14ac:dyDescent="0.2">
      <c r="A760">
        <v>11006</v>
      </c>
      <c r="B760" t="s">
        <v>380</v>
      </c>
      <c r="C760">
        <v>3</v>
      </c>
      <c r="D760" s="1">
        <v>35892</v>
      </c>
      <c r="E760" s="1">
        <v>35920</v>
      </c>
      <c r="F760" s="1">
        <v>35900</v>
      </c>
      <c r="G760">
        <v>2</v>
      </c>
      <c r="H760">
        <v>25.19</v>
      </c>
      <c r="I760" t="s">
        <v>381</v>
      </c>
      <c r="J760" t="s">
        <v>382</v>
      </c>
      <c r="K760" t="s">
        <v>383</v>
      </c>
      <c r="L760" t="s">
        <v>206</v>
      </c>
      <c r="M760">
        <v>97403</v>
      </c>
      <c r="N760" t="s">
        <v>87</v>
      </c>
      <c r="P760" t="s">
        <v>87</v>
      </c>
      <c r="Q760" t="s">
        <v>87</v>
      </c>
    </row>
    <row r="761" spans="1:17" x14ac:dyDescent="0.2">
      <c r="A761">
        <v>11007</v>
      </c>
      <c r="B761" t="s">
        <v>255</v>
      </c>
      <c r="C761">
        <v>8</v>
      </c>
      <c r="D761" s="1">
        <v>35893</v>
      </c>
      <c r="E761" s="1">
        <v>35921</v>
      </c>
      <c r="F761" s="1">
        <v>35898</v>
      </c>
      <c r="G761">
        <v>2</v>
      </c>
      <c r="H761">
        <v>202.24</v>
      </c>
      <c r="I761" t="s">
        <v>256</v>
      </c>
      <c r="J761" t="s">
        <v>257</v>
      </c>
      <c r="K761" t="s">
        <v>242</v>
      </c>
      <c r="L761" t="s">
        <v>18</v>
      </c>
      <c r="M761">
        <v>1756</v>
      </c>
      <c r="N761" t="s">
        <v>243</v>
      </c>
      <c r="P761" t="s">
        <v>243</v>
      </c>
      <c r="Q761" t="s">
        <v>243</v>
      </c>
    </row>
    <row r="762" spans="1:17" x14ac:dyDescent="0.2">
      <c r="A762">
        <v>11008</v>
      </c>
      <c r="B762" t="s">
        <v>63</v>
      </c>
      <c r="C762">
        <v>7</v>
      </c>
      <c r="D762" s="1">
        <v>35893</v>
      </c>
      <c r="E762" s="1">
        <v>35921</v>
      </c>
      <c r="F762" t="s">
        <v>18</v>
      </c>
      <c r="G762">
        <v>3</v>
      </c>
      <c r="H762">
        <v>79.459999999999994</v>
      </c>
      <c r="I762" t="s">
        <v>64</v>
      </c>
      <c r="J762" t="s">
        <v>65</v>
      </c>
      <c r="K762" t="s">
        <v>66</v>
      </c>
      <c r="L762" t="s">
        <v>18</v>
      </c>
      <c r="M762">
        <v>8010</v>
      </c>
      <c r="N762" t="s">
        <v>67</v>
      </c>
      <c r="P762" t="s">
        <v>67</v>
      </c>
      <c r="Q762" t="s">
        <v>67</v>
      </c>
    </row>
    <row r="763" spans="1:17" x14ac:dyDescent="0.2">
      <c r="A763">
        <v>11009</v>
      </c>
      <c r="B763" t="s">
        <v>193</v>
      </c>
      <c r="C763">
        <v>2</v>
      </c>
      <c r="D763" s="1">
        <v>35893</v>
      </c>
      <c r="E763" s="1">
        <v>35921</v>
      </c>
      <c r="F763" s="1">
        <v>35895</v>
      </c>
      <c r="G763">
        <v>1</v>
      </c>
      <c r="H763">
        <v>59.11</v>
      </c>
      <c r="I763" t="s">
        <v>194</v>
      </c>
      <c r="J763" t="s">
        <v>195</v>
      </c>
      <c r="K763">
        <v>33</v>
      </c>
      <c r="L763" t="s">
        <v>196</v>
      </c>
      <c r="M763" t="s">
        <v>18</v>
      </c>
      <c r="N763">
        <v>41101</v>
      </c>
      <c r="O763" t="s">
        <v>154</v>
      </c>
      <c r="P763" t="s">
        <v>154</v>
      </c>
      <c r="Q763" t="s">
        <v>154</v>
      </c>
    </row>
    <row r="764" spans="1:17" x14ac:dyDescent="0.2">
      <c r="A764">
        <v>11010</v>
      </c>
      <c r="B764" t="s">
        <v>164</v>
      </c>
      <c r="C764">
        <v>2</v>
      </c>
      <c r="D764" s="1">
        <v>35894</v>
      </c>
      <c r="E764" s="1">
        <v>35922</v>
      </c>
      <c r="F764" s="1">
        <v>35906</v>
      </c>
      <c r="G764">
        <v>2</v>
      </c>
      <c r="H764">
        <v>28.71</v>
      </c>
      <c r="I764" t="s">
        <v>165</v>
      </c>
      <c r="J764" t="s">
        <v>166</v>
      </c>
      <c r="K764" t="s">
        <v>167</v>
      </c>
      <c r="L764" t="s">
        <v>18</v>
      </c>
      <c r="M764">
        <v>42100</v>
      </c>
      <c r="N764" t="s">
        <v>131</v>
      </c>
      <c r="P764" t="s">
        <v>131</v>
      </c>
      <c r="Q764" t="s">
        <v>131</v>
      </c>
    </row>
    <row r="765" spans="1:17" x14ac:dyDescent="0.2">
      <c r="A765">
        <v>11011</v>
      </c>
      <c r="B765" t="s">
        <v>407</v>
      </c>
      <c r="C765">
        <v>3</v>
      </c>
      <c r="D765" s="1">
        <v>35894</v>
      </c>
      <c r="E765" s="1">
        <v>35922</v>
      </c>
      <c r="F765" s="1">
        <v>35898</v>
      </c>
      <c r="G765">
        <v>1</v>
      </c>
      <c r="H765">
        <v>1.21</v>
      </c>
      <c r="I765" t="s">
        <v>414</v>
      </c>
      <c r="J765" t="s">
        <v>409</v>
      </c>
      <c r="K765" t="s">
        <v>410</v>
      </c>
      <c r="L765" t="s">
        <v>18</v>
      </c>
      <c r="M765">
        <v>12209</v>
      </c>
      <c r="N765" t="s">
        <v>24</v>
      </c>
      <c r="P765" t="s">
        <v>24</v>
      </c>
      <c r="Q765" t="s">
        <v>24</v>
      </c>
    </row>
    <row r="766" spans="1:17" x14ac:dyDescent="0.2">
      <c r="A766">
        <v>11012</v>
      </c>
      <c r="B766" t="s">
        <v>103</v>
      </c>
      <c r="C766">
        <v>1</v>
      </c>
      <c r="D766" s="1">
        <v>35894</v>
      </c>
      <c r="E766" s="1">
        <v>35908</v>
      </c>
      <c r="F766" s="1">
        <v>35902</v>
      </c>
      <c r="G766">
        <v>3</v>
      </c>
      <c r="H766">
        <v>242.95</v>
      </c>
      <c r="I766" t="s">
        <v>104</v>
      </c>
      <c r="J766" t="s">
        <v>105</v>
      </c>
      <c r="K766" t="s">
        <v>106</v>
      </c>
      <c r="L766" t="s">
        <v>18</v>
      </c>
      <c r="M766">
        <v>80805</v>
      </c>
      <c r="N766" t="s">
        <v>24</v>
      </c>
      <c r="P766" t="s">
        <v>24</v>
      </c>
      <c r="Q766" t="s">
        <v>24</v>
      </c>
    </row>
    <row r="767" spans="1:17" x14ac:dyDescent="0.2">
      <c r="A767">
        <v>11013</v>
      </c>
      <c r="B767" t="s">
        <v>150</v>
      </c>
      <c r="C767">
        <v>2</v>
      </c>
      <c r="D767" s="1">
        <v>35894</v>
      </c>
      <c r="E767" s="1">
        <v>35922</v>
      </c>
      <c r="F767" s="1">
        <v>35895</v>
      </c>
      <c r="G767">
        <v>1</v>
      </c>
      <c r="H767">
        <v>32.99</v>
      </c>
      <c r="I767" t="s">
        <v>151</v>
      </c>
      <c r="J767" t="s">
        <v>152</v>
      </c>
      <c r="K767">
        <v>1</v>
      </c>
      <c r="L767" t="s">
        <v>153</v>
      </c>
      <c r="M767" t="s">
        <v>18</v>
      </c>
      <c r="N767">
        <v>28001</v>
      </c>
      <c r="O767" t="s">
        <v>154</v>
      </c>
      <c r="P767" t="s">
        <v>154</v>
      </c>
      <c r="Q767" t="s">
        <v>154</v>
      </c>
    </row>
    <row r="768" spans="1:17" x14ac:dyDescent="0.2">
      <c r="A768">
        <v>11014</v>
      </c>
      <c r="B768" t="s">
        <v>330</v>
      </c>
      <c r="C768">
        <v>2</v>
      </c>
      <c r="D768" s="1">
        <v>35895</v>
      </c>
      <c r="E768" s="1">
        <v>35923</v>
      </c>
      <c r="F768" s="1">
        <v>35900</v>
      </c>
      <c r="G768">
        <v>3</v>
      </c>
      <c r="H768">
        <v>23.6</v>
      </c>
      <c r="I768" t="s">
        <v>331</v>
      </c>
      <c r="J768" t="s">
        <v>332</v>
      </c>
      <c r="K768" t="s">
        <v>333</v>
      </c>
      <c r="L768" t="s">
        <v>334</v>
      </c>
      <c r="M768">
        <v>4980</v>
      </c>
      <c r="N768" t="s">
        <v>62</v>
      </c>
      <c r="P768" t="s">
        <v>62</v>
      </c>
      <c r="Q768" t="s">
        <v>62</v>
      </c>
    </row>
    <row r="769" spans="1:17" x14ac:dyDescent="0.2">
      <c r="A769">
        <v>11015</v>
      </c>
      <c r="B769" t="s">
        <v>319</v>
      </c>
      <c r="C769">
        <v>2</v>
      </c>
      <c r="D769" s="1">
        <v>35895</v>
      </c>
      <c r="E769" s="1">
        <v>35909</v>
      </c>
      <c r="F769" s="1">
        <v>35905</v>
      </c>
      <c r="G769">
        <v>2</v>
      </c>
      <c r="H769">
        <v>4.62</v>
      </c>
      <c r="I769" t="s">
        <v>320</v>
      </c>
      <c r="J769" t="s">
        <v>321</v>
      </c>
      <c r="K769" t="s">
        <v>322</v>
      </c>
      <c r="L769" t="s">
        <v>18</v>
      </c>
      <c r="M769">
        <v>4110</v>
      </c>
      <c r="N769" t="s">
        <v>323</v>
      </c>
      <c r="P769" t="s">
        <v>323</v>
      </c>
      <c r="Q769" t="s">
        <v>323</v>
      </c>
    </row>
    <row r="770" spans="1:17" x14ac:dyDescent="0.2">
      <c r="A770">
        <v>11016</v>
      </c>
      <c r="B770" t="s">
        <v>275</v>
      </c>
      <c r="C770">
        <v>9</v>
      </c>
      <c r="D770" s="1">
        <v>35895</v>
      </c>
      <c r="E770" s="1">
        <v>35923</v>
      </c>
      <c r="F770" s="1">
        <v>35898</v>
      </c>
      <c r="G770">
        <v>2</v>
      </c>
      <c r="H770">
        <v>33.799999999999997</v>
      </c>
      <c r="I770" t="s">
        <v>276</v>
      </c>
      <c r="J770" t="s">
        <v>277</v>
      </c>
      <c r="K770" t="s">
        <v>278</v>
      </c>
      <c r="L770" t="s">
        <v>279</v>
      </c>
      <c r="M770" t="s">
        <v>280</v>
      </c>
      <c r="N770" t="s">
        <v>173</v>
      </c>
      <c r="P770" t="s">
        <v>173</v>
      </c>
      <c r="Q770" t="s">
        <v>173</v>
      </c>
    </row>
    <row r="771" spans="1:17" x14ac:dyDescent="0.2">
      <c r="A771">
        <v>11017</v>
      </c>
      <c r="B771" t="s">
        <v>63</v>
      </c>
      <c r="C771">
        <v>9</v>
      </c>
      <c r="D771" s="1">
        <v>35898</v>
      </c>
      <c r="E771" s="1">
        <v>35926</v>
      </c>
      <c r="F771" s="1">
        <v>35905</v>
      </c>
      <c r="G771">
        <v>2</v>
      </c>
      <c r="H771">
        <v>754.26</v>
      </c>
      <c r="I771" t="s">
        <v>64</v>
      </c>
      <c r="J771" t="s">
        <v>65</v>
      </c>
      <c r="K771" t="s">
        <v>66</v>
      </c>
      <c r="L771" t="s">
        <v>18</v>
      </c>
      <c r="M771">
        <v>8010</v>
      </c>
      <c r="N771" t="s">
        <v>67</v>
      </c>
      <c r="P771" t="s">
        <v>67</v>
      </c>
      <c r="Q771" t="s">
        <v>67</v>
      </c>
    </row>
    <row r="772" spans="1:17" x14ac:dyDescent="0.2">
      <c r="A772">
        <v>11018</v>
      </c>
      <c r="B772" t="s">
        <v>202</v>
      </c>
      <c r="C772">
        <v>4</v>
      </c>
      <c r="D772" s="1">
        <v>35898</v>
      </c>
      <c r="E772" s="1">
        <v>35926</v>
      </c>
      <c r="F772" s="1">
        <v>35901</v>
      </c>
      <c r="G772">
        <v>2</v>
      </c>
      <c r="H772">
        <v>11.65</v>
      </c>
      <c r="I772" t="s">
        <v>203</v>
      </c>
      <c r="J772" t="s">
        <v>204</v>
      </c>
      <c r="K772" t="s">
        <v>205</v>
      </c>
      <c r="L772" t="s">
        <v>206</v>
      </c>
      <c r="M772">
        <v>97219</v>
      </c>
      <c r="N772" t="s">
        <v>87</v>
      </c>
      <c r="P772" t="s">
        <v>87</v>
      </c>
      <c r="Q772" t="s">
        <v>87</v>
      </c>
    </row>
    <row r="773" spans="1:17" x14ac:dyDescent="0.2">
      <c r="A773">
        <v>11019</v>
      </c>
      <c r="B773" t="s">
        <v>357</v>
      </c>
      <c r="C773">
        <v>6</v>
      </c>
      <c r="D773" s="1">
        <v>35898</v>
      </c>
      <c r="E773" s="1">
        <v>35926</v>
      </c>
      <c r="F773" t="s">
        <v>18</v>
      </c>
      <c r="G773">
        <v>3</v>
      </c>
      <c r="H773">
        <v>3.17</v>
      </c>
      <c r="I773" t="s">
        <v>358</v>
      </c>
      <c r="J773" t="s">
        <v>359</v>
      </c>
      <c r="K773" t="s">
        <v>342</v>
      </c>
      <c r="L773" t="s">
        <v>18</v>
      </c>
      <c r="M773">
        <v>1010</v>
      </c>
      <c r="N773" t="s">
        <v>343</v>
      </c>
      <c r="P773" t="s">
        <v>343</v>
      </c>
      <c r="Q773" t="s">
        <v>343</v>
      </c>
    </row>
    <row r="774" spans="1:17" x14ac:dyDescent="0.2">
      <c r="A774">
        <v>11020</v>
      </c>
      <c r="B774" t="s">
        <v>74</v>
      </c>
      <c r="C774">
        <v>2</v>
      </c>
      <c r="D774" s="1">
        <v>35899</v>
      </c>
      <c r="E774" s="1">
        <v>35927</v>
      </c>
      <c r="F774" s="1">
        <v>35901</v>
      </c>
      <c r="G774">
        <v>2</v>
      </c>
      <c r="H774">
        <v>43.3</v>
      </c>
      <c r="I774" t="s">
        <v>75</v>
      </c>
      <c r="J774" t="s">
        <v>76</v>
      </c>
      <c r="K774" t="s">
        <v>77</v>
      </c>
      <c r="L774" t="s">
        <v>18</v>
      </c>
      <c r="M774">
        <v>50739</v>
      </c>
      <c r="N774" t="s">
        <v>24</v>
      </c>
      <c r="P774" t="s">
        <v>24</v>
      </c>
      <c r="Q774" t="s">
        <v>24</v>
      </c>
    </row>
    <row r="775" spans="1:17" x14ac:dyDescent="0.2">
      <c r="A775">
        <v>11021</v>
      </c>
      <c r="B775" t="s">
        <v>122</v>
      </c>
      <c r="C775">
        <v>3</v>
      </c>
      <c r="D775" s="1">
        <v>35899</v>
      </c>
      <c r="E775" s="1">
        <v>35927</v>
      </c>
      <c r="F775" s="1">
        <v>35906</v>
      </c>
      <c r="G775">
        <v>1</v>
      </c>
      <c r="H775">
        <v>297.18</v>
      </c>
      <c r="I775" t="s">
        <v>123</v>
      </c>
      <c r="J775" t="s">
        <v>124</v>
      </c>
      <c r="K775" t="s">
        <v>125</v>
      </c>
      <c r="L775" t="s">
        <v>18</v>
      </c>
      <c r="M775" s="2" t="s">
        <v>126</v>
      </c>
      <c r="N775" t="s">
        <v>24</v>
      </c>
      <c r="P775" t="s">
        <v>24</v>
      </c>
      <c r="Q775" t="s">
        <v>24</v>
      </c>
    </row>
    <row r="776" spans="1:17" x14ac:dyDescent="0.2">
      <c r="A776">
        <v>11022</v>
      </c>
      <c r="B776" t="s">
        <v>25</v>
      </c>
      <c r="C776">
        <v>9</v>
      </c>
      <c r="D776" s="1">
        <v>35899</v>
      </c>
      <c r="E776" s="1">
        <v>35927</v>
      </c>
      <c r="F776" s="1">
        <v>35919</v>
      </c>
      <c r="G776">
        <v>2</v>
      </c>
      <c r="H776">
        <v>6.27</v>
      </c>
      <c r="I776" t="s">
        <v>26</v>
      </c>
      <c r="J776" t="s">
        <v>27</v>
      </c>
      <c r="K776">
        <v>67</v>
      </c>
      <c r="L776" t="s">
        <v>28</v>
      </c>
      <c r="M776" t="s">
        <v>29</v>
      </c>
      <c r="N776" t="s">
        <v>30</v>
      </c>
      <c r="O776" t="s">
        <v>31</v>
      </c>
      <c r="P776" t="s">
        <v>31</v>
      </c>
      <c r="Q776" t="s">
        <v>31</v>
      </c>
    </row>
    <row r="777" spans="1:17" x14ac:dyDescent="0.2">
      <c r="A777">
        <v>11023</v>
      </c>
      <c r="B777" t="s">
        <v>168</v>
      </c>
      <c r="C777">
        <v>1</v>
      </c>
      <c r="D777" s="1">
        <v>35899</v>
      </c>
      <c r="E777" s="1">
        <v>35913</v>
      </c>
      <c r="F777" s="1">
        <v>35909</v>
      </c>
      <c r="G777">
        <v>2</v>
      </c>
      <c r="H777">
        <v>123.83</v>
      </c>
      <c r="I777" t="s">
        <v>169</v>
      </c>
      <c r="J777" t="s">
        <v>170</v>
      </c>
      <c r="K777" t="s">
        <v>171</v>
      </c>
      <c r="L777" t="s">
        <v>18</v>
      </c>
      <c r="M777" t="s">
        <v>172</v>
      </c>
      <c r="N777" t="s">
        <v>173</v>
      </c>
      <c r="P777" t="s">
        <v>173</v>
      </c>
      <c r="Q777" t="s">
        <v>173</v>
      </c>
    </row>
    <row r="778" spans="1:17" x14ac:dyDescent="0.2">
      <c r="A778">
        <v>11024</v>
      </c>
      <c r="B778" t="s">
        <v>289</v>
      </c>
      <c r="C778">
        <v>4</v>
      </c>
      <c r="D778" s="1">
        <v>35900</v>
      </c>
      <c r="E778" s="1">
        <v>35928</v>
      </c>
      <c r="F778" s="1">
        <v>35905</v>
      </c>
      <c r="G778">
        <v>1</v>
      </c>
      <c r="H778">
        <v>74.36</v>
      </c>
      <c r="I778" t="s">
        <v>290</v>
      </c>
      <c r="J778" t="s">
        <v>291</v>
      </c>
      <c r="K778" t="s">
        <v>171</v>
      </c>
      <c r="L778" t="s">
        <v>18</v>
      </c>
      <c r="M778" t="s">
        <v>292</v>
      </c>
      <c r="N778" t="s">
        <v>173</v>
      </c>
      <c r="P778" t="s">
        <v>173</v>
      </c>
      <c r="Q778" t="s">
        <v>173</v>
      </c>
    </row>
    <row r="779" spans="1:17" x14ac:dyDescent="0.2">
      <c r="A779">
        <v>11025</v>
      </c>
      <c r="B779" t="s">
        <v>98</v>
      </c>
      <c r="C779">
        <v>6</v>
      </c>
      <c r="D779" s="1">
        <v>35900</v>
      </c>
      <c r="E779" s="1">
        <v>35928</v>
      </c>
      <c r="F779" s="1">
        <v>35909</v>
      </c>
      <c r="G779">
        <v>3</v>
      </c>
      <c r="H779">
        <v>29.17</v>
      </c>
      <c r="I779" t="s">
        <v>99</v>
      </c>
      <c r="J779" t="s">
        <v>100</v>
      </c>
      <c r="K779" t="s">
        <v>101</v>
      </c>
      <c r="L779" t="s">
        <v>18</v>
      </c>
      <c r="M779">
        <v>90110</v>
      </c>
      <c r="N779" t="s">
        <v>102</v>
      </c>
      <c r="P779" t="s">
        <v>102</v>
      </c>
      <c r="Q779" t="s">
        <v>102</v>
      </c>
    </row>
    <row r="780" spans="1:17" x14ac:dyDescent="0.2">
      <c r="A780">
        <v>11026</v>
      </c>
      <c r="B780" t="s">
        <v>344</v>
      </c>
      <c r="C780">
        <v>4</v>
      </c>
      <c r="D780" s="1">
        <v>35900</v>
      </c>
      <c r="E780" s="1">
        <v>35928</v>
      </c>
      <c r="F780" s="1">
        <v>35913</v>
      </c>
      <c r="G780">
        <v>1</v>
      </c>
      <c r="H780">
        <v>47.09</v>
      </c>
      <c r="I780" t="s">
        <v>345</v>
      </c>
      <c r="J780" t="s">
        <v>346</v>
      </c>
      <c r="K780" t="s">
        <v>347</v>
      </c>
      <c r="L780" t="s">
        <v>18</v>
      </c>
      <c r="M780">
        <v>10100</v>
      </c>
      <c r="N780" t="s">
        <v>131</v>
      </c>
      <c r="P780" t="s">
        <v>131</v>
      </c>
      <c r="Q780" t="s">
        <v>131</v>
      </c>
    </row>
    <row r="781" spans="1:17" x14ac:dyDescent="0.2">
      <c r="A781">
        <v>11027</v>
      </c>
      <c r="B781" t="s">
        <v>324</v>
      </c>
      <c r="C781">
        <v>1</v>
      </c>
      <c r="D781" s="1">
        <v>35901</v>
      </c>
      <c r="E781" s="1">
        <v>35929</v>
      </c>
      <c r="F781" s="1">
        <v>35905</v>
      </c>
      <c r="G781">
        <v>1</v>
      </c>
      <c r="H781">
        <v>52.52</v>
      </c>
      <c r="I781" t="s">
        <v>325</v>
      </c>
      <c r="J781" t="s">
        <v>326</v>
      </c>
      <c r="K781" t="s">
        <v>327</v>
      </c>
      <c r="L781" t="s">
        <v>328</v>
      </c>
      <c r="M781" t="s">
        <v>329</v>
      </c>
      <c r="N781" t="s">
        <v>254</v>
      </c>
      <c r="P781" t="s">
        <v>254</v>
      </c>
      <c r="Q781" t="s">
        <v>254</v>
      </c>
    </row>
    <row r="782" spans="1:17" x14ac:dyDescent="0.2">
      <c r="A782">
        <v>11028</v>
      </c>
      <c r="B782" t="s">
        <v>227</v>
      </c>
      <c r="C782">
        <v>2</v>
      </c>
      <c r="D782" s="1">
        <v>35901</v>
      </c>
      <c r="E782" s="1">
        <v>35929</v>
      </c>
      <c r="F782" s="1">
        <v>35907</v>
      </c>
      <c r="G782">
        <v>1</v>
      </c>
      <c r="H782">
        <v>29.59</v>
      </c>
      <c r="I782" t="s">
        <v>228</v>
      </c>
      <c r="J782" t="s">
        <v>229</v>
      </c>
      <c r="K782" t="s">
        <v>230</v>
      </c>
      <c r="L782" t="s">
        <v>18</v>
      </c>
      <c r="M782">
        <v>14776</v>
      </c>
      <c r="N782" t="s">
        <v>24</v>
      </c>
      <c r="P782" t="s">
        <v>24</v>
      </c>
      <c r="Q782" t="s">
        <v>24</v>
      </c>
    </row>
    <row r="783" spans="1:17" x14ac:dyDescent="0.2">
      <c r="A783">
        <v>11029</v>
      </c>
      <c r="B783" t="s">
        <v>42</v>
      </c>
      <c r="C783">
        <v>4</v>
      </c>
      <c r="D783" s="1">
        <v>35901</v>
      </c>
      <c r="E783" s="1">
        <v>35929</v>
      </c>
      <c r="F783" s="1">
        <v>35912</v>
      </c>
      <c r="G783">
        <v>1</v>
      </c>
      <c r="H783">
        <v>47.84</v>
      </c>
      <c r="I783" t="s">
        <v>43</v>
      </c>
      <c r="J783" t="s">
        <v>44</v>
      </c>
      <c r="K783" t="s">
        <v>45</v>
      </c>
      <c r="L783" t="s">
        <v>18</v>
      </c>
      <c r="M783">
        <v>3012</v>
      </c>
      <c r="N783" t="s">
        <v>46</v>
      </c>
      <c r="P783" t="s">
        <v>46</v>
      </c>
      <c r="Q783" t="s">
        <v>46</v>
      </c>
    </row>
    <row r="784" spans="1:17" x14ac:dyDescent="0.2">
      <c r="A784">
        <v>11030</v>
      </c>
      <c r="B784" t="s">
        <v>231</v>
      </c>
      <c r="C784">
        <v>7</v>
      </c>
      <c r="D784" s="1">
        <v>35902</v>
      </c>
      <c r="E784" s="1">
        <v>35930</v>
      </c>
      <c r="F784" s="1">
        <v>35912</v>
      </c>
      <c r="G784">
        <v>2</v>
      </c>
      <c r="H784">
        <v>830.75</v>
      </c>
      <c r="I784" t="s">
        <v>232</v>
      </c>
      <c r="J784" t="s">
        <v>233</v>
      </c>
      <c r="K784" t="s">
        <v>234</v>
      </c>
      <c r="L784" t="s">
        <v>235</v>
      </c>
      <c r="M784">
        <v>83720</v>
      </c>
      <c r="N784" t="s">
        <v>87</v>
      </c>
      <c r="P784" t="s">
        <v>87</v>
      </c>
      <c r="Q784" t="s">
        <v>87</v>
      </c>
    </row>
    <row r="785" spans="1:17" x14ac:dyDescent="0.2">
      <c r="A785">
        <v>11031</v>
      </c>
      <c r="B785" t="s">
        <v>231</v>
      </c>
      <c r="C785">
        <v>6</v>
      </c>
      <c r="D785" s="1">
        <v>35902</v>
      </c>
      <c r="E785" s="1">
        <v>35930</v>
      </c>
      <c r="F785" s="1">
        <v>35909</v>
      </c>
      <c r="G785">
        <v>2</v>
      </c>
      <c r="H785">
        <v>227.22</v>
      </c>
      <c r="I785" t="s">
        <v>232</v>
      </c>
      <c r="J785" t="s">
        <v>233</v>
      </c>
      <c r="K785" t="s">
        <v>234</v>
      </c>
      <c r="L785" t="s">
        <v>235</v>
      </c>
      <c r="M785">
        <v>83720</v>
      </c>
      <c r="N785" t="s">
        <v>87</v>
      </c>
      <c r="P785" t="s">
        <v>87</v>
      </c>
      <c r="Q785" t="s">
        <v>87</v>
      </c>
    </row>
    <row r="786" spans="1:17" x14ac:dyDescent="0.2">
      <c r="A786">
        <v>11032</v>
      </c>
      <c r="B786" t="s">
        <v>112</v>
      </c>
      <c r="C786">
        <v>2</v>
      </c>
      <c r="D786" s="1">
        <v>35902</v>
      </c>
      <c r="E786" s="1">
        <v>35930</v>
      </c>
      <c r="F786" s="1">
        <v>35908</v>
      </c>
      <c r="G786">
        <v>3</v>
      </c>
      <c r="H786">
        <v>606.19000000000005</v>
      </c>
      <c r="I786" t="s">
        <v>113</v>
      </c>
      <c r="J786" t="s">
        <v>114</v>
      </c>
      <c r="K786" t="s">
        <v>115</v>
      </c>
      <c r="L786" t="s">
        <v>116</v>
      </c>
      <c r="M786">
        <v>98124</v>
      </c>
      <c r="N786" t="s">
        <v>87</v>
      </c>
      <c r="P786" t="s">
        <v>87</v>
      </c>
      <c r="Q786" t="s">
        <v>87</v>
      </c>
    </row>
    <row r="787" spans="1:17" x14ac:dyDescent="0.2">
      <c r="A787">
        <v>11033</v>
      </c>
      <c r="B787" t="s">
        <v>47</v>
      </c>
      <c r="C787">
        <v>7</v>
      </c>
      <c r="D787" s="1">
        <v>35902</v>
      </c>
      <c r="E787" s="1">
        <v>35930</v>
      </c>
      <c r="F787" s="1">
        <v>35908</v>
      </c>
      <c r="G787">
        <v>3</v>
      </c>
      <c r="H787">
        <v>84.74</v>
      </c>
      <c r="I787" t="s">
        <v>48</v>
      </c>
      <c r="J787" t="s">
        <v>49</v>
      </c>
      <c r="K787" t="s">
        <v>50</v>
      </c>
      <c r="L787" t="s">
        <v>18</v>
      </c>
      <c r="M787">
        <v>1204</v>
      </c>
      <c r="N787" t="s">
        <v>46</v>
      </c>
      <c r="P787" t="s">
        <v>46</v>
      </c>
      <c r="Q787" t="s">
        <v>46</v>
      </c>
    </row>
    <row r="788" spans="1:17" x14ac:dyDescent="0.2">
      <c r="A788">
        <v>11034</v>
      </c>
      <c r="B788" t="s">
        <v>197</v>
      </c>
      <c r="C788">
        <v>8</v>
      </c>
      <c r="D788" s="1">
        <v>35905</v>
      </c>
      <c r="E788" s="1">
        <v>35947</v>
      </c>
      <c r="F788" s="1">
        <v>35912</v>
      </c>
      <c r="G788">
        <v>1</v>
      </c>
      <c r="H788">
        <v>40.32</v>
      </c>
      <c r="I788" t="s">
        <v>198</v>
      </c>
      <c r="J788" t="s">
        <v>199</v>
      </c>
      <c r="K788" t="s">
        <v>200</v>
      </c>
      <c r="L788" t="s">
        <v>201</v>
      </c>
      <c r="M788">
        <v>99508</v>
      </c>
      <c r="N788" t="s">
        <v>87</v>
      </c>
      <c r="P788" t="s">
        <v>87</v>
      </c>
      <c r="Q788" t="s">
        <v>87</v>
      </c>
    </row>
    <row r="789" spans="1:17" x14ac:dyDescent="0.2">
      <c r="A789">
        <v>11035</v>
      </c>
      <c r="B789" t="s">
        <v>36</v>
      </c>
      <c r="C789">
        <v>2</v>
      </c>
      <c r="D789" s="1">
        <v>35905</v>
      </c>
      <c r="E789" s="1">
        <v>35933</v>
      </c>
      <c r="F789" s="1">
        <v>35909</v>
      </c>
      <c r="G789">
        <v>2</v>
      </c>
      <c r="H789">
        <v>0.17</v>
      </c>
      <c r="I789" t="s">
        <v>37</v>
      </c>
      <c r="J789" t="s">
        <v>38</v>
      </c>
      <c r="K789">
        <v>255</v>
      </c>
      <c r="L789" t="s">
        <v>39</v>
      </c>
      <c r="M789" t="s">
        <v>18</v>
      </c>
      <c r="N789" t="s">
        <v>40</v>
      </c>
      <c r="O789" t="s">
        <v>41</v>
      </c>
      <c r="P789" t="s">
        <v>41</v>
      </c>
      <c r="Q789" t="s">
        <v>41</v>
      </c>
    </row>
    <row r="790" spans="1:17" x14ac:dyDescent="0.2">
      <c r="A790">
        <v>11036</v>
      </c>
      <c r="B790" t="s">
        <v>285</v>
      </c>
      <c r="C790">
        <v>8</v>
      </c>
      <c r="D790" s="1">
        <v>35905</v>
      </c>
      <c r="E790" s="1">
        <v>35933</v>
      </c>
      <c r="F790" s="1">
        <v>35907</v>
      </c>
      <c r="G790">
        <v>3</v>
      </c>
      <c r="H790">
        <v>149.47</v>
      </c>
      <c r="I790" t="s">
        <v>286</v>
      </c>
      <c r="J790" t="s">
        <v>287</v>
      </c>
      <c r="K790" t="s">
        <v>288</v>
      </c>
      <c r="L790" t="s">
        <v>18</v>
      </c>
      <c r="M790">
        <v>52066</v>
      </c>
      <c r="N790" t="s">
        <v>24</v>
      </c>
      <c r="P790" t="s">
        <v>24</v>
      </c>
      <c r="Q790" t="s">
        <v>24</v>
      </c>
    </row>
    <row r="791" spans="1:17" x14ac:dyDescent="0.2">
      <c r="A791">
        <v>11037</v>
      </c>
      <c r="B791" t="s">
        <v>193</v>
      </c>
      <c r="C791">
        <v>7</v>
      </c>
      <c r="D791" s="1">
        <v>35906</v>
      </c>
      <c r="E791" s="1">
        <v>35934</v>
      </c>
      <c r="F791" s="1">
        <v>35912</v>
      </c>
      <c r="G791">
        <v>1</v>
      </c>
      <c r="H791">
        <v>3.2</v>
      </c>
      <c r="I791" t="s">
        <v>194</v>
      </c>
      <c r="J791" t="s">
        <v>195</v>
      </c>
      <c r="K791">
        <v>33</v>
      </c>
      <c r="L791" t="s">
        <v>196</v>
      </c>
      <c r="M791" t="s">
        <v>18</v>
      </c>
      <c r="N791">
        <v>41101</v>
      </c>
      <c r="O791" t="s">
        <v>154</v>
      </c>
      <c r="P791" t="s">
        <v>154</v>
      </c>
      <c r="Q791" t="s">
        <v>154</v>
      </c>
    </row>
    <row r="792" spans="1:17" x14ac:dyDescent="0.2">
      <c r="A792">
        <v>11038</v>
      </c>
      <c r="B792" t="s">
        <v>36</v>
      </c>
      <c r="C792">
        <v>1</v>
      </c>
      <c r="D792" s="1">
        <v>35906</v>
      </c>
      <c r="E792" s="1">
        <v>35934</v>
      </c>
      <c r="F792" s="1">
        <v>35915</v>
      </c>
      <c r="G792">
        <v>2</v>
      </c>
      <c r="H792">
        <v>29.59</v>
      </c>
      <c r="I792" t="s">
        <v>37</v>
      </c>
      <c r="J792" t="s">
        <v>38</v>
      </c>
      <c r="K792">
        <v>255</v>
      </c>
      <c r="L792" t="s">
        <v>39</v>
      </c>
      <c r="M792" t="s">
        <v>18</v>
      </c>
      <c r="N792" t="s">
        <v>40</v>
      </c>
      <c r="O792" t="s">
        <v>41</v>
      </c>
      <c r="P792" t="s">
        <v>41</v>
      </c>
      <c r="Q792" t="s">
        <v>41</v>
      </c>
    </row>
    <row r="793" spans="1:17" x14ac:dyDescent="0.2">
      <c r="A793">
        <v>11039</v>
      </c>
      <c r="B793" t="s">
        <v>330</v>
      </c>
      <c r="C793">
        <v>1</v>
      </c>
      <c r="D793" s="1">
        <v>35906</v>
      </c>
      <c r="E793" s="1">
        <v>35934</v>
      </c>
      <c r="F793" t="s">
        <v>18</v>
      </c>
      <c r="G793">
        <v>2</v>
      </c>
      <c r="H793">
        <v>65</v>
      </c>
      <c r="I793" t="s">
        <v>331</v>
      </c>
      <c r="J793" t="s">
        <v>332</v>
      </c>
      <c r="K793" t="s">
        <v>333</v>
      </c>
      <c r="L793" t="s">
        <v>334</v>
      </c>
      <c r="M793">
        <v>4980</v>
      </c>
      <c r="N793" t="s">
        <v>62</v>
      </c>
      <c r="P793" t="s">
        <v>62</v>
      </c>
      <c r="Q793" t="s">
        <v>62</v>
      </c>
    </row>
    <row r="794" spans="1:17" x14ac:dyDescent="0.2">
      <c r="A794">
        <v>11040</v>
      </c>
      <c r="B794" t="s">
        <v>380</v>
      </c>
      <c r="C794">
        <v>4</v>
      </c>
      <c r="D794" s="1">
        <v>35907</v>
      </c>
      <c r="E794" s="1">
        <v>35935</v>
      </c>
      <c r="F794" t="s">
        <v>18</v>
      </c>
      <c r="G794">
        <v>3</v>
      </c>
      <c r="H794">
        <v>18.84</v>
      </c>
      <c r="I794" t="s">
        <v>381</v>
      </c>
      <c r="J794" t="s">
        <v>382</v>
      </c>
      <c r="K794" t="s">
        <v>383</v>
      </c>
      <c r="L794" t="s">
        <v>206</v>
      </c>
      <c r="M794">
        <v>97403</v>
      </c>
      <c r="N794" t="s">
        <v>87</v>
      </c>
      <c r="P794" t="s">
        <v>87</v>
      </c>
      <c r="Q794" t="s">
        <v>87</v>
      </c>
    </row>
    <row r="795" spans="1:17" x14ac:dyDescent="0.2">
      <c r="A795">
        <v>11041</v>
      </c>
      <c r="B795" t="s">
        <v>42</v>
      </c>
      <c r="C795">
        <v>3</v>
      </c>
      <c r="D795" s="1">
        <v>35907</v>
      </c>
      <c r="E795" s="1">
        <v>35935</v>
      </c>
      <c r="F795" s="1">
        <v>35913</v>
      </c>
      <c r="G795">
        <v>2</v>
      </c>
      <c r="H795">
        <v>48.22</v>
      </c>
      <c r="I795" t="s">
        <v>43</v>
      </c>
      <c r="J795" t="s">
        <v>44</v>
      </c>
      <c r="K795" t="s">
        <v>45</v>
      </c>
      <c r="L795" t="s">
        <v>18</v>
      </c>
      <c r="M795">
        <v>3012</v>
      </c>
      <c r="N795" t="s">
        <v>46</v>
      </c>
      <c r="P795" t="s">
        <v>46</v>
      </c>
      <c r="Q795" t="s">
        <v>46</v>
      </c>
    </row>
    <row r="796" spans="1:17" x14ac:dyDescent="0.2">
      <c r="A796">
        <v>11042</v>
      </c>
      <c r="B796" t="s">
        <v>174</v>
      </c>
      <c r="C796">
        <v>2</v>
      </c>
      <c r="D796" s="1">
        <v>35907</v>
      </c>
      <c r="E796" s="1">
        <v>35921</v>
      </c>
      <c r="F796" s="1">
        <v>35916</v>
      </c>
      <c r="G796">
        <v>1</v>
      </c>
      <c r="H796">
        <v>29.99</v>
      </c>
      <c r="I796" t="s">
        <v>175</v>
      </c>
      <c r="J796" t="s">
        <v>176</v>
      </c>
      <c r="K796">
        <v>23</v>
      </c>
      <c r="L796" t="s">
        <v>177</v>
      </c>
      <c r="M796" t="s">
        <v>55</v>
      </c>
      <c r="N796" t="s">
        <v>178</v>
      </c>
      <c r="O796" t="s">
        <v>31</v>
      </c>
      <c r="P796" t="s">
        <v>31</v>
      </c>
      <c r="Q796" t="s">
        <v>31</v>
      </c>
    </row>
    <row r="797" spans="1:17" x14ac:dyDescent="0.2">
      <c r="A797">
        <v>11043</v>
      </c>
      <c r="B797" t="s">
        <v>415</v>
      </c>
      <c r="C797">
        <v>5</v>
      </c>
      <c r="D797" s="1">
        <v>35907</v>
      </c>
      <c r="E797" s="1">
        <v>35935</v>
      </c>
      <c r="F797" s="1">
        <v>35914</v>
      </c>
      <c r="G797">
        <v>2</v>
      </c>
      <c r="H797">
        <v>8.8000000000000007</v>
      </c>
      <c r="I797" t="s">
        <v>416</v>
      </c>
      <c r="J797">
        <v>25</v>
      </c>
      <c r="K797" t="s">
        <v>417</v>
      </c>
      <c r="L797" t="s">
        <v>418</v>
      </c>
      <c r="M797" t="s">
        <v>18</v>
      </c>
      <c r="N797">
        <v>75016</v>
      </c>
      <c r="O797" t="s">
        <v>19</v>
      </c>
      <c r="P797" t="s">
        <v>19</v>
      </c>
      <c r="Q797" t="s">
        <v>19</v>
      </c>
    </row>
    <row r="798" spans="1:17" x14ac:dyDescent="0.2">
      <c r="A798">
        <v>11044</v>
      </c>
      <c r="B798" t="s">
        <v>309</v>
      </c>
      <c r="C798">
        <v>4</v>
      </c>
      <c r="D798" s="1">
        <v>35908</v>
      </c>
      <c r="E798" s="1">
        <v>35936</v>
      </c>
      <c r="F798" s="1">
        <v>35916</v>
      </c>
      <c r="G798">
        <v>1</v>
      </c>
      <c r="H798">
        <v>8.7200000000000006</v>
      </c>
      <c r="I798" t="s">
        <v>310</v>
      </c>
      <c r="J798" t="s">
        <v>311</v>
      </c>
      <c r="K798" t="s">
        <v>312</v>
      </c>
      <c r="L798" t="s">
        <v>18</v>
      </c>
      <c r="M798" t="s">
        <v>313</v>
      </c>
      <c r="N798" t="s">
        <v>314</v>
      </c>
      <c r="P798" t="s">
        <v>314</v>
      </c>
      <c r="Q798" t="s">
        <v>314</v>
      </c>
    </row>
    <row r="799" spans="1:17" x14ac:dyDescent="0.2">
      <c r="A799">
        <v>11045</v>
      </c>
      <c r="B799" t="s">
        <v>324</v>
      </c>
      <c r="C799">
        <v>6</v>
      </c>
      <c r="D799" s="1">
        <v>35908</v>
      </c>
      <c r="E799" s="1">
        <v>35936</v>
      </c>
      <c r="F799" t="s">
        <v>18</v>
      </c>
      <c r="G799">
        <v>2</v>
      </c>
      <c r="H799">
        <v>70.58</v>
      </c>
      <c r="I799" t="s">
        <v>325</v>
      </c>
      <c r="J799" t="s">
        <v>326</v>
      </c>
      <c r="K799" t="s">
        <v>327</v>
      </c>
      <c r="L799" t="s">
        <v>328</v>
      </c>
      <c r="M799" t="s">
        <v>329</v>
      </c>
      <c r="N799" t="s">
        <v>254</v>
      </c>
      <c r="P799" t="s">
        <v>254</v>
      </c>
      <c r="Q799" t="s">
        <v>254</v>
      </c>
    </row>
    <row r="800" spans="1:17" x14ac:dyDescent="0.2">
      <c r="A800">
        <v>11046</v>
      </c>
      <c r="B800" t="s">
        <v>189</v>
      </c>
      <c r="C800">
        <v>8</v>
      </c>
      <c r="D800" s="1">
        <v>35908</v>
      </c>
      <c r="E800" s="1">
        <v>35936</v>
      </c>
      <c r="F800" s="1">
        <v>35909</v>
      </c>
      <c r="G800">
        <v>2</v>
      </c>
      <c r="H800">
        <v>71.64</v>
      </c>
      <c r="I800" t="s">
        <v>190</v>
      </c>
      <c r="J800" t="s">
        <v>191</v>
      </c>
      <c r="K800" t="s">
        <v>192</v>
      </c>
      <c r="L800" t="s">
        <v>18</v>
      </c>
      <c r="M800">
        <v>70563</v>
      </c>
      <c r="N800" t="s">
        <v>24</v>
      </c>
      <c r="P800" t="s">
        <v>24</v>
      </c>
      <c r="Q800" t="s">
        <v>24</v>
      </c>
    </row>
    <row r="801" spans="1:17" x14ac:dyDescent="0.2">
      <c r="A801">
        <v>11047</v>
      </c>
      <c r="B801" t="s">
        <v>289</v>
      </c>
      <c r="C801">
        <v>7</v>
      </c>
      <c r="D801" s="1">
        <v>35909</v>
      </c>
      <c r="E801" s="1">
        <v>35937</v>
      </c>
      <c r="F801" s="1">
        <v>35916</v>
      </c>
      <c r="G801">
        <v>3</v>
      </c>
      <c r="H801">
        <v>46.62</v>
      </c>
      <c r="I801" t="s">
        <v>290</v>
      </c>
      <c r="J801" t="s">
        <v>291</v>
      </c>
      <c r="K801" t="s">
        <v>171</v>
      </c>
      <c r="L801" t="s">
        <v>18</v>
      </c>
      <c r="M801" t="s">
        <v>292</v>
      </c>
      <c r="N801" t="s">
        <v>173</v>
      </c>
      <c r="P801" t="s">
        <v>173</v>
      </c>
      <c r="Q801" t="s">
        <v>173</v>
      </c>
    </row>
    <row r="802" spans="1:17" x14ac:dyDescent="0.2">
      <c r="A802">
        <v>11048</v>
      </c>
      <c r="B802" t="s">
        <v>324</v>
      </c>
      <c r="C802">
        <v>7</v>
      </c>
      <c r="D802" s="1">
        <v>35909</v>
      </c>
      <c r="E802" s="1">
        <v>35937</v>
      </c>
      <c r="F802" s="1">
        <v>35915</v>
      </c>
      <c r="G802">
        <v>3</v>
      </c>
      <c r="H802">
        <v>24.12</v>
      </c>
      <c r="I802" t="s">
        <v>325</v>
      </c>
      <c r="J802" t="s">
        <v>326</v>
      </c>
      <c r="K802" t="s">
        <v>327</v>
      </c>
      <c r="L802" t="s">
        <v>328</v>
      </c>
      <c r="M802" t="s">
        <v>329</v>
      </c>
      <c r="N802" t="s">
        <v>254</v>
      </c>
      <c r="P802" t="s">
        <v>254</v>
      </c>
      <c r="Q802" t="s">
        <v>254</v>
      </c>
    </row>
    <row r="803" spans="1:17" x14ac:dyDescent="0.2">
      <c r="A803">
        <v>11049</v>
      </c>
      <c r="B803" t="s">
        <v>348</v>
      </c>
      <c r="C803">
        <v>3</v>
      </c>
      <c r="D803" s="1">
        <v>35909</v>
      </c>
      <c r="E803" s="1">
        <v>35937</v>
      </c>
      <c r="F803" s="1">
        <v>35919</v>
      </c>
      <c r="G803">
        <v>1</v>
      </c>
      <c r="H803">
        <v>8.34</v>
      </c>
      <c r="I803" t="s">
        <v>349</v>
      </c>
      <c r="J803" t="s">
        <v>350</v>
      </c>
      <c r="K803">
        <v>442</v>
      </c>
      <c r="L803" t="s">
        <v>351</v>
      </c>
      <c r="M803" t="s">
        <v>55</v>
      </c>
      <c r="N803" t="s">
        <v>352</v>
      </c>
      <c r="O803" t="s">
        <v>31</v>
      </c>
      <c r="P803" t="s">
        <v>31</v>
      </c>
      <c r="Q803" t="s">
        <v>31</v>
      </c>
    </row>
    <row r="804" spans="1:17" x14ac:dyDescent="0.2">
      <c r="A804">
        <v>11050</v>
      </c>
      <c r="B804" t="s">
        <v>88</v>
      </c>
      <c r="C804">
        <v>8</v>
      </c>
      <c r="D804" s="1">
        <v>35912</v>
      </c>
      <c r="E804" s="1">
        <v>35940</v>
      </c>
      <c r="F804" s="1">
        <v>35920</v>
      </c>
      <c r="G804">
        <v>2</v>
      </c>
      <c r="H804">
        <v>59.41</v>
      </c>
      <c r="I804" t="s">
        <v>89</v>
      </c>
      <c r="J804" t="s">
        <v>90</v>
      </c>
      <c r="K804" t="s">
        <v>91</v>
      </c>
      <c r="L804" t="s">
        <v>18</v>
      </c>
      <c r="M804" t="s">
        <v>92</v>
      </c>
      <c r="N804" t="s">
        <v>93</v>
      </c>
      <c r="P804" t="s">
        <v>93</v>
      </c>
      <c r="Q804" t="s">
        <v>93</v>
      </c>
    </row>
    <row r="805" spans="1:17" x14ac:dyDescent="0.2">
      <c r="A805">
        <v>11051</v>
      </c>
      <c r="B805" t="s">
        <v>267</v>
      </c>
      <c r="C805">
        <v>7</v>
      </c>
      <c r="D805" s="1">
        <v>35912</v>
      </c>
      <c r="E805" s="1">
        <v>35940</v>
      </c>
      <c r="F805" t="s">
        <v>18</v>
      </c>
      <c r="G805">
        <v>3</v>
      </c>
      <c r="H805">
        <v>2.79</v>
      </c>
      <c r="I805" t="s">
        <v>268</v>
      </c>
      <c r="J805" t="s">
        <v>269</v>
      </c>
      <c r="K805" t="s">
        <v>270</v>
      </c>
      <c r="L805" t="s">
        <v>18</v>
      </c>
      <c r="M805">
        <v>31000</v>
      </c>
      <c r="N805" t="s">
        <v>19</v>
      </c>
      <c r="P805" t="s">
        <v>19</v>
      </c>
      <c r="Q805" t="s">
        <v>19</v>
      </c>
    </row>
    <row r="806" spans="1:17" x14ac:dyDescent="0.2">
      <c r="A806">
        <v>11052</v>
      </c>
      <c r="B806" t="s">
        <v>25</v>
      </c>
      <c r="C806">
        <v>3</v>
      </c>
      <c r="D806" s="1">
        <v>35912</v>
      </c>
      <c r="E806" s="1">
        <v>35940</v>
      </c>
      <c r="F806" s="1">
        <v>35916</v>
      </c>
      <c r="G806">
        <v>1</v>
      </c>
      <c r="H806">
        <v>67.260000000000005</v>
      </c>
      <c r="I806" t="s">
        <v>26</v>
      </c>
      <c r="J806" t="s">
        <v>27</v>
      </c>
      <c r="K806">
        <v>67</v>
      </c>
      <c r="L806" t="s">
        <v>28</v>
      </c>
      <c r="M806" t="s">
        <v>29</v>
      </c>
      <c r="N806" t="s">
        <v>30</v>
      </c>
      <c r="O806" t="s">
        <v>31</v>
      </c>
      <c r="P806" t="s">
        <v>31</v>
      </c>
      <c r="Q806" t="s">
        <v>31</v>
      </c>
    </row>
    <row r="807" spans="1:17" x14ac:dyDescent="0.2">
      <c r="A807">
        <v>11053</v>
      </c>
      <c r="B807" t="s">
        <v>271</v>
      </c>
      <c r="C807">
        <v>2</v>
      </c>
      <c r="D807" s="1">
        <v>35912</v>
      </c>
      <c r="E807" s="1">
        <v>35940</v>
      </c>
      <c r="F807" s="1">
        <v>35914</v>
      </c>
      <c r="G807">
        <v>2</v>
      </c>
      <c r="H807">
        <v>53.05</v>
      </c>
      <c r="I807" t="s">
        <v>272</v>
      </c>
      <c r="J807" t="s">
        <v>273</v>
      </c>
      <c r="K807" t="s">
        <v>274</v>
      </c>
      <c r="L807" t="s">
        <v>18</v>
      </c>
      <c r="M807">
        <v>5020</v>
      </c>
      <c r="N807" t="s">
        <v>67</v>
      </c>
      <c r="P807" t="s">
        <v>67</v>
      </c>
      <c r="Q807" t="s">
        <v>67</v>
      </c>
    </row>
    <row r="808" spans="1:17" x14ac:dyDescent="0.2">
      <c r="A808">
        <v>11054</v>
      </c>
      <c r="B808" t="s">
        <v>377</v>
      </c>
      <c r="C808">
        <v>8</v>
      </c>
      <c r="D808" s="1">
        <v>35913</v>
      </c>
      <c r="E808" s="1">
        <v>35941</v>
      </c>
      <c r="F808" t="s">
        <v>18</v>
      </c>
      <c r="G808">
        <v>1</v>
      </c>
      <c r="H808">
        <v>0.33</v>
      </c>
      <c r="I808" t="s">
        <v>378</v>
      </c>
      <c r="J808" t="s">
        <v>379</v>
      </c>
      <c r="K808" t="s">
        <v>342</v>
      </c>
      <c r="L808" t="s">
        <v>18</v>
      </c>
      <c r="M808">
        <v>1010</v>
      </c>
      <c r="N808" t="s">
        <v>343</v>
      </c>
      <c r="P808" t="s">
        <v>343</v>
      </c>
      <c r="Q808" t="s">
        <v>343</v>
      </c>
    </row>
    <row r="809" spans="1:17" x14ac:dyDescent="0.2">
      <c r="A809">
        <v>11055</v>
      </c>
      <c r="B809" t="s">
        <v>57</v>
      </c>
      <c r="C809">
        <v>7</v>
      </c>
      <c r="D809" s="1">
        <v>35913</v>
      </c>
      <c r="E809" s="1">
        <v>35941</v>
      </c>
      <c r="F809" s="1">
        <v>35920</v>
      </c>
      <c r="G809">
        <v>2</v>
      </c>
      <c r="H809">
        <v>120.92</v>
      </c>
      <c r="I809" t="s">
        <v>58</v>
      </c>
      <c r="J809" t="s">
        <v>59</v>
      </c>
      <c r="K809" t="s">
        <v>60</v>
      </c>
      <c r="L809" t="s">
        <v>61</v>
      </c>
      <c r="M809">
        <v>5022</v>
      </c>
      <c r="N809" t="s">
        <v>62</v>
      </c>
      <c r="P809" t="s">
        <v>62</v>
      </c>
      <c r="Q809" t="s">
        <v>62</v>
      </c>
    </row>
    <row r="810" spans="1:17" x14ac:dyDescent="0.2">
      <c r="A810">
        <v>11056</v>
      </c>
      <c r="B810" t="s">
        <v>289</v>
      </c>
      <c r="C810">
        <v>8</v>
      </c>
      <c r="D810" s="1">
        <v>35913</v>
      </c>
      <c r="E810" s="1">
        <v>35927</v>
      </c>
      <c r="F810" s="1">
        <v>35916</v>
      </c>
      <c r="G810">
        <v>2</v>
      </c>
      <c r="H810">
        <v>278.95999999999998</v>
      </c>
      <c r="I810" t="s">
        <v>290</v>
      </c>
      <c r="J810" t="s">
        <v>291</v>
      </c>
      <c r="K810" t="s">
        <v>171</v>
      </c>
      <c r="L810" t="s">
        <v>18</v>
      </c>
      <c r="M810" t="s">
        <v>292</v>
      </c>
      <c r="N810" t="s">
        <v>173</v>
      </c>
      <c r="P810" t="s">
        <v>173</v>
      </c>
      <c r="Q810" t="s">
        <v>173</v>
      </c>
    </row>
    <row r="811" spans="1:17" x14ac:dyDescent="0.2">
      <c r="A811">
        <v>11057</v>
      </c>
      <c r="B811" t="s">
        <v>373</v>
      </c>
      <c r="C811">
        <v>3</v>
      </c>
      <c r="D811" s="1">
        <v>35914</v>
      </c>
      <c r="E811" s="1">
        <v>35942</v>
      </c>
      <c r="F811" s="1">
        <v>35916</v>
      </c>
      <c r="G811">
        <v>3</v>
      </c>
      <c r="H811">
        <v>4.13</v>
      </c>
      <c r="I811" t="s">
        <v>374</v>
      </c>
      <c r="J811" t="s">
        <v>375</v>
      </c>
      <c r="K811" t="s">
        <v>171</v>
      </c>
      <c r="L811" t="s">
        <v>18</v>
      </c>
      <c r="M811" t="s">
        <v>376</v>
      </c>
      <c r="N811" t="s">
        <v>173</v>
      </c>
      <c r="P811" t="s">
        <v>173</v>
      </c>
      <c r="Q811" t="s">
        <v>173</v>
      </c>
    </row>
    <row r="812" spans="1:17" x14ac:dyDescent="0.2">
      <c r="A812">
        <v>11058</v>
      </c>
      <c r="B812" t="s">
        <v>369</v>
      </c>
      <c r="C812">
        <v>9</v>
      </c>
      <c r="D812" s="1">
        <v>35914</v>
      </c>
      <c r="E812" s="1">
        <v>35942</v>
      </c>
      <c r="F812" t="s">
        <v>18</v>
      </c>
      <c r="G812">
        <v>3</v>
      </c>
      <c r="H812">
        <v>31.14</v>
      </c>
      <c r="I812" t="s">
        <v>370</v>
      </c>
      <c r="J812" t="s">
        <v>371</v>
      </c>
      <c r="K812" t="s">
        <v>372</v>
      </c>
      <c r="L812" t="s">
        <v>18</v>
      </c>
      <c r="M812">
        <v>68306</v>
      </c>
      <c r="N812" t="s">
        <v>24</v>
      </c>
      <c r="P812" t="s">
        <v>24</v>
      </c>
      <c r="Q812" t="s">
        <v>24</v>
      </c>
    </row>
    <row r="813" spans="1:17" x14ac:dyDescent="0.2">
      <c r="A813">
        <v>11059</v>
      </c>
      <c r="B813" t="s">
        <v>160</v>
      </c>
      <c r="C813">
        <v>2</v>
      </c>
      <c r="D813" s="1">
        <v>35914</v>
      </c>
      <c r="E813" s="1">
        <v>35956</v>
      </c>
      <c r="F813" t="s">
        <v>18</v>
      </c>
      <c r="G813">
        <v>2</v>
      </c>
      <c r="H813">
        <v>85.8</v>
      </c>
      <c r="I813" t="s">
        <v>161</v>
      </c>
      <c r="J813" t="s">
        <v>162</v>
      </c>
      <c r="K813">
        <v>267</v>
      </c>
      <c r="L813" t="s">
        <v>28</v>
      </c>
      <c r="M813" t="s">
        <v>29</v>
      </c>
      <c r="N813" t="s">
        <v>163</v>
      </c>
      <c r="O813" t="s">
        <v>31</v>
      </c>
      <c r="P813" t="s">
        <v>31</v>
      </c>
      <c r="Q813" t="s">
        <v>31</v>
      </c>
    </row>
    <row r="814" spans="1:17" x14ac:dyDescent="0.2">
      <c r="A814">
        <v>11060</v>
      </c>
      <c r="B814" t="s">
        <v>344</v>
      </c>
      <c r="C814">
        <v>2</v>
      </c>
      <c r="D814" s="1">
        <v>35915</v>
      </c>
      <c r="E814" s="1">
        <v>35943</v>
      </c>
      <c r="F814" s="1">
        <v>35919</v>
      </c>
      <c r="G814">
        <v>2</v>
      </c>
      <c r="H814">
        <v>10.98</v>
      </c>
      <c r="I814" t="s">
        <v>345</v>
      </c>
      <c r="J814" t="s">
        <v>346</v>
      </c>
      <c r="K814" t="s">
        <v>347</v>
      </c>
      <c r="L814" t="s">
        <v>18</v>
      </c>
      <c r="M814">
        <v>10100</v>
      </c>
      <c r="N814" t="s">
        <v>131</v>
      </c>
      <c r="P814" t="s">
        <v>131</v>
      </c>
      <c r="Q814" t="s">
        <v>131</v>
      </c>
    </row>
    <row r="815" spans="1:17" x14ac:dyDescent="0.2">
      <c r="A815">
        <v>11061</v>
      </c>
      <c r="B815" t="s">
        <v>380</v>
      </c>
      <c r="C815">
        <v>4</v>
      </c>
      <c r="D815" s="1">
        <v>35915</v>
      </c>
      <c r="E815" s="1">
        <v>35957</v>
      </c>
      <c r="F815" t="s">
        <v>18</v>
      </c>
      <c r="G815">
        <v>3</v>
      </c>
      <c r="H815">
        <v>14.01</v>
      </c>
      <c r="I815" t="s">
        <v>381</v>
      </c>
      <c r="J815" t="s">
        <v>382</v>
      </c>
      <c r="K815" t="s">
        <v>383</v>
      </c>
      <c r="L815" t="s">
        <v>206</v>
      </c>
      <c r="M815">
        <v>97403</v>
      </c>
      <c r="N815" t="s">
        <v>87</v>
      </c>
      <c r="P815" t="s">
        <v>87</v>
      </c>
      <c r="Q815" t="s">
        <v>87</v>
      </c>
    </row>
    <row r="816" spans="1:17" x14ac:dyDescent="0.2">
      <c r="A816">
        <v>11062</v>
      </c>
      <c r="B816" t="s">
        <v>164</v>
      </c>
      <c r="C816">
        <v>4</v>
      </c>
      <c r="D816" s="1">
        <v>35915</v>
      </c>
      <c r="E816" s="1">
        <v>35943</v>
      </c>
      <c r="F816" t="s">
        <v>18</v>
      </c>
      <c r="G816">
        <v>2</v>
      </c>
      <c r="H816">
        <v>29.93</v>
      </c>
      <c r="I816" t="s">
        <v>165</v>
      </c>
      <c r="J816" t="s">
        <v>166</v>
      </c>
      <c r="K816" t="s">
        <v>167</v>
      </c>
      <c r="L816" t="s">
        <v>18</v>
      </c>
      <c r="M816">
        <v>42100</v>
      </c>
      <c r="N816" t="s">
        <v>131</v>
      </c>
      <c r="P816" t="s">
        <v>131</v>
      </c>
      <c r="Q816" t="s">
        <v>131</v>
      </c>
    </row>
    <row r="817" spans="1:17" x14ac:dyDescent="0.2">
      <c r="A817">
        <v>11063</v>
      </c>
      <c r="B817" t="s">
        <v>183</v>
      </c>
      <c r="C817">
        <v>3</v>
      </c>
      <c r="D817" s="1">
        <v>35915</v>
      </c>
      <c r="E817" s="1">
        <v>35943</v>
      </c>
      <c r="F817" s="1">
        <v>35921</v>
      </c>
      <c r="G817">
        <v>2</v>
      </c>
      <c r="H817">
        <v>81.73</v>
      </c>
      <c r="I817" t="s">
        <v>184</v>
      </c>
      <c r="J817" t="s">
        <v>185</v>
      </c>
      <c r="K817" t="s">
        <v>186</v>
      </c>
      <c r="L817" t="s">
        <v>187</v>
      </c>
      <c r="M817" t="s">
        <v>18</v>
      </c>
      <c r="N817" t="s">
        <v>188</v>
      </c>
      <c r="P817" t="s">
        <v>188</v>
      </c>
      <c r="Q817" t="s">
        <v>188</v>
      </c>
    </row>
    <row r="818" spans="1:17" x14ac:dyDescent="0.2">
      <c r="A818">
        <v>11064</v>
      </c>
      <c r="B818" t="s">
        <v>231</v>
      </c>
      <c r="C818">
        <v>1</v>
      </c>
      <c r="D818" s="1">
        <v>35916</v>
      </c>
      <c r="E818" s="1">
        <v>35944</v>
      </c>
      <c r="F818" s="1">
        <v>35919</v>
      </c>
      <c r="G818">
        <v>1</v>
      </c>
      <c r="H818">
        <v>30.09</v>
      </c>
      <c r="I818" t="s">
        <v>232</v>
      </c>
      <c r="J818" t="s">
        <v>233</v>
      </c>
      <c r="K818" t="s">
        <v>234</v>
      </c>
      <c r="L818" t="s">
        <v>235</v>
      </c>
      <c r="M818">
        <v>83720</v>
      </c>
      <c r="N818" t="s">
        <v>87</v>
      </c>
      <c r="P818" t="s">
        <v>87</v>
      </c>
      <c r="Q818" t="s">
        <v>87</v>
      </c>
    </row>
    <row r="819" spans="1:17" x14ac:dyDescent="0.2">
      <c r="A819">
        <v>11065</v>
      </c>
      <c r="B819" t="s">
        <v>155</v>
      </c>
      <c r="C819">
        <v>8</v>
      </c>
      <c r="D819" s="1">
        <v>35916</v>
      </c>
      <c r="E819" s="1">
        <v>35944</v>
      </c>
      <c r="F819" t="s">
        <v>18</v>
      </c>
      <c r="G819">
        <v>1</v>
      </c>
      <c r="H819">
        <v>12.91</v>
      </c>
      <c r="I819" t="s">
        <v>156</v>
      </c>
      <c r="J819" t="s">
        <v>157</v>
      </c>
      <c r="K819" t="s">
        <v>158</v>
      </c>
      <c r="L819" t="s">
        <v>159</v>
      </c>
      <c r="M819">
        <v>3508</v>
      </c>
      <c r="N819" t="s">
        <v>62</v>
      </c>
      <c r="P819" t="s">
        <v>62</v>
      </c>
      <c r="Q819" t="s">
        <v>62</v>
      </c>
    </row>
    <row r="820" spans="1:17" x14ac:dyDescent="0.2">
      <c r="A820">
        <v>11066</v>
      </c>
      <c r="B820" t="s">
        <v>112</v>
      </c>
      <c r="C820">
        <v>7</v>
      </c>
      <c r="D820" s="1">
        <v>35916</v>
      </c>
      <c r="E820" s="1">
        <v>35944</v>
      </c>
      <c r="F820" s="1">
        <v>35919</v>
      </c>
      <c r="G820">
        <v>2</v>
      </c>
      <c r="H820">
        <v>44.72</v>
      </c>
      <c r="I820" t="s">
        <v>113</v>
      </c>
      <c r="J820" t="s">
        <v>114</v>
      </c>
      <c r="K820" t="s">
        <v>115</v>
      </c>
      <c r="L820" t="s">
        <v>116</v>
      </c>
      <c r="M820">
        <v>98124</v>
      </c>
      <c r="N820" t="s">
        <v>87</v>
      </c>
      <c r="P820" t="s">
        <v>87</v>
      </c>
      <c r="Q820" t="s">
        <v>87</v>
      </c>
    </row>
    <row r="821" spans="1:17" x14ac:dyDescent="0.2">
      <c r="A821">
        <v>11067</v>
      </c>
      <c r="B821" t="s">
        <v>285</v>
      </c>
      <c r="C821">
        <v>1</v>
      </c>
      <c r="D821" s="1">
        <v>35919</v>
      </c>
      <c r="E821" s="1">
        <v>35933</v>
      </c>
      <c r="F821" s="1">
        <v>35921</v>
      </c>
      <c r="G821">
        <v>2</v>
      </c>
      <c r="H821">
        <v>7.98</v>
      </c>
      <c r="I821" t="s">
        <v>286</v>
      </c>
      <c r="J821" t="s">
        <v>287</v>
      </c>
      <c r="K821" t="s">
        <v>288</v>
      </c>
      <c r="L821" t="s">
        <v>18</v>
      </c>
      <c r="M821">
        <v>52066</v>
      </c>
      <c r="N821" t="s">
        <v>24</v>
      </c>
      <c r="P821" t="s">
        <v>24</v>
      </c>
      <c r="Q821" t="s">
        <v>24</v>
      </c>
    </row>
    <row r="822" spans="1:17" x14ac:dyDescent="0.2">
      <c r="A822">
        <v>11068</v>
      </c>
      <c r="B822" t="s">
        <v>305</v>
      </c>
      <c r="C822">
        <v>8</v>
      </c>
      <c r="D822" s="1">
        <v>35919</v>
      </c>
      <c r="E822" s="1">
        <v>35947</v>
      </c>
      <c r="F822" t="s">
        <v>18</v>
      </c>
      <c r="G822">
        <v>2</v>
      </c>
      <c r="H822">
        <v>81.75</v>
      </c>
      <c r="I822" t="s">
        <v>306</v>
      </c>
      <c r="J822" t="s">
        <v>307</v>
      </c>
      <c r="K822">
        <v>891</v>
      </c>
      <c r="L822" t="s">
        <v>177</v>
      </c>
      <c r="M822" t="s">
        <v>55</v>
      </c>
      <c r="N822" t="s">
        <v>308</v>
      </c>
      <c r="O822" t="s">
        <v>31</v>
      </c>
      <c r="P822" t="s">
        <v>31</v>
      </c>
      <c r="Q822" t="s">
        <v>31</v>
      </c>
    </row>
    <row r="823" spans="1:17" x14ac:dyDescent="0.2">
      <c r="A823">
        <v>11069</v>
      </c>
      <c r="B823" t="s">
        <v>132</v>
      </c>
      <c r="C823">
        <v>1</v>
      </c>
      <c r="D823" s="1">
        <v>35919</v>
      </c>
      <c r="E823" s="1">
        <v>35947</v>
      </c>
      <c r="F823" s="1">
        <v>35921</v>
      </c>
      <c r="G823">
        <v>2</v>
      </c>
      <c r="H823">
        <v>15.67</v>
      </c>
      <c r="I823" t="s">
        <v>133</v>
      </c>
      <c r="J823" t="s">
        <v>134</v>
      </c>
      <c r="K823" t="s">
        <v>71</v>
      </c>
      <c r="L823" t="s">
        <v>18</v>
      </c>
      <c r="M823" s="2" t="s">
        <v>135</v>
      </c>
      <c r="N823" t="s">
        <v>73</v>
      </c>
      <c r="P823" t="s">
        <v>73</v>
      </c>
      <c r="Q823" t="s">
        <v>73</v>
      </c>
    </row>
    <row r="824" spans="1:17" x14ac:dyDescent="0.2">
      <c r="A824">
        <v>11070</v>
      </c>
      <c r="B824" t="s">
        <v>146</v>
      </c>
      <c r="C824">
        <v>2</v>
      </c>
      <c r="D824" s="1">
        <v>35920</v>
      </c>
      <c r="E824" s="1">
        <v>35948</v>
      </c>
      <c r="F824" t="s">
        <v>18</v>
      </c>
      <c r="G824">
        <v>1</v>
      </c>
      <c r="H824">
        <v>136</v>
      </c>
      <c r="I824" t="s">
        <v>147</v>
      </c>
      <c r="J824" t="s">
        <v>148</v>
      </c>
      <c r="K824" t="s">
        <v>149</v>
      </c>
      <c r="L824" t="s">
        <v>18</v>
      </c>
      <c r="M824">
        <v>60528</v>
      </c>
      <c r="N824" t="s">
        <v>24</v>
      </c>
      <c r="P824" t="s">
        <v>24</v>
      </c>
      <c r="Q824" t="s">
        <v>24</v>
      </c>
    </row>
    <row r="825" spans="1:17" x14ac:dyDescent="0.2">
      <c r="A825">
        <v>11071</v>
      </c>
      <c r="B825" t="s">
        <v>155</v>
      </c>
      <c r="C825">
        <v>1</v>
      </c>
      <c r="D825" s="1">
        <v>35920</v>
      </c>
      <c r="E825" s="1">
        <v>35948</v>
      </c>
      <c r="F825" t="s">
        <v>18</v>
      </c>
      <c r="G825">
        <v>1</v>
      </c>
      <c r="H825">
        <v>0.93</v>
      </c>
      <c r="I825" t="s">
        <v>156</v>
      </c>
      <c r="J825" t="s">
        <v>157</v>
      </c>
      <c r="K825" t="s">
        <v>158</v>
      </c>
      <c r="L825" t="s">
        <v>159</v>
      </c>
      <c r="M825">
        <v>3508</v>
      </c>
      <c r="N825" t="s">
        <v>62</v>
      </c>
      <c r="P825" t="s">
        <v>62</v>
      </c>
      <c r="Q825" t="s">
        <v>62</v>
      </c>
    </row>
    <row r="826" spans="1:17" x14ac:dyDescent="0.2">
      <c r="A826">
        <v>11072</v>
      </c>
      <c r="B826" t="s">
        <v>63</v>
      </c>
      <c r="C826">
        <v>4</v>
      </c>
      <c r="D826" s="1">
        <v>35920</v>
      </c>
      <c r="E826" s="1">
        <v>35948</v>
      </c>
      <c r="F826" t="s">
        <v>18</v>
      </c>
      <c r="G826">
        <v>2</v>
      </c>
      <c r="H826">
        <v>258.64</v>
      </c>
      <c r="I826" t="s">
        <v>64</v>
      </c>
      <c r="J826" t="s">
        <v>65</v>
      </c>
      <c r="K826" t="s">
        <v>66</v>
      </c>
      <c r="L826" t="s">
        <v>18</v>
      </c>
      <c r="M826">
        <v>8010</v>
      </c>
      <c r="N826" t="s">
        <v>67</v>
      </c>
      <c r="P826" t="s">
        <v>67</v>
      </c>
      <c r="Q826" t="s">
        <v>67</v>
      </c>
    </row>
    <row r="827" spans="1:17" x14ac:dyDescent="0.2">
      <c r="A827">
        <v>11073</v>
      </c>
      <c r="B827" t="s">
        <v>224</v>
      </c>
      <c r="C827">
        <v>2</v>
      </c>
      <c r="D827" s="1">
        <v>35920</v>
      </c>
      <c r="E827" s="1">
        <v>35948</v>
      </c>
      <c r="F827" t="s">
        <v>18</v>
      </c>
      <c r="G827">
        <v>2</v>
      </c>
      <c r="H827">
        <v>24.95</v>
      </c>
      <c r="I827" t="s">
        <v>225</v>
      </c>
      <c r="J827" t="s">
        <v>226</v>
      </c>
      <c r="K827" t="s">
        <v>71</v>
      </c>
      <c r="L827" t="s">
        <v>18</v>
      </c>
      <c r="M827" s="2" t="s">
        <v>135</v>
      </c>
      <c r="N827" t="s">
        <v>73</v>
      </c>
      <c r="P827" t="s">
        <v>73</v>
      </c>
      <c r="Q827" t="s">
        <v>73</v>
      </c>
    </row>
    <row r="828" spans="1:17" x14ac:dyDescent="0.2">
      <c r="A828">
        <v>11074</v>
      </c>
      <c r="B828" t="s">
        <v>258</v>
      </c>
      <c r="C828">
        <v>7</v>
      </c>
      <c r="D828" s="1">
        <v>35921</v>
      </c>
      <c r="E828" s="1">
        <v>35949</v>
      </c>
      <c r="F828" t="s">
        <v>18</v>
      </c>
      <c r="G828">
        <v>2</v>
      </c>
      <c r="H828">
        <v>18.440000000000001</v>
      </c>
      <c r="I828" t="s">
        <v>259</v>
      </c>
      <c r="J828" t="s">
        <v>260</v>
      </c>
      <c r="K828" t="s">
        <v>261</v>
      </c>
      <c r="L828" t="s">
        <v>18</v>
      </c>
      <c r="M828">
        <v>1734</v>
      </c>
      <c r="N828" t="s">
        <v>262</v>
      </c>
      <c r="P828" t="s">
        <v>262</v>
      </c>
      <c r="Q828" t="s">
        <v>262</v>
      </c>
    </row>
    <row r="829" spans="1:17" x14ac:dyDescent="0.2">
      <c r="A829">
        <v>11075</v>
      </c>
      <c r="B829" t="s">
        <v>47</v>
      </c>
      <c r="C829">
        <v>8</v>
      </c>
      <c r="D829" s="1">
        <v>35921</v>
      </c>
      <c r="E829" s="1">
        <v>35949</v>
      </c>
      <c r="F829" t="s">
        <v>18</v>
      </c>
      <c r="G829">
        <v>2</v>
      </c>
      <c r="H829">
        <v>6.19</v>
      </c>
      <c r="I829" t="s">
        <v>48</v>
      </c>
      <c r="J829" t="s">
        <v>49</v>
      </c>
      <c r="K829" t="s">
        <v>50</v>
      </c>
      <c r="L829" t="s">
        <v>18</v>
      </c>
      <c r="M829">
        <v>1204</v>
      </c>
      <c r="N829" t="s">
        <v>46</v>
      </c>
      <c r="P829" t="s">
        <v>46</v>
      </c>
      <c r="Q829" t="s">
        <v>46</v>
      </c>
    </row>
    <row r="830" spans="1:17" x14ac:dyDescent="0.2">
      <c r="A830">
        <v>11076</v>
      </c>
      <c r="B830" t="s">
        <v>244</v>
      </c>
      <c r="C830">
        <v>4</v>
      </c>
      <c r="D830" s="1">
        <v>35921</v>
      </c>
      <c r="E830" s="1">
        <v>35949</v>
      </c>
      <c r="F830" t="s">
        <v>18</v>
      </c>
      <c r="G830">
        <v>2</v>
      </c>
      <c r="H830">
        <v>38.28</v>
      </c>
      <c r="I830" t="s">
        <v>245</v>
      </c>
      <c r="J830">
        <v>12</v>
      </c>
      <c r="K830" t="s">
        <v>246</v>
      </c>
      <c r="L830" t="s">
        <v>247</v>
      </c>
      <c r="M830" t="s">
        <v>18</v>
      </c>
      <c r="N830">
        <v>13008</v>
      </c>
      <c r="O830" t="s">
        <v>19</v>
      </c>
      <c r="P830" t="s">
        <v>19</v>
      </c>
      <c r="Q830" t="s">
        <v>19</v>
      </c>
    </row>
    <row r="831" spans="1:17" x14ac:dyDescent="0.2">
      <c r="A831">
        <v>11077</v>
      </c>
      <c r="B831" t="s">
        <v>82</v>
      </c>
      <c r="C831">
        <v>1</v>
      </c>
      <c r="D831" s="1">
        <v>35921</v>
      </c>
      <c r="E831" s="1">
        <v>35949</v>
      </c>
      <c r="F831" t="s">
        <v>18</v>
      </c>
      <c r="G831">
        <v>2</v>
      </c>
      <c r="H831">
        <v>8.5299999999999994</v>
      </c>
      <c r="I831" t="s">
        <v>83</v>
      </c>
      <c r="J831" t="s">
        <v>84</v>
      </c>
      <c r="K831" t="s">
        <v>85</v>
      </c>
      <c r="L831" t="s">
        <v>86</v>
      </c>
      <c r="M831">
        <v>87110</v>
      </c>
      <c r="N831" t="s">
        <v>87</v>
      </c>
      <c r="P831" t="s">
        <v>87</v>
      </c>
      <c r="Q831" t="s">
        <v>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ED29D-6A49-2E42-A71B-AB45C1B0A7F9}">
  <sheetPr codeName="Hoja2"/>
  <dimension ref="A1:I831"/>
  <sheetViews>
    <sheetView zoomScale="150" workbookViewId="0">
      <selection activeCell="A2" sqref="A2"/>
    </sheetView>
  </sheetViews>
  <sheetFormatPr baseColWidth="10" defaultRowHeight="16" x14ac:dyDescent="0.2"/>
  <cols>
    <col min="2" max="2" width="12" customWidth="1"/>
    <col min="3" max="3" width="12.33203125" customWidth="1"/>
    <col min="4" max="4" width="10.83203125" style="6"/>
    <col min="5" max="5" width="13.33203125" style="6" customWidth="1"/>
    <col min="6" max="6" width="13" style="6" customWidth="1"/>
    <col min="7" max="8" width="16.33203125" customWidth="1"/>
    <col min="9" max="9" width="16.6640625" customWidth="1"/>
  </cols>
  <sheetData>
    <row r="1" spans="1:9" x14ac:dyDescent="0.2">
      <c r="A1" t="s">
        <v>0</v>
      </c>
      <c r="B1" t="s">
        <v>1</v>
      </c>
      <c r="C1" t="s">
        <v>2</v>
      </c>
      <c r="D1" s="6" t="s">
        <v>3</v>
      </c>
      <c r="E1" s="6" t="s">
        <v>4</v>
      </c>
      <c r="F1" s="6" t="s">
        <v>5</v>
      </c>
      <c r="G1" t="s">
        <v>6</v>
      </c>
      <c r="H1" t="s">
        <v>7</v>
      </c>
      <c r="I1" t="s">
        <v>13</v>
      </c>
    </row>
    <row r="2" spans="1:9" x14ac:dyDescent="0.2">
      <c r="A2">
        <v>10248</v>
      </c>
      <c r="B2" t="s">
        <v>14</v>
      </c>
      <c r="C2">
        <v>5</v>
      </c>
      <c r="D2" s="6">
        <v>35250</v>
      </c>
      <c r="E2" s="6">
        <v>35278</v>
      </c>
      <c r="F2" s="6">
        <v>35262</v>
      </c>
      <c r="G2">
        <v>3</v>
      </c>
      <c r="H2">
        <v>32.380000000000003</v>
      </c>
      <c r="I2" t="s">
        <v>19</v>
      </c>
    </row>
    <row r="3" spans="1:9" x14ac:dyDescent="0.2">
      <c r="A3">
        <v>10249</v>
      </c>
      <c r="B3" t="s">
        <v>20</v>
      </c>
      <c r="C3">
        <v>6</v>
      </c>
      <c r="D3" s="6">
        <v>35251</v>
      </c>
      <c r="E3" s="6">
        <v>35293</v>
      </c>
      <c r="F3" s="6">
        <v>35256</v>
      </c>
      <c r="G3">
        <v>1</v>
      </c>
      <c r="H3">
        <v>11.61</v>
      </c>
      <c r="I3" t="s">
        <v>24</v>
      </c>
    </row>
    <row r="4" spans="1:9" x14ac:dyDescent="0.2">
      <c r="A4">
        <v>10250</v>
      </c>
      <c r="B4" t="s">
        <v>25</v>
      </c>
      <c r="C4">
        <v>4</v>
      </c>
      <c r="D4" s="6">
        <v>35254</v>
      </c>
      <c r="E4" s="6">
        <v>35282</v>
      </c>
      <c r="F4" s="6">
        <v>35258</v>
      </c>
      <c r="G4">
        <v>2</v>
      </c>
      <c r="H4">
        <v>65.83</v>
      </c>
      <c r="I4" t="s">
        <v>31</v>
      </c>
    </row>
    <row r="5" spans="1:9" x14ac:dyDescent="0.2">
      <c r="A5">
        <v>10251</v>
      </c>
      <c r="B5" t="s">
        <v>32</v>
      </c>
      <c r="C5">
        <v>3</v>
      </c>
      <c r="D5" s="6">
        <v>35254</v>
      </c>
      <c r="E5" s="6">
        <v>35282</v>
      </c>
      <c r="F5" s="6">
        <v>35261</v>
      </c>
      <c r="G5">
        <v>1</v>
      </c>
      <c r="H5">
        <v>41.34</v>
      </c>
      <c r="I5" t="s">
        <v>19</v>
      </c>
    </row>
    <row r="6" spans="1:9" x14ac:dyDescent="0.2">
      <c r="A6">
        <v>10252</v>
      </c>
      <c r="B6" t="s">
        <v>36</v>
      </c>
      <c r="C6">
        <v>4</v>
      </c>
      <c r="D6" s="6">
        <v>35255</v>
      </c>
      <c r="E6" s="6">
        <v>35283</v>
      </c>
      <c r="F6" s="6">
        <v>35257</v>
      </c>
      <c r="G6">
        <v>2</v>
      </c>
      <c r="H6">
        <v>51.3</v>
      </c>
      <c r="I6" t="s">
        <v>41</v>
      </c>
    </row>
    <row r="7" spans="1:9" x14ac:dyDescent="0.2">
      <c r="A7">
        <v>10253</v>
      </c>
      <c r="B7" t="s">
        <v>25</v>
      </c>
      <c r="C7">
        <v>3</v>
      </c>
      <c r="D7" s="6">
        <v>35256</v>
      </c>
      <c r="E7" s="6">
        <v>35270</v>
      </c>
      <c r="F7" s="6">
        <v>35262</v>
      </c>
      <c r="G7">
        <v>2</v>
      </c>
      <c r="H7">
        <v>58.17</v>
      </c>
      <c r="I7" t="s">
        <v>31</v>
      </c>
    </row>
    <row r="8" spans="1:9" x14ac:dyDescent="0.2">
      <c r="A8">
        <v>10254</v>
      </c>
      <c r="B8" t="s">
        <v>42</v>
      </c>
      <c r="C8">
        <v>5</v>
      </c>
      <c r="D8" s="6">
        <v>35257</v>
      </c>
      <c r="E8" s="6">
        <v>35285</v>
      </c>
      <c r="F8" s="6">
        <v>35269</v>
      </c>
      <c r="G8">
        <v>2</v>
      </c>
      <c r="H8">
        <v>22.98</v>
      </c>
      <c r="I8" t="s">
        <v>46</v>
      </c>
    </row>
    <row r="9" spans="1:9" x14ac:dyDescent="0.2">
      <c r="A9">
        <v>10255</v>
      </c>
      <c r="B9" t="s">
        <v>47</v>
      </c>
      <c r="C9">
        <v>9</v>
      </c>
      <c r="D9" s="6">
        <v>35258</v>
      </c>
      <c r="E9" s="6">
        <v>35286</v>
      </c>
      <c r="F9" s="6">
        <v>35261</v>
      </c>
      <c r="G9">
        <v>3</v>
      </c>
      <c r="H9">
        <v>148.33000000000001</v>
      </c>
      <c r="I9" t="s">
        <v>46</v>
      </c>
    </row>
    <row r="10" spans="1:9" x14ac:dyDescent="0.2">
      <c r="A10">
        <v>10256</v>
      </c>
      <c r="B10" t="s">
        <v>51</v>
      </c>
      <c r="C10">
        <v>3</v>
      </c>
      <c r="D10" s="6">
        <v>35261</v>
      </c>
      <c r="E10" s="6">
        <v>35289</v>
      </c>
      <c r="F10" s="6">
        <v>35263</v>
      </c>
      <c r="G10">
        <v>2</v>
      </c>
      <c r="H10">
        <v>13.97</v>
      </c>
      <c r="I10" t="s">
        <v>31</v>
      </c>
    </row>
    <row r="11" spans="1:9" x14ac:dyDescent="0.2">
      <c r="A11">
        <v>10257</v>
      </c>
      <c r="B11" t="s">
        <v>57</v>
      </c>
      <c r="C11">
        <v>4</v>
      </c>
      <c r="D11" s="6">
        <v>35262</v>
      </c>
      <c r="E11" s="6">
        <v>35290</v>
      </c>
      <c r="F11" s="6">
        <v>35268</v>
      </c>
      <c r="G11">
        <v>3</v>
      </c>
      <c r="H11">
        <v>81.91</v>
      </c>
      <c r="I11" t="s">
        <v>62</v>
      </c>
    </row>
    <row r="12" spans="1:9" x14ac:dyDescent="0.2">
      <c r="A12">
        <v>10258</v>
      </c>
      <c r="B12" t="s">
        <v>63</v>
      </c>
      <c r="C12">
        <v>1</v>
      </c>
      <c r="D12" s="6">
        <v>35263</v>
      </c>
      <c r="E12" s="6">
        <v>35291</v>
      </c>
      <c r="F12" s="6">
        <v>35269</v>
      </c>
      <c r="G12">
        <v>1</v>
      </c>
      <c r="H12">
        <v>140.51</v>
      </c>
      <c r="I12" t="s">
        <v>67</v>
      </c>
    </row>
    <row r="13" spans="1:9" x14ac:dyDescent="0.2">
      <c r="A13">
        <v>10259</v>
      </c>
      <c r="B13" t="s">
        <v>68</v>
      </c>
      <c r="C13">
        <v>4</v>
      </c>
      <c r="D13" s="6">
        <v>35264</v>
      </c>
      <c r="E13" s="6">
        <v>35292</v>
      </c>
      <c r="F13" s="6">
        <v>35271</v>
      </c>
      <c r="G13">
        <v>3</v>
      </c>
      <c r="H13">
        <v>3.25</v>
      </c>
      <c r="I13" t="s">
        <v>73</v>
      </c>
    </row>
    <row r="14" spans="1:9" x14ac:dyDescent="0.2">
      <c r="A14">
        <v>10260</v>
      </c>
      <c r="B14" t="s">
        <v>74</v>
      </c>
      <c r="C14">
        <v>4</v>
      </c>
      <c r="D14" s="6">
        <v>35265</v>
      </c>
      <c r="E14" s="6">
        <v>35293</v>
      </c>
      <c r="F14" s="6">
        <v>35275</v>
      </c>
      <c r="G14">
        <v>1</v>
      </c>
      <c r="H14">
        <v>55.09</v>
      </c>
      <c r="I14" t="s">
        <v>24</v>
      </c>
    </row>
    <row r="15" spans="1:9" x14ac:dyDescent="0.2">
      <c r="A15">
        <v>10261</v>
      </c>
      <c r="B15" t="s">
        <v>78</v>
      </c>
      <c r="C15">
        <v>4</v>
      </c>
      <c r="D15" s="6">
        <v>35265</v>
      </c>
      <c r="E15" s="6">
        <v>35293</v>
      </c>
      <c r="F15" s="6">
        <v>35276</v>
      </c>
      <c r="G15">
        <v>2</v>
      </c>
      <c r="H15">
        <v>3.05</v>
      </c>
      <c r="I15" t="s">
        <v>31</v>
      </c>
    </row>
    <row r="16" spans="1:9" x14ac:dyDescent="0.2">
      <c r="A16">
        <v>10262</v>
      </c>
      <c r="B16" t="s">
        <v>82</v>
      </c>
      <c r="C16">
        <v>8</v>
      </c>
      <c r="D16" s="6">
        <v>35268</v>
      </c>
      <c r="E16" s="6">
        <v>35296</v>
      </c>
      <c r="F16" s="6">
        <v>35271</v>
      </c>
      <c r="G16">
        <v>3</v>
      </c>
      <c r="H16">
        <v>48.29</v>
      </c>
      <c r="I16" t="s">
        <v>87</v>
      </c>
    </row>
    <row r="17" spans="1:9" x14ac:dyDescent="0.2">
      <c r="A17">
        <v>10263</v>
      </c>
      <c r="B17" t="s">
        <v>63</v>
      </c>
      <c r="C17">
        <v>9</v>
      </c>
      <c r="D17" s="6">
        <v>35269</v>
      </c>
      <c r="E17" s="6">
        <v>35297</v>
      </c>
      <c r="F17" s="6">
        <v>35277</v>
      </c>
      <c r="G17">
        <v>3</v>
      </c>
      <c r="H17">
        <v>146.06</v>
      </c>
      <c r="I17" t="s">
        <v>67</v>
      </c>
    </row>
    <row r="18" spans="1:9" x14ac:dyDescent="0.2">
      <c r="A18">
        <v>10264</v>
      </c>
      <c r="B18" t="s">
        <v>88</v>
      </c>
      <c r="C18">
        <v>6</v>
      </c>
      <c r="D18" s="6">
        <v>35270</v>
      </c>
      <c r="E18" s="6">
        <v>35298</v>
      </c>
      <c r="F18" s="6">
        <v>35300</v>
      </c>
      <c r="G18">
        <v>3</v>
      </c>
      <c r="H18">
        <v>3.67</v>
      </c>
      <c r="I18" t="s">
        <v>93</v>
      </c>
    </row>
    <row r="19" spans="1:9" x14ac:dyDescent="0.2">
      <c r="A19">
        <v>10265</v>
      </c>
      <c r="B19" t="s">
        <v>94</v>
      </c>
      <c r="C19">
        <v>2</v>
      </c>
      <c r="D19" s="6">
        <v>35271</v>
      </c>
      <c r="E19" s="6">
        <v>35299</v>
      </c>
      <c r="F19" s="6">
        <v>35289</v>
      </c>
      <c r="G19">
        <v>1</v>
      </c>
      <c r="H19">
        <v>55.28</v>
      </c>
      <c r="I19" t="s">
        <v>19</v>
      </c>
    </row>
    <row r="20" spans="1:9" x14ac:dyDescent="0.2">
      <c r="A20">
        <v>10266</v>
      </c>
      <c r="B20" t="s">
        <v>98</v>
      </c>
      <c r="C20">
        <v>3</v>
      </c>
      <c r="D20" s="6">
        <v>35272</v>
      </c>
      <c r="E20" s="6">
        <v>35314</v>
      </c>
      <c r="F20" s="6">
        <v>35277</v>
      </c>
      <c r="G20">
        <v>3</v>
      </c>
      <c r="H20">
        <v>25.73</v>
      </c>
      <c r="I20" t="s">
        <v>102</v>
      </c>
    </row>
    <row r="21" spans="1:9" x14ac:dyDescent="0.2">
      <c r="A21">
        <v>10267</v>
      </c>
      <c r="B21" t="s">
        <v>103</v>
      </c>
      <c r="C21">
        <v>4</v>
      </c>
      <c r="D21" s="6">
        <v>35275</v>
      </c>
      <c r="E21" s="6">
        <v>35303</v>
      </c>
      <c r="F21" s="6">
        <v>35283</v>
      </c>
      <c r="G21">
        <v>1</v>
      </c>
      <c r="H21">
        <v>208.58</v>
      </c>
      <c r="I21" t="s">
        <v>24</v>
      </c>
    </row>
    <row r="22" spans="1:9" x14ac:dyDescent="0.2">
      <c r="A22">
        <v>10268</v>
      </c>
      <c r="B22" t="s">
        <v>107</v>
      </c>
      <c r="C22">
        <v>8</v>
      </c>
      <c r="D22" s="6">
        <v>35276</v>
      </c>
      <c r="E22" s="6">
        <v>35304</v>
      </c>
      <c r="F22" s="6">
        <v>35279</v>
      </c>
      <c r="G22">
        <v>3</v>
      </c>
      <c r="H22">
        <v>66.290000000000006</v>
      </c>
      <c r="I22" t="s">
        <v>62</v>
      </c>
    </row>
    <row r="23" spans="1:9" x14ac:dyDescent="0.2">
      <c r="A23">
        <v>10269</v>
      </c>
      <c r="B23" t="s">
        <v>112</v>
      </c>
      <c r="C23">
        <v>5</v>
      </c>
      <c r="D23" s="6">
        <v>35277</v>
      </c>
      <c r="E23" s="6">
        <v>35291</v>
      </c>
      <c r="F23" s="6">
        <v>35286</v>
      </c>
      <c r="G23">
        <v>1</v>
      </c>
      <c r="H23">
        <v>4.5599999999999996</v>
      </c>
      <c r="I23" t="s">
        <v>87</v>
      </c>
    </row>
    <row r="24" spans="1:9" x14ac:dyDescent="0.2">
      <c r="A24">
        <v>10270</v>
      </c>
      <c r="B24" t="s">
        <v>98</v>
      </c>
      <c r="C24">
        <v>1</v>
      </c>
      <c r="D24" s="6">
        <v>35278</v>
      </c>
      <c r="E24" s="6">
        <v>35306</v>
      </c>
      <c r="F24" s="6">
        <v>35279</v>
      </c>
      <c r="G24">
        <v>1</v>
      </c>
      <c r="H24">
        <v>136.54</v>
      </c>
      <c r="I24" t="s">
        <v>102</v>
      </c>
    </row>
    <row r="25" spans="1:9" x14ac:dyDescent="0.2">
      <c r="A25">
        <v>10271</v>
      </c>
      <c r="B25" t="s">
        <v>117</v>
      </c>
      <c r="C25">
        <v>6</v>
      </c>
      <c r="D25" s="6">
        <v>35278</v>
      </c>
      <c r="E25" s="6">
        <v>35306</v>
      </c>
      <c r="F25" s="6">
        <v>35307</v>
      </c>
      <c r="G25">
        <v>2</v>
      </c>
      <c r="H25">
        <v>4.54</v>
      </c>
      <c r="I25" t="s">
        <v>87</v>
      </c>
    </row>
    <row r="26" spans="1:9" x14ac:dyDescent="0.2">
      <c r="A26">
        <v>10272</v>
      </c>
      <c r="B26" t="s">
        <v>82</v>
      </c>
      <c r="C26">
        <v>6</v>
      </c>
      <c r="D26" s="6">
        <v>35279</v>
      </c>
      <c r="E26" s="6">
        <v>35307</v>
      </c>
      <c r="F26" s="6">
        <v>35283</v>
      </c>
      <c r="G26">
        <v>2</v>
      </c>
      <c r="H26">
        <v>98.03</v>
      </c>
      <c r="I26" t="s">
        <v>87</v>
      </c>
    </row>
    <row r="27" spans="1:9" x14ac:dyDescent="0.2">
      <c r="A27">
        <v>10273</v>
      </c>
      <c r="B27" t="s">
        <v>122</v>
      </c>
      <c r="C27">
        <v>3</v>
      </c>
      <c r="D27" s="6">
        <v>35282</v>
      </c>
      <c r="E27" s="6">
        <v>35310</v>
      </c>
      <c r="F27" s="6">
        <v>35289</v>
      </c>
      <c r="G27">
        <v>3</v>
      </c>
      <c r="H27">
        <v>76.069999999999993</v>
      </c>
      <c r="I27" t="s">
        <v>24</v>
      </c>
    </row>
    <row r="28" spans="1:9" x14ac:dyDescent="0.2">
      <c r="A28">
        <v>10274</v>
      </c>
      <c r="B28" t="s">
        <v>14</v>
      </c>
      <c r="C28">
        <v>6</v>
      </c>
      <c r="D28" s="6">
        <v>35283</v>
      </c>
      <c r="E28" s="6">
        <v>35311</v>
      </c>
      <c r="F28" s="6">
        <v>35293</v>
      </c>
      <c r="G28">
        <v>1</v>
      </c>
      <c r="H28">
        <v>6.01</v>
      </c>
      <c r="I28" t="s">
        <v>19</v>
      </c>
    </row>
    <row r="29" spans="1:9" x14ac:dyDescent="0.2">
      <c r="A29">
        <v>10275</v>
      </c>
      <c r="B29" t="s">
        <v>127</v>
      </c>
      <c r="C29">
        <v>1</v>
      </c>
      <c r="D29" s="6">
        <v>35284</v>
      </c>
      <c r="E29" s="6">
        <v>35312</v>
      </c>
      <c r="F29" s="6">
        <v>35286</v>
      </c>
      <c r="G29">
        <v>1</v>
      </c>
      <c r="H29">
        <v>26.93</v>
      </c>
      <c r="I29" t="s">
        <v>131</v>
      </c>
    </row>
    <row r="30" spans="1:9" x14ac:dyDescent="0.2">
      <c r="A30">
        <v>10276</v>
      </c>
      <c r="B30" t="s">
        <v>132</v>
      </c>
      <c r="C30">
        <v>8</v>
      </c>
      <c r="D30" s="6">
        <v>35285</v>
      </c>
      <c r="E30" s="6">
        <v>35299</v>
      </c>
      <c r="F30" s="6">
        <v>35291</v>
      </c>
      <c r="G30">
        <v>3</v>
      </c>
      <c r="H30">
        <v>13.84</v>
      </c>
      <c r="I30" t="s">
        <v>73</v>
      </c>
    </row>
    <row r="31" spans="1:9" x14ac:dyDescent="0.2">
      <c r="A31">
        <v>10277</v>
      </c>
      <c r="B31" t="s">
        <v>136</v>
      </c>
      <c r="C31">
        <v>2</v>
      </c>
      <c r="D31" s="6">
        <v>35286</v>
      </c>
      <c r="E31" s="6">
        <v>35314</v>
      </c>
      <c r="F31" s="6">
        <v>35290</v>
      </c>
      <c r="G31">
        <v>3</v>
      </c>
      <c r="H31">
        <v>125.77</v>
      </c>
      <c r="I31" t="s">
        <v>24</v>
      </c>
    </row>
    <row r="32" spans="1:9" x14ac:dyDescent="0.2">
      <c r="A32">
        <v>10278</v>
      </c>
      <c r="B32" t="s">
        <v>141</v>
      </c>
      <c r="C32">
        <v>8</v>
      </c>
      <c r="D32" s="6">
        <v>35289</v>
      </c>
      <c r="E32" s="6">
        <v>35317</v>
      </c>
      <c r="F32" s="6">
        <v>35293</v>
      </c>
      <c r="G32">
        <v>2</v>
      </c>
      <c r="H32">
        <v>92.69</v>
      </c>
      <c r="I32" t="s">
        <v>93</v>
      </c>
    </row>
    <row r="33" spans="1:9" x14ac:dyDescent="0.2">
      <c r="A33">
        <v>10279</v>
      </c>
      <c r="B33" t="s">
        <v>146</v>
      </c>
      <c r="C33">
        <v>8</v>
      </c>
      <c r="D33" s="6">
        <v>35290</v>
      </c>
      <c r="E33" s="6">
        <v>35318</v>
      </c>
      <c r="F33" s="6">
        <v>35293</v>
      </c>
      <c r="G33">
        <v>2</v>
      </c>
      <c r="H33">
        <v>25.83</v>
      </c>
      <c r="I33" t="s">
        <v>24</v>
      </c>
    </row>
    <row r="34" spans="1:9" x14ac:dyDescent="0.2">
      <c r="A34">
        <v>10280</v>
      </c>
      <c r="B34" t="s">
        <v>141</v>
      </c>
      <c r="C34">
        <v>2</v>
      </c>
      <c r="D34" s="6">
        <v>35291</v>
      </c>
      <c r="E34" s="6">
        <v>35319</v>
      </c>
      <c r="F34" s="6">
        <v>35320</v>
      </c>
      <c r="G34">
        <v>1</v>
      </c>
      <c r="H34">
        <v>8.98</v>
      </c>
      <c r="I34" t="s">
        <v>93</v>
      </c>
    </row>
    <row r="35" spans="1:9" x14ac:dyDescent="0.2">
      <c r="A35">
        <v>10281</v>
      </c>
      <c r="B35" t="s">
        <v>150</v>
      </c>
      <c r="C35">
        <v>4</v>
      </c>
      <c r="D35" s="6">
        <v>35291</v>
      </c>
      <c r="E35" s="6">
        <v>35305</v>
      </c>
      <c r="F35" s="6">
        <v>35298</v>
      </c>
      <c r="G35">
        <v>1</v>
      </c>
      <c r="H35">
        <v>2.94</v>
      </c>
      <c r="I35" t="s">
        <v>154</v>
      </c>
    </row>
    <row r="36" spans="1:9" x14ac:dyDescent="0.2">
      <c r="A36">
        <v>10282</v>
      </c>
      <c r="B36" t="s">
        <v>150</v>
      </c>
      <c r="C36">
        <v>4</v>
      </c>
      <c r="D36" s="6">
        <v>35292</v>
      </c>
      <c r="E36" s="6">
        <v>35320</v>
      </c>
      <c r="F36" s="6">
        <v>35298</v>
      </c>
      <c r="G36">
        <v>1</v>
      </c>
      <c r="H36">
        <v>12.69</v>
      </c>
      <c r="I36" t="s">
        <v>154</v>
      </c>
    </row>
    <row r="37" spans="1:9" x14ac:dyDescent="0.2">
      <c r="A37">
        <v>10283</v>
      </c>
      <c r="B37" t="s">
        <v>155</v>
      </c>
      <c r="C37">
        <v>3</v>
      </c>
      <c r="D37" s="6">
        <v>35293</v>
      </c>
      <c r="E37" s="6">
        <v>35321</v>
      </c>
      <c r="F37" s="6">
        <v>35300</v>
      </c>
      <c r="G37">
        <v>3</v>
      </c>
      <c r="H37">
        <v>84.81</v>
      </c>
      <c r="I37" t="s">
        <v>62</v>
      </c>
    </row>
    <row r="38" spans="1:9" x14ac:dyDescent="0.2">
      <c r="A38">
        <v>10284</v>
      </c>
      <c r="B38" t="s">
        <v>146</v>
      </c>
      <c r="C38">
        <v>4</v>
      </c>
      <c r="D38" s="6">
        <v>35296</v>
      </c>
      <c r="E38" s="6">
        <v>35324</v>
      </c>
      <c r="F38" s="6">
        <v>35304</v>
      </c>
      <c r="G38">
        <v>1</v>
      </c>
      <c r="H38">
        <v>76.56</v>
      </c>
      <c r="I38" t="s">
        <v>24</v>
      </c>
    </row>
    <row r="39" spans="1:9" x14ac:dyDescent="0.2">
      <c r="A39">
        <v>10285</v>
      </c>
      <c r="B39" t="s">
        <v>122</v>
      </c>
      <c r="C39">
        <v>1</v>
      </c>
      <c r="D39" s="6">
        <v>35297</v>
      </c>
      <c r="E39" s="6">
        <v>35325</v>
      </c>
      <c r="F39" s="6">
        <v>35303</v>
      </c>
      <c r="G39">
        <v>2</v>
      </c>
      <c r="H39">
        <v>76.83</v>
      </c>
      <c r="I39" t="s">
        <v>24</v>
      </c>
    </row>
    <row r="40" spans="1:9" x14ac:dyDescent="0.2">
      <c r="A40">
        <v>10286</v>
      </c>
      <c r="B40" t="s">
        <v>122</v>
      </c>
      <c r="C40">
        <v>8</v>
      </c>
      <c r="D40" s="6">
        <v>35298</v>
      </c>
      <c r="E40" s="6">
        <v>35326</v>
      </c>
      <c r="F40" s="6">
        <v>35307</v>
      </c>
      <c r="G40">
        <v>3</v>
      </c>
      <c r="H40">
        <v>229.24</v>
      </c>
      <c r="I40" t="s">
        <v>24</v>
      </c>
    </row>
    <row r="41" spans="1:9" x14ac:dyDescent="0.2">
      <c r="A41">
        <v>10287</v>
      </c>
      <c r="B41" t="s">
        <v>160</v>
      </c>
      <c r="C41">
        <v>8</v>
      </c>
      <c r="D41" s="6">
        <v>35299</v>
      </c>
      <c r="E41" s="6">
        <v>35327</v>
      </c>
      <c r="F41" s="6">
        <v>35305</v>
      </c>
      <c r="G41">
        <v>3</v>
      </c>
      <c r="H41">
        <v>12.76</v>
      </c>
      <c r="I41" t="s">
        <v>31</v>
      </c>
    </row>
    <row r="42" spans="1:9" x14ac:dyDescent="0.2">
      <c r="A42">
        <v>10288</v>
      </c>
      <c r="B42" t="s">
        <v>164</v>
      </c>
      <c r="C42">
        <v>4</v>
      </c>
      <c r="D42" s="6">
        <v>35300</v>
      </c>
      <c r="E42" s="6">
        <v>35328</v>
      </c>
      <c r="F42" s="6">
        <v>35311</v>
      </c>
      <c r="G42">
        <v>1</v>
      </c>
      <c r="H42">
        <v>7.45</v>
      </c>
      <c r="I42" t="s">
        <v>131</v>
      </c>
    </row>
    <row r="43" spans="1:9" x14ac:dyDescent="0.2">
      <c r="A43">
        <v>10289</v>
      </c>
      <c r="B43" t="s">
        <v>168</v>
      </c>
      <c r="C43">
        <v>7</v>
      </c>
      <c r="D43" s="6">
        <v>35303</v>
      </c>
      <c r="E43" s="6">
        <v>35331</v>
      </c>
      <c r="F43" s="6">
        <v>35305</v>
      </c>
      <c r="G43">
        <v>3</v>
      </c>
      <c r="H43">
        <v>22.77</v>
      </c>
      <c r="I43" t="s">
        <v>173</v>
      </c>
    </row>
    <row r="44" spans="1:9" x14ac:dyDescent="0.2">
      <c r="A44">
        <v>10290</v>
      </c>
      <c r="B44" t="s">
        <v>174</v>
      </c>
      <c r="C44">
        <v>8</v>
      </c>
      <c r="D44" s="6">
        <v>35304</v>
      </c>
      <c r="E44" s="6">
        <v>35332</v>
      </c>
      <c r="F44" s="6">
        <v>35311</v>
      </c>
      <c r="G44">
        <v>1</v>
      </c>
      <c r="H44">
        <v>79.7</v>
      </c>
      <c r="I44" t="s">
        <v>31</v>
      </c>
    </row>
    <row r="45" spans="1:9" x14ac:dyDescent="0.2">
      <c r="A45">
        <v>10291</v>
      </c>
      <c r="B45" t="s">
        <v>78</v>
      </c>
      <c r="C45">
        <v>6</v>
      </c>
      <c r="D45" s="6">
        <v>35304</v>
      </c>
      <c r="E45" s="6">
        <v>35332</v>
      </c>
      <c r="F45" s="6">
        <v>35312</v>
      </c>
      <c r="G45">
        <v>2</v>
      </c>
      <c r="H45">
        <v>6.4</v>
      </c>
      <c r="I45" t="s">
        <v>31</v>
      </c>
    </row>
    <row r="46" spans="1:9" x14ac:dyDescent="0.2">
      <c r="A46">
        <v>10292</v>
      </c>
      <c r="B46" t="s">
        <v>179</v>
      </c>
      <c r="C46">
        <v>1</v>
      </c>
      <c r="D46" s="6">
        <v>35305</v>
      </c>
      <c r="E46" s="6">
        <v>35333</v>
      </c>
      <c r="F46" s="6">
        <v>35310</v>
      </c>
      <c r="G46">
        <v>2</v>
      </c>
      <c r="H46">
        <v>1.35</v>
      </c>
      <c r="I46" t="s">
        <v>31</v>
      </c>
    </row>
    <row r="47" spans="1:9" x14ac:dyDescent="0.2">
      <c r="A47">
        <v>10293</v>
      </c>
      <c r="B47" t="s">
        <v>132</v>
      </c>
      <c r="C47">
        <v>1</v>
      </c>
      <c r="D47" s="6">
        <v>35306</v>
      </c>
      <c r="E47" s="6">
        <v>35334</v>
      </c>
      <c r="F47" s="6">
        <v>35319</v>
      </c>
      <c r="G47">
        <v>3</v>
      </c>
      <c r="H47">
        <v>21.18</v>
      </c>
      <c r="I47" t="s">
        <v>73</v>
      </c>
    </row>
    <row r="48" spans="1:9" x14ac:dyDescent="0.2">
      <c r="A48">
        <v>10294</v>
      </c>
      <c r="B48" t="s">
        <v>82</v>
      </c>
      <c r="C48">
        <v>4</v>
      </c>
      <c r="D48" s="6">
        <v>35307</v>
      </c>
      <c r="E48" s="6">
        <v>35335</v>
      </c>
      <c r="F48" s="6">
        <v>35313</v>
      </c>
      <c r="G48">
        <v>2</v>
      </c>
      <c r="H48">
        <v>147.26</v>
      </c>
      <c r="I48" t="s">
        <v>87</v>
      </c>
    </row>
    <row r="49" spans="1:9" x14ac:dyDescent="0.2">
      <c r="A49">
        <v>10295</v>
      </c>
      <c r="B49" t="s">
        <v>14</v>
      </c>
      <c r="C49">
        <v>2</v>
      </c>
      <c r="D49" s="6">
        <v>35310</v>
      </c>
      <c r="E49" s="6">
        <v>35338</v>
      </c>
      <c r="F49" s="6">
        <v>35318</v>
      </c>
      <c r="G49">
        <v>2</v>
      </c>
      <c r="H49">
        <v>1.1499999999999999</v>
      </c>
      <c r="I49" t="s">
        <v>19</v>
      </c>
    </row>
    <row r="50" spans="1:9" x14ac:dyDescent="0.2">
      <c r="A50">
        <v>10296</v>
      </c>
      <c r="B50" t="s">
        <v>155</v>
      </c>
      <c r="C50">
        <v>6</v>
      </c>
      <c r="D50" s="6">
        <v>35311</v>
      </c>
      <c r="E50" s="6">
        <v>35339</v>
      </c>
      <c r="F50" s="6">
        <v>35319</v>
      </c>
      <c r="G50">
        <v>1</v>
      </c>
      <c r="H50">
        <v>0.12</v>
      </c>
      <c r="I50" t="s">
        <v>62</v>
      </c>
    </row>
    <row r="51" spans="1:9" x14ac:dyDescent="0.2">
      <c r="A51">
        <v>10297</v>
      </c>
      <c r="B51" t="s">
        <v>94</v>
      </c>
      <c r="C51">
        <v>5</v>
      </c>
      <c r="D51" s="6">
        <v>35312</v>
      </c>
      <c r="E51" s="6">
        <v>35354</v>
      </c>
      <c r="F51" s="6">
        <v>35318</v>
      </c>
      <c r="G51">
        <v>2</v>
      </c>
      <c r="H51">
        <v>5.74</v>
      </c>
      <c r="I51" t="s">
        <v>19</v>
      </c>
    </row>
    <row r="52" spans="1:9" x14ac:dyDescent="0.2">
      <c r="A52">
        <v>10298</v>
      </c>
      <c r="B52" t="s">
        <v>183</v>
      </c>
      <c r="C52">
        <v>6</v>
      </c>
      <c r="D52" s="6">
        <v>35313</v>
      </c>
      <c r="E52" s="6">
        <v>35341</v>
      </c>
      <c r="F52" s="6">
        <v>35319</v>
      </c>
      <c r="G52">
        <v>2</v>
      </c>
      <c r="H52">
        <v>168.22</v>
      </c>
      <c r="I52" t="s">
        <v>188</v>
      </c>
    </row>
    <row r="53" spans="1:9" x14ac:dyDescent="0.2">
      <c r="A53">
        <v>10299</v>
      </c>
      <c r="B53" t="s">
        <v>160</v>
      </c>
      <c r="C53">
        <v>4</v>
      </c>
      <c r="D53" s="6">
        <v>35314</v>
      </c>
      <c r="E53" s="6">
        <v>35342</v>
      </c>
      <c r="F53" s="6">
        <v>35321</v>
      </c>
      <c r="G53">
        <v>2</v>
      </c>
      <c r="H53">
        <v>29.76</v>
      </c>
      <c r="I53" t="s">
        <v>31</v>
      </c>
    </row>
    <row r="54" spans="1:9" x14ac:dyDescent="0.2">
      <c r="A54">
        <v>10300</v>
      </c>
      <c r="B54" t="s">
        <v>127</v>
      </c>
      <c r="C54">
        <v>2</v>
      </c>
      <c r="D54" s="6">
        <v>35317</v>
      </c>
      <c r="E54" s="6">
        <v>35345</v>
      </c>
      <c r="F54" s="6">
        <v>35326</v>
      </c>
      <c r="G54">
        <v>2</v>
      </c>
      <c r="H54">
        <v>17.68</v>
      </c>
      <c r="I54" t="s">
        <v>131</v>
      </c>
    </row>
    <row r="55" spans="1:9" x14ac:dyDescent="0.2">
      <c r="A55">
        <v>10301</v>
      </c>
      <c r="B55" t="s">
        <v>189</v>
      </c>
      <c r="C55">
        <v>8</v>
      </c>
      <c r="D55" s="6">
        <v>35317</v>
      </c>
      <c r="E55" s="6">
        <v>35345</v>
      </c>
      <c r="F55" s="6">
        <v>35325</v>
      </c>
      <c r="G55">
        <v>2</v>
      </c>
      <c r="H55">
        <v>45.08</v>
      </c>
      <c r="I55" t="s">
        <v>24</v>
      </c>
    </row>
    <row r="56" spans="1:9" x14ac:dyDescent="0.2">
      <c r="A56">
        <v>10302</v>
      </c>
      <c r="B56" t="s">
        <v>36</v>
      </c>
      <c r="C56">
        <v>4</v>
      </c>
      <c r="D56" s="6">
        <v>35318</v>
      </c>
      <c r="E56" s="6">
        <v>35346</v>
      </c>
      <c r="F56" s="6">
        <v>35347</v>
      </c>
      <c r="G56">
        <v>2</v>
      </c>
      <c r="H56">
        <v>6.27</v>
      </c>
      <c r="I56" t="s">
        <v>41</v>
      </c>
    </row>
    <row r="57" spans="1:9" x14ac:dyDescent="0.2">
      <c r="A57">
        <v>10303</v>
      </c>
      <c r="B57" t="s">
        <v>193</v>
      </c>
      <c r="C57">
        <v>7</v>
      </c>
      <c r="D57" s="6">
        <v>35319</v>
      </c>
      <c r="E57" s="6">
        <v>35347</v>
      </c>
      <c r="F57" s="6">
        <v>35326</v>
      </c>
      <c r="G57">
        <v>2</v>
      </c>
      <c r="H57">
        <v>107.83</v>
      </c>
      <c r="I57" t="s">
        <v>154</v>
      </c>
    </row>
    <row r="58" spans="1:9" x14ac:dyDescent="0.2">
      <c r="A58">
        <v>10304</v>
      </c>
      <c r="B58" t="s">
        <v>132</v>
      </c>
      <c r="C58">
        <v>1</v>
      </c>
      <c r="D58" s="6">
        <v>35320</v>
      </c>
      <c r="E58" s="6">
        <v>35348</v>
      </c>
      <c r="F58" s="6">
        <v>35325</v>
      </c>
      <c r="G58">
        <v>2</v>
      </c>
      <c r="H58">
        <v>63.79</v>
      </c>
      <c r="I58" t="s">
        <v>73</v>
      </c>
    </row>
    <row r="59" spans="1:9" x14ac:dyDescent="0.2">
      <c r="A59">
        <v>10305</v>
      </c>
      <c r="B59" t="s">
        <v>197</v>
      </c>
      <c r="C59">
        <v>8</v>
      </c>
      <c r="D59" s="6">
        <v>35321</v>
      </c>
      <c r="E59" s="6">
        <v>35349</v>
      </c>
      <c r="F59" s="6">
        <v>35347</v>
      </c>
      <c r="G59">
        <v>3</v>
      </c>
      <c r="H59">
        <v>257.62</v>
      </c>
      <c r="I59" t="s">
        <v>87</v>
      </c>
    </row>
    <row r="60" spans="1:9" x14ac:dyDescent="0.2">
      <c r="A60">
        <v>10306</v>
      </c>
      <c r="B60" t="s">
        <v>150</v>
      </c>
      <c r="C60">
        <v>1</v>
      </c>
      <c r="D60" s="6">
        <v>35324</v>
      </c>
      <c r="E60" s="6">
        <v>35352</v>
      </c>
      <c r="F60" s="6">
        <v>35331</v>
      </c>
      <c r="G60">
        <v>3</v>
      </c>
      <c r="H60">
        <v>7.56</v>
      </c>
      <c r="I60" t="s">
        <v>154</v>
      </c>
    </row>
    <row r="61" spans="1:9" x14ac:dyDescent="0.2">
      <c r="A61">
        <v>10307</v>
      </c>
      <c r="B61" t="s">
        <v>202</v>
      </c>
      <c r="C61">
        <v>2</v>
      </c>
      <c r="D61" s="6">
        <v>35325</v>
      </c>
      <c r="E61" s="6">
        <v>35353</v>
      </c>
      <c r="F61" s="6">
        <v>35333</v>
      </c>
      <c r="G61">
        <v>2</v>
      </c>
      <c r="H61">
        <v>0.56000000000000005</v>
      </c>
      <c r="I61" t="s">
        <v>87</v>
      </c>
    </row>
    <row r="62" spans="1:9" x14ac:dyDescent="0.2">
      <c r="A62">
        <v>10308</v>
      </c>
      <c r="B62" t="s">
        <v>207</v>
      </c>
      <c r="C62">
        <v>7</v>
      </c>
      <c r="D62" s="6">
        <v>35326</v>
      </c>
      <c r="E62" s="6">
        <v>35354</v>
      </c>
      <c r="F62" s="6">
        <v>35332</v>
      </c>
      <c r="G62">
        <v>3</v>
      </c>
      <c r="H62">
        <v>1.61</v>
      </c>
      <c r="I62" t="s">
        <v>73</v>
      </c>
    </row>
    <row r="63" spans="1:9" x14ac:dyDescent="0.2">
      <c r="A63">
        <v>10309</v>
      </c>
      <c r="B63" t="s">
        <v>183</v>
      </c>
      <c r="C63">
        <v>3</v>
      </c>
      <c r="D63" s="6">
        <v>35327</v>
      </c>
      <c r="E63" s="6">
        <v>35355</v>
      </c>
      <c r="F63" s="6">
        <v>35361</v>
      </c>
      <c r="G63">
        <v>1</v>
      </c>
      <c r="H63">
        <v>47.3</v>
      </c>
      <c r="I63" t="s">
        <v>188</v>
      </c>
    </row>
    <row r="64" spans="1:9" x14ac:dyDescent="0.2">
      <c r="A64">
        <v>10310</v>
      </c>
      <c r="B64" t="s">
        <v>211</v>
      </c>
      <c r="C64">
        <v>8</v>
      </c>
      <c r="D64" s="6">
        <v>35328</v>
      </c>
      <c r="E64" s="6">
        <v>35356</v>
      </c>
      <c r="F64" s="6">
        <v>35335</v>
      </c>
      <c r="G64">
        <v>2</v>
      </c>
      <c r="H64">
        <v>17.52</v>
      </c>
      <c r="I64" t="s">
        <v>87</v>
      </c>
    </row>
    <row r="65" spans="1:9" x14ac:dyDescent="0.2">
      <c r="A65">
        <v>10311</v>
      </c>
      <c r="B65" t="s">
        <v>214</v>
      </c>
      <c r="C65">
        <v>1</v>
      </c>
      <c r="D65" s="6">
        <v>35328</v>
      </c>
      <c r="E65" s="6">
        <v>35342</v>
      </c>
      <c r="F65" s="6">
        <v>35334</v>
      </c>
      <c r="G65">
        <v>3</v>
      </c>
      <c r="H65">
        <v>24.69</v>
      </c>
      <c r="I65" t="s">
        <v>19</v>
      </c>
    </row>
    <row r="66" spans="1:9" x14ac:dyDescent="0.2">
      <c r="A66">
        <v>10312</v>
      </c>
      <c r="B66" t="s">
        <v>189</v>
      </c>
      <c r="C66">
        <v>2</v>
      </c>
      <c r="D66" s="6">
        <v>35331</v>
      </c>
      <c r="E66" s="6">
        <v>35359</v>
      </c>
      <c r="F66" s="6">
        <v>35341</v>
      </c>
      <c r="G66">
        <v>2</v>
      </c>
      <c r="H66">
        <v>40.26</v>
      </c>
      <c r="I66" t="s">
        <v>24</v>
      </c>
    </row>
    <row r="67" spans="1:9" x14ac:dyDescent="0.2">
      <c r="A67">
        <v>10313</v>
      </c>
      <c r="B67" t="s">
        <v>122</v>
      </c>
      <c r="C67">
        <v>2</v>
      </c>
      <c r="D67" s="6">
        <v>35332</v>
      </c>
      <c r="E67" s="6">
        <v>35360</v>
      </c>
      <c r="F67" s="6">
        <v>35342</v>
      </c>
      <c r="G67">
        <v>2</v>
      </c>
      <c r="H67">
        <v>1.96</v>
      </c>
      <c r="I67" t="s">
        <v>24</v>
      </c>
    </row>
    <row r="68" spans="1:9" x14ac:dyDescent="0.2">
      <c r="A68">
        <v>10314</v>
      </c>
      <c r="B68" t="s">
        <v>82</v>
      </c>
      <c r="C68">
        <v>1</v>
      </c>
      <c r="D68" s="6">
        <v>35333</v>
      </c>
      <c r="E68" s="6">
        <v>35361</v>
      </c>
      <c r="F68" s="6">
        <v>35342</v>
      </c>
      <c r="G68">
        <v>2</v>
      </c>
      <c r="H68">
        <v>74.16</v>
      </c>
      <c r="I68" t="s">
        <v>87</v>
      </c>
    </row>
    <row r="69" spans="1:9" x14ac:dyDescent="0.2">
      <c r="A69">
        <v>10315</v>
      </c>
      <c r="B69" t="s">
        <v>218</v>
      </c>
      <c r="C69">
        <v>4</v>
      </c>
      <c r="D69" s="6">
        <v>35334</v>
      </c>
      <c r="E69" s="6">
        <v>35362</v>
      </c>
      <c r="F69" s="6">
        <v>35341</v>
      </c>
      <c r="G69">
        <v>2</v>
      </c>
      <c r="H69">
        <v>41.76</v>
      </c>
      <c r="I69" t="s">
        <v>173</v>
      </c>
    </row>
    <row r="70" spans="1:9" x14ac:dyDescent="0.2">
      <c r="A70">
        <v>10316</v>
      </c>
      <c r="B70" t="s">
        <v>82</v>
      </c>
      <c r="C70">
        <v>1</v>
      </c>
      <c r="D70" s="6">
        <v>35335</v>
      </c>
      <c r="E70" s="6">
        <v>35363</v>
      </c>
      <c r="F70" s="6">
        <v>35346</v>
      </c>
      <c r="G70">
        <v>3</v>
      </c>
      <c r="H70">
        <v>150.15</v>
      </c>
      <c r="I70" t="s">
        <v>87</v>
      </c>
    </row>
    <row r="71" spans="1:9" x14ac:dyDescent="0.2">
      <c r="A71">
        <v>10317</v>
      </c>
      <c r="B71" t="s">
        <v>202</v>
      </c>
      <c r="C71">
        <v>6</v>
      </c>
      <c r="D71" s="6">
        <v>35338</v>
      </c>
      <c r="E71" s="6">
        <v>35366</v>
      </c>
      <c r="F71" s="6">
        <v>35348</v>
      </c>
      <c r="G71">
        <v>1</v>
      </c>
      <c r="H71">
        <v>12.69</v>
      </c>
      <c r="I71" t="s">
        <v>87</v>
      </c>
    </row>
    <row r="72" spans="1:9" x14ac:dyDescent="0.2">
      <c r="A72">
        <v>10318</v>
      </c>
      <c r="B72" t="s">
        <v>218</v>
      </c>
      <c r="C72">
        <v>8</v>
      </c>
      <c r="D72" s="6">
        <v>35339</v>
      </c>
      <c r="E72" s="6">
        <v>35367</v>
      </c>
      <c r="F72" s="6">
        <v>35342</v>
      </c>
      <c r="G72">
        <v>2</v>
      </c>
      <c r="H72">
        <v>4.7300000000000004</v>
      </c>
      <c r="I72" t="s">
        <v>173</v>
      </c>
    </row>
    <row r="73" spans="1:9" x14ac:dyDescent="0.2">
      <c r="A73">
        <v>10319</v>
      </c>
      <c r="B73" t="s">
        <v>132</v>
      </c>
      <c r="C73">
        <v>7</v>
      </c>
      <c r="D73" s="6">
        <v>35340</v>
      </c>
      <c r="E73" s="6">
        <v>35368</v>
      </c>
      <c r="F73" s="6">
        <v>35349</v>
      </c>
      <c r="G73">
        <v>3</v>
      </c>
      <c r="H73">
        <v>64.5</v>
      </c>
      <c r="I73" t="s">
        <v>73</v>
      </c>
    </row>
    <row r="74" spans="1:9" x14ac:dyDescent="0.2">
      <c r="A74">
        <v>10320</v>
      </c>
      <c r="B74" t="s">
        <v>98</v>
      </c>
      <c r="C74">
        <v>5</v>
      </c>
      <c r="D74" s="6">
        <v>35341</v>
      </c>
      <c r="E74" s="6">
        <v>35355</v>
      </c>
      <c r="F74" s="6">
        <v>35356</v>
      </c>
      <c r="G74">
        <v>3</v>
      </c>
      <c r="H74">
        <v>34.57</v>
      </c>
      <c r="I74" t="s">
        <v>102</v>
      </c>
    </row>
    <row r="75" spans="1:9" x14ac:dyDescent="0.2">
      <c r="A75">
        <v>10321</v>
      </c>
      <c r="B75" t="s">
        <v>218</v>
      </c>
      <c r="C75">
        <v>3</v>
      </c>
      <c r="D75" s="6">
        <v>35341</v>
      </c>
      <c r="E75" s="6">
        <v>35369</v>
      </c>
      <c r="F75" s="6">
        <v>35349</v>
      </c>
      <c r="G75">
        <v>2</v>
      </c>
      <c r="H75">
        <v>3.43</v>
      </c>
      <c r="I75" t="s">
        <v>173</v>
      </c>
    </row>
    <row r="76" spans="1:9" x14ac:dyDescent="0.2">
      <c r="A76">
        <v>10322</v>
      </c>
      <c r="B76" t="s">
        <v>224</v>
      </c>
      <c r="C76">
        <v>7</v>
      </c>
      <c r="D76" s="6">
        <v>35342</v>
      </c>
      <c r="E76" s="6">
        <v>35370</v>
      </c>
      <c r="F76" s="6">
        <v>35361</v>
      </c>
      <c r="G76">
        <v>3</v>
      </c>
      <c r="H76">
        <v>0.4</v>
      </c>
      <c r="I76" t="s">
        <v>73</v>
      </c>
    </row>
    <row r="77" spans="1:9" x14ac:dyDescent="0.2">
      <c r="A77">
        <v>10323</v>
      </c>
      <c r="B77" t="s">
        <v>227</v>
      </c>
      <c r="C77">
        <v>4</v>
      </c>
      <c r="D77" s="6">
        <v>35345</v>
      </c>
      <c r="E77" s="6">
        <v>35373</v>
      </c>
      <c r="F77" s="6">
        <v>35352</v>
      </c>
      <c r="G77">
        <v>1</v>
      </c>
      <c r="H77">
        <v>4.88</v>
      </c>
      <c r="I77" t="s">
        <v>24</v>
      </c>
    </row>
    <row r="78" spans="1:9" x14ac:dyDescent="0.2">
      <c r="A78">
        <v>10324</v>
      </c>
      <c r="B78" t="s">
        <v>231</v>
      </c>
      <c r="C78">
        <v>9</v>
      </c>
      <c r="D78" s="6">
        <v>35346</v>
      </c>
      <c r="E78" s="6">
        <v>35374</v>
      </c>
      <c r="F78" s="6">
        <v>35348</v>
      </c>
      <c r="G78">
        <v>1</v>
      </c>
      <c r="H78">
        <v>214.27</v>
      </c>
      <c r="I78" t="s">
        <v>87</v>
      </c>
    </row>
    <row r="79" spans="1:9" x14ac:dyDescent="0.2">
      <c r="A79">
        <v>10325</v>
      </c>
      <c r="B79" t="s">
        <v>227</v>
      </c>
      <c r="C79">
        <v>1</v>
      </c>
      <c r="D79" s="6">
        <v>35347</v>
      </c>
      <c r="E79" s="6">
        <v>35361</v>
      </c>
      <c r="F79" s="6">
        <v>35352</v>
      </c>
      <c r="G79">
        <v>3</v>
      </c>
      <c r="H79">
        <v>64.86</v>
      </c>
      <c r="I79" t="s">
        <v>24</v>
      </c>
    </row>
    <row r="80" spans="1:9" x14ac:dyDescent="0.2">
      <c r="A80">
        <v>10326</v>
      </c>
      <c r="B80" t="s">
        <v>236</v>
      </c>
      <c r="C80">
        <v>4</v>
      </c>
      <c r="D80" s="6">
        <v>35348</v>
      </c>
      <c r="E80" s="6">
        <v>35376</v>
      </c>
      <c r="F80" s="6">
        <v>35352</v>
      </c>
      <c r="G80">
        <v>2</v>
      </c>
      <c r="H80">
        <v>77.92</v>
      </c>
      <c r="I80" t="s">
        <v>154</v>
      </c>
    </row>
    <row r="81" spans="1:9" x14ac:dyDescent="0.2">
      <c r="A81">
        <v>10327</v>
      </c>
      <c r="B81" t="s">
        <v>88</v>
      </c>
      <c r="C81">
        <v>2</v>
      </c>
      <c r="D81" s="6">
        <v>35349</v>
      </c>
      <c r="E81" s="6">
        <v>35377</v>
      </c>
      <c r="F81" s="6">
        <v>35352</v>
      </c>
      <c r="G81">
        <v>1</v>
      </c>
      <c r="H81">
        <v>63.36</v>
      </c>
      <c r="I81" t="s">
        <v>93</v>
      </c>
    </row>
    <row r="82" spans="1:9" x14ac:dyDescent="0.2">
      <c r="A82">
        <v>10328</v>
      </c>
      <c r="B82" t="s">
        <v>239</v>
      </c>
      <c r="C82">
        <v>4</v>
      </c>
      <c r="D82" s="6">
        <v>35352</v>
      </c>
      <c r="E82" s="6">
        <v>35380</v>
      </c>
      <c r="F82" s="6">
        <v>35355</v>
      </c>
      <c r="G82">
        <v>3</v>
      </c>
      <c r="H82">
        <v>87.03</v>
      </c>
      <c r="I82" t="s">
        <v>243</v>
      </c>
    </row>
    <row r="83" spans="1:9" x14ac:dyDescent="0.2">
      <c r="A83">
        <v>10329</v>
      </c>
      <c r="B83" t="s">
        <v>117</v>
      </c>
      <c r="C83">
        <v>4</v>
      </c>
      <c r="D83" s="6">
        <v>35353</v>
      </c>
      <c r="E83" s="6">
        <v>35395</v>
      </c>
      <c r="F83" s="6">
        <v>35361</v>
      </c>
      <c r="G83">
        <v>2</v>
      </c>
      <c r="H83">
        <v>191.67</v>
      </c>
      <c r="I83" t="s">
        <v>87</v>
      </c>
    </row>
    <row r="84" spans="1:9" x14ac:dyDescent="0.2">
      <c r="A84">
        <v>10330</v>
      </c>
      <c r="B84" t="s">
        <v>155</v>
      </c>
      <c r="C84">
        <v>3</v>
      </c>
      <c r="D84" s="6">
        <v>35354</v>
      </c>
      <c r="E84" s="6">
        <v>35382</v>
      </c>
      <c r="F84" s="6">
        <v>35366</v>
      </c>
      <c r="G84">
        <v>1</v>
      </c>
      <c r="H84">
        <v>12.75</v>
      </c>
      <c r="I84" t="s">
        <v>62</v>
      </c>
    </row>
    <row r="85" spans="1:9" x14ac:dyDescent="0.2">
      <c r="A85">
        <v>10331</v>
      </c>
      <c r="B85" t="s">
        <v>244</v>
      </c>
      <c r="C85">
        <v>9</v>
      </c>
      <c r="D85" s="6">
        <v>35354</v>
      </c>
      <c r="E85" s="6">
        <v>35396</v>
      </c>
      <c r="F85" s="6">
        <v>35359</v>
      </c>
      <c r="G85">
        <v>1</v>
      </c>
      <c r="H85">
        <v>10.19</v>
      </c>
      <c r="I85" t="s">
        <v>19</v>
      </c>
    </row>
    <row r="86" spans="1:9" x14ac:dyDescent="0.2">
      <c r="A86">
        <v>10332</v>
      </c>
      <c r="B86" t="s">
        <v>248</v>
      </c>
      <c r="C86">
        <v>3</v>
      </c>
      <c r="D86" s="6">
        <v>35355</v>
      </c>
      <c r="E86" s="6">
        <v>35397</v>
      </c>
      <c r="F86" s="6">
        <v>35359</v>
      </c>
      <c r="G86">
        <v>2</v>
      </c>
      <c r="H86">
        <v>52.84</v>
      </c>
      <c r="I86" t="s">
        <v>254</v>
      </c>
    </row>
    <row r="87" spans="1:9" x14ac:dyDescent="0.2">
      <c r="A87">
        <v>10333</v>
      </c>
      <c r="B87" t="s">
        <v>98</v>
      </c>
      <c r="C87">
        <v>5</v>
      </c>
      <c r="D87" s="6">
        <v>35356</v>
      </c>
      <c r="E87" s="6">
        <v>35384</v>
      </c>
      <c r="F87" s="6">
        <v>35363</v>
      </c>
      <c r="G87">
        <v>3</v>
      </c>
      <c r="H87">
        <v>0.59</v>
      </c>
      <c r="I87" t="s">
        <v>102</v>
      </c>
    </row>
    <row r="88" spans="1:9" x14ac:dyDescent="0.2">
      <c r="A88">
        <v>10334</v>
      </c>
      <c r="B88" t="s">
        <v>32</v>
      </c>
      <c r="C88">
        <v>8</v>
      </c>
      <c r="D88" s="6">
        <v>35359</v>
      </c>
      <c r="E88" s="6">
        <v>35387</v>
      </c>
      <c r="F88" s="6">
        <v>35366</v>
      </c>
      <c r="G88">
        <v>2</v>
      </c>
      <c r="H88">
        <v>8.56</v>
      </c>
      <c r="I88" t="s">
        <v>19</v>
      </c>
    </row>
    <row r="89" spans="1:9" x14ac:dyDescent="0.2">
      <c r="A89">
        <v>10335</v>
      </c>
      <c r="B89" t="s">
        <v>183</v>
      </c>
      <c r="C89">
        <v>7</v>
      </c>
      <c r="D89" s="6">
        <v>35360</v>
      </c>
      <c r="E89" s="6">
        <v>35388</v>
      </c>
      <c r="F89" s="6">
        <v>35362</v>
      </c>
      <c r="G89">
        <v>2</v>
      </c>
      <c r="H89">
        <v>42.11</v>
      </c>
      <c r="I89" t="s">
        <v>188</v>
      </c>
    </row>
    <row r="90" spans="1:9" x14ac:dyDescent="0.2">
      <c r="A90">
        <v>10336</v>
      </c>
      <c r="B90" t="s">
        <v>255</v>
      </c>
      <c r="C90">
        <v>7</v>
      </c>
      <c r="D90" s="6">
        <v>35361</v>
      </c>
      <c r="E90" s="6">
        <v>35389</v>
      </c>
      <c r="F90" s="6">
        <v>35363</v>
      </c>
      <c r="G90">
        <v>2</v>
      </c>
      <c r="H90">
        <v>15.51</v>
      </c>
      <c r="I90" t="s">
        <v>243</v>
      </c>
    </row>
    <row r="91" spans="1:9" x14ac:dyDescent="0.2">
      <c r="A91">
        <v>10337</v>
      </c>
      <c r="B91" t="s">
        <v>103</v>
      </c>
      <c r="C91">
        <v>4</v>
      </c>
      <c r="D91" s="6">
        <v>35362</v>
      </c>
      <c r="E91" s="6">
        <v>35390</v>
      </c>
      <c r="F91" s="6">
        <v>35367</v>
      </c>
      <c r="G91">
        <v>3</v>
      </c>
      <c r="H91">
        <v>108.26</v>
      </c>
      <c r="I91" t="s">
        <v>24</v>
      </c>
    </row>
    <row r="92" spans="1:9" x14ac:dyDescent="0.2">
      <c r="A92">
        <v>10338</v>
      </c>
      <c r="B92" t="s">
        <v>197</v>
      </c>
      <c r="C92">
        <v>4</v>
      </c>
      <c r="D92" s="6">
        <v>35363</v>
      </c>
      <c r="E92" s="6">
        <v>35391</v>
      </c>
      <c r="F92" s="6">
        <v>35367</v>
      </c>
      <c r="G92">
        <v>3</v>
      </c>
      <c r="H92">
        <v>84.21</v>
      </c>
      <c r="I92" t="s">
        <v>87</v>
      </c>
    </row>
    <row r="93" spans="1:9" x14ac:dyDescent="0.2">
      <c r="A93">
        <v>10339</v>
      </c>
      <c r="B93" t="s">
        <v>248</v>
      </c>
      <c r="C93">
        <v>2</v>
      </c>
      <c r="D93" s="6">
        <v>35366</v>
      </c>
      <c r="E93" s="6">
        <v>35394</v>
      </c>
      <c r="F93" s="6">
        <v>35373</v>
      </c>
      <c r="G93">
        <v>2</v>
      </c>
      <c r="H93">
        <v>15.66</v>
      </c>
      <c r="I93" t="s">
        <v>254</v>
      </c>
    </row>
    <row r="94" spans="1:9" x14ac:dyDescent="0.2">
      <c r="A94">
        <v>10340</v>
      </c>
      <c r="B94" t="s">
        <v>244</v>
      </c>
      <c r="C94">
        <v>1</v>
      </c>
      <c r="D94" s="6">
        <v>35367</v>
      </c>
      <c r="E94" s="6">
        <v>35395</v>
      </c>
      <c r="F94" s="6">
        <v>35377</v>
      </c>
      <c r="G94">
        <v>3</v>
      </c>
      <c r="H94">
        <v>166.31</v>
      </c>
      <c r="I94" t="s">
        <v>19</v>
      </c>
    </row>
    <row r="95" spans="1:9" x14ac:dyDescent="0.2">
      <c r="A95">
        <v>10341</v>
      </c>
      <c r="B95" t="s">
        <v>258</v>
      </c>
      <c r="C95">
        <v>7</v>
      </c>
      <c r="D95" s="6">
        <v>35367</v>
      </c>
      <c r="E95" s="6">
        <v>35395</v>
      </c>
      <c r="F95" s="6">
        <v>35374</v>
      </c>
      <c r="G95">
        <v>3</v>
      </c>
      <c r="H95">
        <v>26.78</v>
      </c>
      <c r="I95" t="s">
        <v>262</v>
      </c>
    </row>
    <row r="96" spans="1:9" x14ac:dyDescent="0.2">
      <c r="A96">
        <v>10342</v>
      </c>
      <c r="B96" t="s">
        <v>103</v>
      </c>
      <c r="C96">
        <v>4</v>
      </c>
      <c r="D96" s="6">
        <v>35368</v>
      </c>
      <c r="E96" s="6">
        <v>35382</v>
      </c>
      <c r="F96" s="6">
        <v>35373</v>
      </c>
      <c r="G96">
        <v>2</v>
      </c>
      <c r="H96">
        <v>54.83</v>
      </c>
      <c r="I96" t="s">
        <v>24</v>
      </c>
    </row>
    <row r="97" spans="1:9" x14ac:dyDescent="0.2">
      <c r="A97">
        <v>10343</v>
      </c>
      <c r="B97" t="s">
        <v>146</v>
      </c>
      <c r="C97">
        <v>4</v>
      </c>
      <c r="D97" s="6">
        <v>35369</v>
      </c>
      <c r="E97" s="6">
        <v>35397</v>
      </c>
      <c r="F97" s="6">
        <v>35375</v>
      </c>
      <c r="G97">
        <v>1</v>
      </c>
      <c r="H97">
        <v>110.37</v>
      </c>
      <c r="I97" t="s">
        <v>24</v>
      </c>
    </row>
    <row r="98" spans="1:9" x14ac:dyDescent="0.2">
      <c r="A98">
        <v>10344</v>
      </c>
      <c r="B98" t="s">
        <v>112</v>
      </c>
      <c r="C98">
        <v>4</v>
      </c>
      <c r="D98" s="6">
        <v>35370</v>
      </c>
      <c r="E98" s="6">
        <v>35398</v>
      </c>
      <c r="F98" s="6">
        <v>35374</v>
      </c>
      <c r="G98">
        <v>2</v>
      </c>
      <c r="H98">
        <v>23.29</v>
      </c>
      <c r="I98" t="s">
        <v>87</v>
      </c>
    </row>
    <row r="99" spans="1:9" x14ac:dyDescent="0.2">
      <c r="A99">
        <v>10345</v>
      </c>
      <c r="B99" t="s">
        <v>122</v>
      </c>
      <c r="C99">
        <v>2</v>
      </c>
      <c r="D99" s="6">
        <v>35373</v>
      </c>
      <c r="E99" s="6">
        <v>35401</v>
      </c>
      <c r="F99" s="6">
        <v>35380</v>
      </c>
      <c r="G99">
        <v>2</v>
      </c>
      <c r="H99">
        <v>249.06</v>
      </c>
      <c r="I99" t="s">
        <v>24</v>
      </c>
    </row>
    <row r="100" spans="1:9" x14ac:dyDescent="0.2">
      <c r="A100">
        <v>10346</v>
      </c>
      <c r="B100" t="s">
        <v>82</v>
      </c>
      <c r="C100">
        <v>3</v>
      </c>
      <c r="D100" s="6">
        <v>35374</v>
      </c>
      <c r="E100" s="6">
        <v>35416</v>
      </c>
      <c r="F100" s="6">
        <v>35377</v>
      </c>
      <c r="G100">
        <v>3</v>
      </c>
      <c r="H100">
        <v>142.08000000000001</v>
      </c>
      <c r="I100" t="s">
        <v>87</v>
      </c>
    </row>
    <row r="101" spans="1:9" x14ac:dyDescent="0.2">
      <c r="A101">
        <v>10347</v>
      </c>
      <c r="B101" t="s">
        <v>263</v>
      </c>
      <c r="C101">
        <v>4</v>
      </c>
      <c r="D101" s="6">
        <v>35375</v>
      </c>
      <c r="E101" s="6">
        <v>35403</v>
      </c>
      <c r="F101" s="6">
        <v>35377</v>
      </c>
      <c r="G101">
        <v>3</v>
      </c>
      <c r="H101">
        <v>3.1</v>
      </c>
      <c r="I101" t="s">
        <v>31</v>
      </c>
    </row>
    <row r="102" spans="1:9" x14ac:dyDescent="0.2">
      <c r="A102">
        <v>10348</v>
      </c>
      <c r="B102" t="s">
        <v>189</v>
      </c>
      <c r="C102">
        <v>4</v>
      </c>
      <c r="D102" s="6">
        <v>35376</v>
      </c>
      <c r="E102" s="6">
        <v>35404</v>
      </c>
      <c r="F102" s="6">
        <v>35384</v>
      </c>
      <c r="G102">
        <v>2</v>
      </c>
      <c r="H102">
        <v>0.78</v>
      </c>
      <c r="I102" t="s">
        <v>24</v>
      </c>
    </row>
    <row r="103" spans="1:9" x14ac:dyDescent="0.2">
      <c r="A103">
        <v>10349</v>
      </c>
      <c r="B103" t="s">
        <v>117</v>
      </c>
      <c r="C103">
        <v>7</v>
      </c>
      <c r="D103" s="6">
        <v>35377</v>
      </c>
      <c r="E103" s="6">
        <v>35405</v>
      </c>
      <c r="F103" s="6">
        <v>35384</v>
      </c>
      <c r="G103">
        <v>1</v>
      </c>
      <c r="H103">
        <v>8.6300000000000008</v>
      </c>
      <c r="I103" t="s">
        <v>87</v>
      </c>
    </row>
    <row r="104" spans="1:9" x14ac:dyDescent="0.2">
      <c r="A104">
        <v>10350</v>
      </c>
      <c r="B104" t="s">
        <v>267</v>
      </c>
      <c r="C104">
        <v>6</v>
      </c>
      <c r="D104" s="6">
        <v>35380</v>
      </c>
      <c r="E104" s="6">
        <v>35408</v>
      </c>
      <c r="F104" s="6">
        <v>35402</v>
      </c>
      <c r="G104">
        <v>2</v>
      </c>
      <c r="H104">
        <v>64.19</v>
      </c>
      <c r="I104" t="s">
        <v>19</v>
      </c>
    </row>
    <row r="105" spans="1:9" x14ac:dyDescent="0.2">
      <c r="A105">
        <v>10351</v>
      </c>
      <c r="B105" t="s">
        <v>63</v>
      </c>
      <c r="C105">
        <v>1</v>
      </c>
      <c r="D105" s="6">
        <v>35380</v>
      </c>
      <c r="E105" s="6">
        <v>35408</v>
      </c>
      <c r="F105" s="6">
        <v>35389</v>
      </c>
      <c r="G105">
        <v>1</v>
      </c>
      <c r="H105">
        <v>162.33000000000001</v>
      </c>
      <c r="I105" t="s">
        <v>67</v>
      </c>
    </row>
    <row r="106" spans="1:9" x14ac:dyDescent="0.2">
      <c r="A106">
        <v>10352</v>
      </c>
      <c r="B106" t="s">
        <v>239</v>
      </c>
      <c r="C106">
        <v>3</v>
      </c>
      <c r="D106" s="6">
        <v>35381</v>
      </c>
      <c r="E106" s="6">
        <v>35395</v>
      </c>
      <c r="F106" s="6">
        <v>35387</v>
      </c>
      <c r="G106">
        <v>3</v>
      </c>
      <c r="H106">
        <v>1.3</v>
      </c>
      <c r="I106" t="s">
        <v>243</v>
      </c>
    </row>
    <row r="107" spans="1:9" x14ac:dyDescent="0.2">
      <c r="A107">
        <v>10353</v>
      </c>
      <c r="B107" t="s">
        <v>271</v>
      </c>
      <c r="C107">
        <v>7</v>
      </c>
      <c r="D107" s="6">
        <v>35382</v>
      </c>
      <c r="E107" s="6">
        <v>35410</v>
      </c>
      <c r="F107" s="6">
        <v>35394</v>
      </c>
      <c r="G107">
        <v>3</v>
      </c>
      <c r="H107">
        <v>360.63</v>
      </c>
      <c r="I107" t="s">
        <v>67</v>
      </c>
    </row>
    <row r="108" spans="1:9" x14ac:dyDescent="0.2">
      <c r="A108">
        <v>10354</v>
      </c>
      <c r="B108" t="s">
        <v>224</v>
      </c>
      <c r="C108">
        <v>8</v>
      </c>
      <c r="D108" s="6">
        <v>35383</v>
      </c>
      <c r="E108" s="6">
        <v>35411</v>
      </c>
      <c r="F108" s="6">
        <v>35389</v>
      </c>
      <c r="G108">
        <v>3</v>
      </c>
      <c r="H108">
        <v>53.8</v>
      </c>
      <c r="I108" t="s">
        <v>73</v>
      </c>
    </row>
    <row r="109" spans="1:9" x14ac:dyDescent="0.2">
      <c r="A109">
        <v>10355</v>
      </c>
      <c r="B109" t="s">
        <v>275</v>
      </c>
      <c r="C109">
        <v>6</v>
      </c>
      <c r="D109" s="6">
        <v>35384</v>
      </c>
      <c r="E109" s="6">
        <v>35412</v>
      </c>
      <c r="F109" s="6">
        <v>35389</v>
      </c>
      <c r="G109">
        <v>1</v>
      </c>
      <c r="H109">
        <v>41.95</v>
      </c>
      <c r="I109" t="s">
        <v>173</v>
      </c>
    </row>
    <row r="110" spans="1:9" x14ac:dyDescent="0.2">
      <c r="A110">
        <v>10356</v>
      </c>
      <c r="B110" t="s">
        <v>189</v>
      </c>
      <c r="C110">
        <v>6</v>
      </c>
      <c r="D110" s="6">
        <v>35387</v>
      </c>
      <c r="E110" s="6">
        <v>35415</v>
      </c>
      <c r="F110" s="6">
        <v>35396</v>
      </c>
      <c r="G110">
        <v>2</v>
      </c>
      <c r="H110">
        <v>36.71</v>
      </c>
      <c r="I110" t="s">
        <v>24</v>
      </c>
    </row>
    <row r="111" spans="1:9" x14ac:dyDescent="0.2">
      <c r="A111">
        <v>10357</v>
      </c>
      <c r="B111" t="s">
        <v>155</v>
      </c>
      <c r="C111">
        <v>1</v>
      </c>
      <c r="D111" s="6">
        <v>35388</v>
      </c>
      <c r="E111" s="6">
        <v>35416</v>
      </c>
      <c r="F111" s="6">
        <v>35401</v>
      </c>
      <c r="G111">
        <v>3</v>
      </c>
      <c r="H111">
        <v>34.880000000000003</v>
      </c>
      <c r="I111" t="s">
        <v>62</v>
      </c>
    </row>
    <row r="112" spans="1:9" x14ac:dyDescent="0.2">
      <c r="A112">
        <v>10358</v>
      </c>
      <c r="B112" t="s">
        <v>267</v>
      </c>
      <c r="C112">
        <v>5</v>
      </c>
      <c r="D112" s="6">
        <v>35389</v>
      </c>
      <c r="E112" s="6">
        <v>35417</v>
      </c>
      <c r="F112" s="6">
        <v>35396</v>
      </c>
      <c r="G112">
        <v>1</v>
      </c>
      <c r="H112">
        <v>19.64</v>
      </c>
      <c r="I112" t="s">
        <v>19</v>
      </c>
    </row>
    <row r="113" spans="1:9" x14ac:dyDescent="0.2">
      <c r="A113">
        <v>10359</v>
      </c>
      <c r="B113" t="s">
        <v>281</v>
      </c>
      <c r="C113">
        <v>5</v>
      </c>
      <c r="D113" s="6">
        <v>35390</v>
      </c>
      <c r="E113" s="6">
        <v>35418</v>
      </c>
      <c r="F113" s="6">
        <v>35395</v>
      </c>
      <c r="G113">
        <v>3</v>
      </c>
      <c r="H113">
        <v>288.43</v>
      </c>
      <c r="I113" t="s">
        <v>173</v>
      </c>
    </row>
    <row r="114" spans="1:9" x14ac:dyDescent="0.2">
      <c r="A114">
        <v>10360</v>
      </c>
      <c r="B114" t="s">
        <v>94</v>
      </c>
      <c r="C114">
        <v>4</v>
      </c>
      <c r="D114" s="6">
        <v>35391</v>
      </c>
      <c r="E114" s="6">
        <v>35419</v>
      </c>
      <c r="F114" s="6">
        <v>35401</v>
      </c>
      <c r="G114">
        <v>3</v>
      </c>
      <c r="H114">
        <v>131.69999999999999</v>
      </c>
      <c r="I114" t="s">
        <v>19</v>
      </c>
    </row>
    <row r="115" spans="1:9" x14ac:dyDescent="0.2">
      <c r="A115">
        <v>10361</v>
      </c>
      <c r="B115" t="s">
        <v>122</v>
      </c>
      <c r="C115">
        <v>1</v>
      </c>
      <c r="D115" s="6">
        <v>35391</v>
      </c>
      <c r="E115" s="6">
        <v>35419</v>
      </c>
      <c r="F115" s="6">
        <v>35402</v>
      </c>
      <c r="G115">
        <v>2</v>
      </c>
      <c r="H115">
        <v>183.17</v>
      </c>
      <c r="I115" t="s">
        <v>24</v>
      </c>
    </row>
    <row r="116" spans="1:9" x14ac:dyDescent="0.2">
      <c r="A116">
        <v>10362</v>
      </c>
      <c r="B116" t="s">
        <v>244</v>
      </c>
      <c r="C116">
        <v>3</v>
      </c>
      <c r="D116" s="6">
        <v>35394</v>
      </c>
      <c r="E116" s="6">
        <v>35422</v>
      </c>
      <c r="F116" s="6">
        <v>35397</v>
      </c>
      <c r="G116">
        <v>1</v>
      </c>
      <c r="H116">
        <v>96.04</v>
      </c>
      <c r="I116" t="s">
        <v>19</v>
      </c>
    </row>
    <row r="117" spans="1:9" x14ac:dyDescent="0.2">
      <c r="A117">
        <v>10363</v>
      </c>
      <c r="B117" t="s">
        <v>285</v>
      </c>
      <c r="C117">
        <v>4</v>
      </c>
      <c r="D117" s="6">
        <v>35395</v>
      </c>
      <c r="E117" s="6">
        <v>35423</v>
      </c>
      <c r="F117" s="6">
        <v>35403</v>
      </c>
      <c r="G117">
        <v>3</v>
      </c>
      <c r="H117">
        <v>30.54</v>
      </c>
      <c r="I117" t="s">
        <v>24</v>
      </c>
    </row>
    <row r="118" spans="1:9" x14ac:dyDescent="0.2">
      <c r="A118">
        <v>10364</v>
      </c>
      <c r="B118" t="s">
        <v>289</v>
      </c>
      <c r="C118">
        <v>1</v>
      </c>
      <c r="D118" s="6">
        <v>35395</v>
      </c>
      <c r="E118" s="6">
        <v>35437</v>
      </c>
      <c r="F118" s="6">
        <v>35403</v>
      </c>
      <c r="G118">
        <v>1</v>
      </c>
      <c r="H118">
        <v>71.97</v>
      </c>
      <c r="I118" t="s">
        <v>173</v>
      </c>
    </row>
    <row r="119" spans="1:9" x14ac:dyDescent="0.2">
      <c r="A119">
        <v>10365</v>
      </c>
      <c r="B119" t="s">
        <v>293</v>
      </c>
      <c r="C119">
        <v>3</v>
      </c>
      <c r="D119" s="6">
        <v>35396</v>
      </c>
      <c r="E119" s="6">
        <v>35424</v>
      </c>
      <c r="F119" s="6">
        <v>35401</v>
      </c>
      <c r="G119">
        <v>2</v>
      </c>
      <c r="H119">
        <v>22</v>
      </c>
      <c r="I119" t="s">
        <v>73</v>
      </c>
    </row>
    <row r="120" spans="1:9" x14ac:dyDescent="0.2">
      <c r="A120">
        <v>10366</v>
      </c>
      <c r="B120" t="s">
        <v>297</v>
      </c>
      <c r="C120">
        <v>8</v>
      </c>
      <c r="D120" s="6">
        <v>35397</v>
      </c>
      <c r="E120" s="6">
        <v>35439</v>
      </c>
      <c r="F120" s="6">
        <v>35429</v>
      </c>
      <c r="G120">
        <v>2</v>
      </c>
      <c r="H120">
        <v>10.14</v>
      </c>
      <c r="I120" t="s">
        <v>154</v>
      </c>
    </row>
    <row r="121" spans="1:9" x14ac:dyDescent="0.2">
      <c r="A121">
        <v>10367</v>
      </c>
      <c r="B121" t="s">
        <v>301</v>
      </c>
      <c r="C121">
        <v>7</v>
      </c>
      <c r="D121" s="6">
        <v>35397</v>
      </c>
      <c r="E121" s="6">
        <v>35425</v>
      </c>
      <c r="F121" s="6">
        <v>35401</v>
      </c>
      <c r="G121">
        <v>3</v>
      </c>
      <c r="H121">
        <v>13.55</v>
      </c>
      <c r="I121" t="s">
        <v>262</v>
      </c>
    </row>
    <row r="122" spans="1:9" x14ac:dyDescent="0.2">
      <c r="A122">
        <v>10368</v>
      </c>
      <c r="B122" t="s">
        <v>63</v>
      </c>
      <c r="C122">
        <v>2</v>
      </c>
      <c r="D122" s="6">
        <v>35398</v>
      </c>
      <c r="E122" s="6">
        <v>35426</v>
      </c>
      <c r="F122" s="6">
        <v>35401</v>
      </c>
      <c r="G122">
        <v>2</v>
      </c>
      <c r="H122">
        <v>101.95</v>
      </c>
      <c r="I122" t="s">
        <v>67</v>
      </c>
    </row>
    <row r="123" spans="1:9" x14ac:dyDescent="0.2">
      <c r="A123">
        <v>10369</v>
      </c>
      <c r="B123" t="s">
        <v>117</v>
      </c>
      <c r="C123">
        <v>8</v>
      </c>
      <c r="D123" s="6">
        <v>35401</v>
      </c>
      <c r="E123" s="6">
        <v>35429</v>
      </c>
      <c r="F123" s="6">
        <v>35408</v>
      </c>
      <c r="G123">
        <v>2</v>
      </c>
      <c r="H123">
        <v>195.68</v>
      </c>
      <c r="I123" t="s">
        <v>87</v>
      </c>
    </row>
    <row r="124" spans="1:9" x14ac:dyDescent="0.2">
      <c r="A124">
        <v>10370</v>
      </c>
      <c r="B124" t="s">
        <v>42</v>
      </c>
      <c r="C124">
        <v>6</v>
      </c>
      <c r="D124" s="6">
        <v>35402</v>
      </c>
      <c r="E124" s="6">
        <v>35430</v>
      </c>
      <c r="F124" s="6">
        <v>35426</v>
      </c>
      <c r="G124">
        <v>2</v>
      </c>
      <c r="H124">
        <v>1.17</v>
      </c>
      <c r="I124" t="s">
        <v>46</v>
      </c>
    </row>
    <row r="125" spans="1:9" x14ac:dyDescent="0.2">
      <c r="A125">
        <v>10371</v>
      </c>
      <c r="B125" t="s">
        <v>267</v>
      </c>
      <c r="C125">
        <v>1</v>
      </c>
      <c r="D125" s="6">
        <v>35402</v>
      </c>
      <c r="E125" s="6">
        <v>35430</v>
      </c>
      <c r="F125" s="6">
        <v>35423</v>
      </c>
      <c r="G125">
        <v>1</v>
      </c>
      <c r="H125">
        <v>0.45</v>
      </c>
      <c r="I125" t="s">
        <v>19</v>
      </c>
    </row>
    <row r="126" spans="1:9" x14ac:dyDescent="0.2">
      <c r="A126">
        <v>10372</v>
      </c>
      <c r="B126" t="s">
        <v>305</v>
      </c>
      <c r="C126">
        <v>5</v>
      </c>
      <c r="D126" s="6">
        <v>35403</v>
      </c>
      <c r="E126" s="6">
        <v>35431</v>
      </c>
      <c r="F126" s="6">
        <v>35408</v>
      </c>
      <c r="G126">
        <v>2</v>
      </c>
      <c r="H126">
        <v>890.78</v>
      </c>
      <c r="I126" t="s">
        <v>31</v>
      </c>
    </row>
    <row r="127" spans="1:9" x14ac:dyDescent="0.2">
      <c r="A127">
        <v>10373</v>
      </c>
      <c r="B127" t="s">
        <v>183</v>
      </c>
      <c r="C127">
        <v>4</v>
      </c>
      <c r="D127" s="6">
        <v>35404</v>
      </c>
      <c r="E127" s="6">
        <v>35432</v>
      </c>
      <c r="F127" s="6">
        <v>35410</v>
      </c>
      <c r="G127">
        <v>3</v>
      </c>
      <c r="H127">
        <v>124.12</v>
      </c>
      <c r="I127" t="s">
        <v>188</v>
      </c>
    </row>
    <row r="128" spans="1:9" x14ac:dyDescent="0.2">
      <c r="A128">
        <v>10374</v>
      </c>
      <c r="B128" t="s">
        <v>309</v>
      </c>
      <c r="C128">
        <v>1</v>
      </c>
      <c r="D128" s="6">
        <v>35404</v>
      </c>
      <c r="E128" s="6">
        <v>35432</v>
      </c>
      <c r="F128" s="6">
        <v>35408</v>
      </c>
      <c r="G128">
        <v>3</v>
      </c>
      <c r="H128">
        <v>3.94</v>
      </c>
      <c r="I128" t="s">
        <v>314</v>
      </c>
    </row>
    <row r="129" spans="1:9" x14ac:dyDescent="0.2">
      <c r="A129">
        <v>10375</v>
      </c>
      <c r="B129" t="s">
        <v>315</v>
      </c>
      <c r="C129">
        <v>3</v>
      </c>
      <c r="D129" s="6">
        <v>35405</v>
      </c>
      <c r="E129" s="6">
        <v>35433</v>
      </c>
      <c r="F129" s="6">
        <v>35408</v>
      </c>
      <c r="G129">
        <v>2</v>
      </c>
      <c r="H129">
        <v>20.12</v>
      </c>
      <c r="I129" t="s">
        <v>87</v>
      </c>
    </row>
    <row r="130" spans="1:9" x14ac:dyDescent="0.2">
      <c r="A130">
        <v>10376</v>
      </c>
      <c r="B130" t="s">
        <v>248</v>
      </c>
      <c r="C130">
        <v>1</v>
      </c>
      <c r="D130" s="6">
        <v>35408</v>
      </c>
      <c r="E130" s="6">
        <v>35436</v>
      </c>
      <c r="F130" s="6">
        <v>35412</v>
      </c>
      <c r="G130">
        <v>2</v>
      </c>
      <c r="H130">
        <v>20.39</v>
      </c>
      <c r="I130" t="s">
        <v>254</v>
      </c>
    </row>
    <row r="131" spans="1:9" x14ac:dyDescent="0.2">
      <c r="A131">
        <v>10377</v>
      </c>
      <c r="B131" t="s">
        <v>281</v>
      </c>
      <c r="C131">
        <v>1</v>
      </c>
      <c r="D131" s="6">
        <v>35408</v>
      </c>
      <c r="E131" s="6">
        <v>35436</v>
      </c>
      <c r="F131" s="6">
        <v>35412</v>
      </c>
      <c r="G131">
        <v>3</v>
      </c>
      <c r="H131">
        <v>22.21</v>
      </c>
      <c r="I131" t="s">
        <v>173</v>
      </c>
    </row>
    <row r="132" spans="1:9" x14ac:dyDescent="0.2">
      <c r="A132">
        <v>10378</v>
      </c>
      <c r="B132" t="s">
        <v>88</v>
      </c>
      <c r="C132">
        <v>5</v>
      </c>
      <c r="D132" s="6">
        <v>35409</v>
      </c>
      <c r="E132" s="6">
        <v>35437</v>
      </c>
      <c r="F132" s="6">
        <v>35418</v>
      </c>
      <c r="G132">
        <v>3</v>
      </c>
      <c r="H132">
        <v>5.44</v>
      </c>
      <c r="I132" t="s">
        <v>93</v>
      </c>
    </row>
    <row r="133" spans="1:9" x14ac:dyDescent="0.2">
      <c r="A133">
        <v>10379</v>
      </c>
      <c r="B133" t="s">
        <v>78</v>
      </c>
      <c r="C133">
        <v>2</v>
      </c>
      <c r="D133" s="6">
        <v>35410</v>
      </c>
      <c r="E133" s="6">
        <v>35438</v>
      </c>
      <c r="F133" s="6">
        <v>35412</v>
      </c>
      <c r="G133">
        <v>1</v>
      </c>
      <c r="H133">
        <v>45.03</v>
      </c>
      <c r="I133" t="s">
        <v>31</v>
      </c>
    </row>
    <row r="134" spans="1:9" x14ac:dyDescent="0.2">
      <c r="A134">
        <v>10380</v>
      </c>
      <c r="B134" t="s">
        <v>183</v>
      </c>
      <c r="C134">
        <v>8</v>
      </c>
      <c r="D134" s="6">
        <v>35411</v>
      </c>
      <c r="E134" s="6">
        <v>35439</v>
      </c>
      <c r="F134" s="6">
        <v>35446</v>
      </c>
      <c r="G134">
        <v>3</v>
      </c>
      <c r="H134">
        <v>35.03</v>
      </c>
      <c r="I134" t="s">
        <v>188</v>
      </c>
    </row>
    <row r="135" spans="1:9" x14ac:dyDescent="0.2">
      <c r="A135">
        <v>10381</v>
      </c>
      <c r="B135" t="s">
        <v>155</v>
      </c>
      <c r="C135">
        <v>3</v>
      </c>
      <c r="D135" s="6">
        <v>35411</v>
      </c>
      <c r="E135" s="6">
        <v>35439</v>
      </c>
      <c r="F135" s="6">
        <v>35412</v>
      </c>
      <c r="G135">
        <v>3</v>
      </c>
      <c r="H135">
        <v>7.99</v>
      </c>
      <c r="I135" t="s">
        <v>62</v>
      </c>
    </row>
    <row r="136" spans="1:9" x14ac:dyDescent="0.2">
      <c r="A136">
        <v>10382</v>
      </c>
      <c r="B136" t="s">
        <v>63</v>
      </c>
      <c r="C136">
        <v>4</v>
      </c>
      <c r="D136" s="6">
        <v>35412</v>
      </c>
      <c r="E136" s="6">
        <v>35440</v>
      </c>
      <c r="F136" s="6">
        <v>35415</v>
      </c>
      <c r="G136">
        <v>1</v>
      </c>
      <c r="H136">
        <v>94.77</v>
      </c>
      <c r="I136" t="s">
        <v>67</v>
      </c>
    </row>
    <row r="137" spans="1:9" x14ac:dyDescent="0.2">
      <c r="A137">
        <v>10383</v>
      </c>
      <c r="B137" t="s">
        <v>275</v>
      </c>
      <c r="C137">
        <v>8</v>
      </c>
      <c r="D137" s="6">
        <v>35415</v>
      </c>
      <c r="E137" s="6">
        <v>35443</v>
      </c>
      <c r="F137" s="6">
        <v>35417</v>
      </c>
      <c r="G137">
        <v>3</v>
      </c>
      <c r="H137">
        <v>34.24</v>
      </c>
      <c r="I137" t="s">
        <v>173</v>
      </c>
    </row>
    <row r="138" spans="1:9" x14ac:dyDescent="0.2">
      <c r="A138">
        <v>10384</v>
      </c>
      <c r="B138" t="s">
        <v>141</v>
      </c>
      <c r="C138">
        <v>3</v>
      </c>
      <c r="D138" s="6">
        <v>35415</v>
      </c>
      <c r="E138" s="6">
        <v>35443</v>
      </c>
      <c r="F138" s="6">
        <v>35419</v>
      </c>
      <c r="G138">
        <v>3</v>
      </c>
      <c r="H138">
        <v>168.64</v>
      </c>
      <c r="I138" t="s">
        <v>93</v>
      </c>
    </row>
    <row r="139" spans="1:9" x14ac:dyDescent="0.2">
      <c r="A139">
        <v>10385</v>
      </c>
      <c r="B139" t="s">
        <v>117</v>
      </c>
      <c r="C139">
        <v>1</v>
      </c>
      <c r="D139" s="6">
        <v>35416</v>
      </c>
      <c r="E139" s="6">
        <v>35444</v>
      </c>
      <c r="F139" s="6">
        <v>35422</v>
      </c>
      <c r="G139">
        <v>2</v>
      </c>
      <c r="H139">
        <v>30.96</v>
      </c>
      <c r="I139" t="s">
        <v>87</v>
      </c>
    </row>
    <row r="140" spans="1:9" x14ac:dyDescent="0.2">
      <c r="A140">
        <v>10386</v>
      </c>
      <c r="B140" t="s">
        <v>263</v>
      </c>
      <c r="C140">
        <v>9</v>
      </c>
      <c r="D140" s="6">
        <v>35417</v>
      </c>
      <c r="E140" s="6">
        <v>35431</v>
      </c>
      <c r="F140" s="6">
        <v>35424</v>
      </c>
      <c r="G140">
        <v>3</v>
      </c>
      <c r="H140">
        <v>13.99</v>
      </c>
      <c r="I140" t="s">
        <v>31</v>
      </c>
    </row>
    <row r="141" spans="1:9" x14ac:dyDescent="0.2">
      <c r="A141">
        <v>10387</v>
      </c>
      <c r="B141" t="s">
        <v>319</v>
      </c>
      <c r="C141">
        <v>1</v>
      </c>
      <c r="D141" s="6">
        <v>35417</v>
      </c>
      <c r="E141" s="6">
        <v>35445</v>
      </c>
      <c r="F141" s="6">
        <v>35419</v>
      </c>
      <c r="G141">
        <v>2</v>
      </c>
      <c r="H141">
        <v>93.63</v>
      </c>
      <c r="I141" t="s">
        <v>323</v>
      </c>
    </row>
    <row r="142" spans="1:9" x14ac:dyDescent="0.2">
      <c r="A142">
        <v>10388</v>
      </c>
      <c r="B142" t="s">
        <v>281</v>
      </c>
      <c r="C142">
        <v>2</v>
      </c>
      <c r="D142" s="6">
        <v>35418</v>
      </c>
      <c r="E142" s="6">
        <v>35446</v>
      </c>
      <c r="F142" s="6">
        <v>35419</v>
      </c>
      <c r="G142">
        <v>1</v>
      </c>
      <c r="H142">
        <v>34.86</v>
      </c>
      <c r="I142" t="s">
        <v>173</v>
      </c>
    </row>
    <row r="143" spans="1:9" x14ac:dyDescent="0.2">
      <c r="A143">
        <v>10389</v>
      </c>
      <c r="B143" t="s">
        <v>324</v>
      </c>
      <c r="C143">
        <v>4</v>
      </c>
      <c r="D143" s="6">
        <v>35419</v>
      </c>
      <c r="E143" s="6">
        <v>35447</v>
      </c>
      <c r="F143" s="6">
        <v>35423</v>
      </c>
      <c r="G143">
        <v>2</v>
      </c>
      <c r="H143">
        <v>47.42</v>
      </c>
      <c r="I143" t="s">
        <v>254</v>
      </c>
    </row>
    <row r="144" spans="1:9" x14ac:dyDescent="0.2">
      <c r="A144">
        <v>10390</v>
      </c>
      <c r="B144" t="s">
        <v>63</v>
      </c>
      <c r="C144">
        <v>6</v>
      </c>
      <c r="D144" s="6">
        <v>35422</v>
      </c>
      <c r="E144" s="6">
        <v>35450</v>
      </c>
      <c r="F144" s="6">
        <v>35425</v>
      </c>
      <c r="G144">
        <v>1</v>
      </c>
      <c r="H144">
        <v>126.38</v>
      </c>
      <c r="I144" t="s">
        <v>67</v>
      </c>
    </row>
    <row r="145" spans="1:9" x14ac:dyDescent="0.2">
      <c r="A145">
        <v>10391</v>
      </c>
      <c r="B145" t="s">
        <v>285</v>
      </c>
      <c r="C145">
        <v>3</v>
      </c>
      <c r="D145" s="6">
        <v>35422</v>
      </c>
      <c r="E145" s="6">
        <v>35450</v>
      </c>
      <c r="F145" s="6">
        <v>35430</v>
      </c>
      <c r="G145">
        <v>3</v>
      </c>
      <c r="H145">
        <v>5.45</v>
      </c>
      <c r="I145" t="s">
        <v>24</v>
      </c>
    </row>
    <row r="146" spans="1:9" x14ac:dyDescent="0.2">
      <c r="A146">
        <v>10392</v>
      </c>
      <c r="B146" t="s">
        <v>271</v>
      </c>
      <c r="C146">
        <v>2</v>
      </c>
      <c r="D146" s="6">
        <v>35423</v>
      </c>
      <c r="E146" s="6">
        <v>35451</v>
      </c>
      <c r="F146" s="6">
        <v>35431</v>
      </c>
      <c r="G146">
        <v>3</v>
      </c>
      <c r="H146">
        <v>122.46</v>
      </c>
      <c r="I146" t="s">
        <v>67</v>
      </c>
    </row>
    <row r="147" spans="1:9" x14ac:dyDescent="0.2">
      <c r="A147">
        <v>10393</v>
      </c>
      <c r="B147" t="s">
        <v>231</v>
      </c>
      <c r="C147">
        <v>1</v>
      </c>
      <c r="D147" s="6">
        <v>35424</v>
      </c>
      <c r="E147" s="6">
        <v>35452</v>
      </c>
      <c r="F147" s="6">
        <v>35433</v>
      </c>
      <c r="G147">
        <v>3</v>
      </c>
      <c r="H147">
        <v>126.56</v>
      </c>
      <c r="I147" t="s">
        <v>87</v>
      </c>
    </row>
    <row r="148" spans="1:9" x14ac:dyDescent="0.2">
      <c r="A148">
        <v>10394</v>
      </c>
      <c r="B148" t="s">
        <v>315</v>
      </c>
      <c r="C148">
        <v>1</v>
      </c>
      <c r="D148" s="6">
        <v>35424</v>
      </c>
      <c r="E148" s="6">
        <v>35452</v>
      </c>
      <c r="F148" s="6">
        <v>35433</v>
      </c>
      <c r="G148">
        <v>3</v>
      </c>
      <c r="H148">
        <v>30.34</v>
      </c>
      <c r="I148" t="s">
        <v>87</v>
      </c>
    </row>
    <row r="149" spans="1:9" x14ac:dyDescent="0.2">
      <c r="A149">
        <v>10395</v>
      </c>
      <c r="B149" t="s">
        <v>57</v>
      </c>
      <c r="C149">
        <v>6</v>
      </c>
      <c r="D149" s="6">
        <v>35425</v>
      </c>
      <c r="E149" s="6">
        <v>35453</v>
      </c>
      <c r="F149" s="6">
        <v>35433</v>
      </c>
      <c r="G149">
        <v>1</v>
      </c>
      <c r="H149">
        <v>184.41</v>
      </c>
      <c r="I149" t="s">
        <v>62</v>
      </c>
    </row>
    <row r="150" spans="1:9" x14ac:dyDescent="0.2">
      <c r="A150">
        <v>10396</v>
      </c>
      <c r="B150" t="s">
        <v>103</v>
      </c>
      <c r="C150">
        <v>1</v>
      </c>
      <c r="D150" s="6">
        <v>35426</v>
      </c>
      <c r="E150" s="6">
        <v>35440</v>
      </c>
      <c r="F150" s="6">
        <v>35436</v>
      </c>
      <c r="G150">
        <v>3</v>
      </c>
      <c r="H150">
        <v>135.35</v>
      </c>
      <c r="I150" t="s">
        <v>24</v>
      </c>
    </row>
    <row r="151" spans="1:9" x14ac:dyDescent="0.2">
      <c r="A151">
        <v>10397</v>
      </c>
      <c r="B151" t="s">
        <v>255</v>
      </c>
      <c r="C151">
        <v>5</v>
      </c>
      <c r="D151" s="6">
        <v>35426</v>
      </c>
      <c r="E151" s="6">
        <v>35454</v>
      </c>
      <c r="F151" s="6">
        <v>35432</v>
      </c>
      <c r="G151">
        <v>1</v>
      </c>
      <c r="H151">
        <v>60.26</v>
      </c>
      <c r="I151" t="s">
        <v>243</v>
      </c>
    </row>
    <row r="152" spans="1:9" x14ac:dyDescent="0.2">
      <c r="A152">
        <v>10398</v>
      </c>
      <c r="B152" t="s">
        <v>231</v>
      </c>
      <c r="C152">
        <v>2</v>
      </c>
      <c r="D152" s="6">
        <v>35429</v>
      </c>
      <c r="E152" s="6">
        <v>35457</v>
      </c>
      <c r="F152" s="6">
        <v>35439</v>
      </c>
      <c r="G152">
        <v>3</v>
      </c>
      <c r="H152">
        <v>89.16</v>
      </c>
      <c r="I152" t="s">
        <v>87</v>
      </c>
    </row>
    <row r="153" spans="1:9" x14ac:dyDescent="0.2">
      <c r="A153">
        <v>10399</v>
      </c>
      <c r="B153" t="s">
        <v>301</v>
      </c>
      <c r="C153">
        <v>8</v>
      </c>
      <c r="D153" s="6">
        <v>35430</v>
      </c>
      <c r="E153" s="6">
        <v>35444</v>
      </c>
      <c r="F153" s="6">
        <v>35438</v>
      </c>
      <c r="G153">
        <v>3</v>
      </c>
      <c r="H153">
        <v>27.36</v>
      </c>
      <c r="I153" t="s">
        <v>262</v>
      </c>
    </row>
    <row r="154" spans="1:9" x14ac:dyDescent="0.2">
      <c r="A154">
        <v>10400</v>
      </c>
      <c r="B154" t="s">
        <v>289</v>
      </c>
      <c r="C154">
        <v>1</v>
      </c>
      <c r="D154" s="6">
        <v>35431</v>
      </c>
      <c r="E154" s="6">
        <v>35459</v>
      </c>
      <c r="F154" s="6">
        <v>35446</v>
      </c>
      <c r="G154">
        <v>3</v>
      </c>
      <c r="H154">
        <v>83.93</v>
      </c>
      <c r="I154" t="s">
        <v>173</v>
      </c>
    </row>
    <row r="155" spans="1:9" x14ac:dyDescent="0.2">
      <c r="A155">
        <v>10401</v>
      </c>
      <c r="B155" t="s">
        <v>82</v>
      </c>
      <c r="C155">
        <v>1</v>
      </c>
      <c r="D155" s="6">
        <v>35431</v>
      </c>
      <c r="E155" s="6">
        <v>35459</v>
      </c>
      <c r="F155" s="6">
        <v>35440</v>
      </c>
      <c r="G155">
        <v>1</v>
      </c>
      <c r="H155">
        <v>12.51</v>
      </c>
      <c r="I155" t="s">
        <v>87</v>
      </c>
    </row>
    <row r="156" spans="1:9" x14ac:dyDescent="0.2">
      <c r="A156">
        <v>10402</v>
      </c>
      <c r="B156" t="s">
        <v>63</v>
      </c>
      <c r="C156">
        <v>8</v>
      </c>
      <c r="D156" s="6">
        <v>35432</v>
      </c>
      <c r="E156" s="6">
        <v>35474</v>
      </c>
      <c r="F156" s="6">
        <v>35440</v>
      </c>
      <c r="G156">
        <v>2</v>
      </c>
      <c r="H156">
        <v>67.88</v>
      </c>
      <c r="I156" t="s">
        <v>67</v>
      </c>
    </row>
    <row r="157" spans="1:9" x14ac:dyDescent="0.2">
      <c r="A157">
        <v>10403</v>
      </c>
      <c r="B157" t="s">
        <v>63</v>
      </c>
      <c r="C157">
        <v>4</v>
      </c>
      <c r="D157" s="6">
        <v>35433</v>
      </c>
      <c r="E157" s="6">
        <v>35461</v>
      </c>
      <c r="F157" s="6">
        <v>35439</v>
      </c>
      <c r="G157">
        <v>3</v>
      </c>
      <c r="H157">
        <v>73.790000000000006</v>
      </c>
      <c r="I157" t="s">
        <v>67</v>
      </c>
    </row>
    <row r="158" spans="1:9" x14ac:dyDescent="0.2">
      <c r="A158">
        <v>10404</v>
      </c>
      <c r="B158" t="s">
        <v>127</v>
      </c>
      <c r="C158">
        <v>2</v>
      </c>
      <c r="D158" s="6">
        <v>35433</v>
      </c>
      <c r="E158" s="6">
        <v>35461</v>
      </c>
      <c r="F158" s="6">
        <v>35438</v>
      </c>
      <c r="G158">
        <v>1</v>
      </c>
      <c r="H158">
        <v>155.97</v>
      </c>
      <c r="I158" t="s">
        <v>131</v>
      </c>
    </row>
    <row r="159" spans="1:9" x14ac:dyDescent="0.2">
      <c r="A159">
        <v>10405</v>
      </c>
      <c r="B159" t="s">
        <v>330</v>
      </c>
      <c r="C159">
        <v>1</v>
      </c>
      <c r="D159" s="6">
        <v>35436</v>
      </c>
      <c r="E159" s="6">
        <v>35464</v>
      </c>
      <c r="F159" s="6">
        <v>35452</v>
      </c>
      <c r="G159">
        <v>1</v>
      </c>
      <c r="H159">
        <v>34.82</v>
      </c>
      <c r="I159" t="s">
        <v>62</v>
      </c>
    </row>
    <row r="160" spans="1:9" x14ac:dyDescent="0.2">
      <c r="A160">
        <v>10406</v>
      </c>
      <c r="B160" t="s">
        <v>305</v>
      </c>
      <c r="C160">
        <v>7</v>
      </c>
      <c r="D160" s="6">
        <v>35437</v>
      </c>
      <c r="E160" s="6">
        <v>35479</v>
      </c>
      <c r="F160" s="6">
        <v>35443</v>
      </c>
      <c r="G160">
        <v>1</v>
      </c>
      <c r="H160">
        <v>108.04</v>
      </c>
      <c r="I160" t="s">
        <v>31</v>
      </c>
    </row>
    <row r="161" spans="1:9" x14ac:dyDescent="0.2">
      <c r="A161">
        <v>10407</v>
      </c>
      <c r="B161" t="s">
        <v>74</v>
      </c>
      <c r="C161">
        <v>2</v>
      </c>
      <c r="D161" s="6">
        <v>35437</v>
      </c>
      <c r="E161" s="6">
        <v>35465</v>
      </c>
      <c r="F161" s="6">
        <v>35460</v>
      </c>
      <c r="G161">
        <v>2</v>
      </c>
      <c r="H161">
        <v>91.48</v>
      </c>
      <c r="I161" t="s">
        <v>24</v>
      </c>
    </row>
    <row r="162" spans="1:9" x14ac:dyDescent="0.2">
      <c r="A162">
        <v>10408</v>
      </c>
      <c r="B162" t="s">
        <v>335</v>
      </c>
      <c r="C162">
        <v>8</v>
      </c>
      <c r="D162" s="6">
        <v>35438</v>
      </c>
      <c r="E162" s="6">
        <v>35466</v>
      </c>
      <c r="F162" s="6">
        <v>35444</v>
      </c>
      <c r="G162">
        <v>1</v>
      </c>
      <c r="H162">
        <v>11.26</v>
      </c>
      <c r="I162" t="s">
        <v>19</v>
      </c>
    </row>
    <row r="163" spans="1:9" x14ac:dyDescent="0.2">
      <c r="A163">
        <v>10409</v>
      </c>
      <c r="B163" t="s">
        <v>339</v>
      </c>
      <c r="C163">
        <v>3</v>
      </c>
      <c r="D163" s="6">
        <v>35439</v>
      </c>
      <c r="E163" s="6">
        <v>35467</v>
      </c>
      <c r="F163" s="6">
        <v>35444</v>
      </c>
      <c r="G163">
        <v>1</v>
      </c>
      <c r="H163">
        <v>29.83</v>
      </c>
      <c r="I163" t="s">
        <v>343</v>
      </c>
    </row>
    <row r="164" spans="1:9" x14ac:dyDescent="0.2">
      <c r="A164">
        <v>10410</v>
      </c>
      <c r="B164" t="s">
        <v>324</v>
      </c>
      <c r="C164">
        <v>3</v>
      </c>
      <c r="D164" s="6">
        <v>35440</v>
      </c>
      <c r="E164" s="6">
        <v>35468</v>
      </c>
      <c r="F164" s="6">
        <v>35445</v>
      </c>
      <c r="G164">
        <v>3</v>
      </c>
      <c r="H164">
        <v>2.4</v>
      </c>
      <c r="I164" t="s">
        <v>254</v>
      </c>
    </row>
    <row r="165" spans="1:9" x14ac:dyDescent="0.2">
      <c r="A165">
        <v>10411</v>
      </c>
      <c r="B165" t="s">
        <v>324</v>
      </c>
      <c r="C165">
        <v>9</v>
      </c>
      <c r="D165" s="6">
        <v>35440</v>
      </c>
      <c r="E165" s="6">
        <v>35468</v>
      </c>
      <c r="F165" s="6">
        <v>35451</v>
      </c>
      <c r="G165">
        <v>3</v>
      </c>
      <c r="H165">
        <v>23.65</v>
      </c>
      <c r="I165" t="s">
        <v>254</v>
      </c>
    </row>
    <row r="166" spans="1:9" x14ac:dyDescent="0.2">
      <c r="A166">
        <v>10412</v>
      </c>
      <c r="B166" t="s">
        <v>98</v>
      </c>
      <c r="C166">
        <v>8</v>
      </c>
      <c r="D166" s="6">
        <v>35443</v>
      </c>
      <c r="E166" s="6">
        <v>35471</v>
      </c>
      <c r="F166" s="6">
        <v>35445</v>
      </c>
      <c r="G166">
        <v>2</v>
      </c>
      <c r="H166">
        <v>3.77</v>
      </c>
      <c r="I166" t="s">
        <v>102</v>
      </c>
    </row>
    <row r="167" spans="1:9" x14ac:dyDescent="0.2">
      <c r="A167">
        <v>10413</v>
      </c>
      <c r="B167" t="s">
        <v>267</v>
      </c>
      <c r="C167">
        <v>3</v>
      </c>
      <c r="D167" s="6">
        <v>35444</v>
      </c>
      <c r="E167" s="6">
        <v>35472</v>
      </c>
      <c r="F167" s="6">
        <v>35446</v>
      </c>
      <c r="G167">
        <v>2</v>
      </c>
      <c r="H167">
        <v>95.66</v>
      </c>
      <c r="I167" t="s">
        <v>19</v>
      </c>
    </row>
    <row r="168" spans="1:9" x14ac:dyDescent="0.2">
      <c r="A168">
        <v>10414</v>
      </c>
      <c r="B168" t="s">
        <v>263</v>
      </c>
      <c r="C168">
        <v>2</v>
      </c>
      <c r="D168" s="6">
        <v>35444</v>
      </c>
      <c r="E168" s="6">
        <v>35472</v>
      </c>
      <c r="F168" s="6">
        <v>35447</v>
      </c>
      <c r="G168">
        <v>3</v>
      </c>
      <c r="H168">
        <v>21.48</v>
      </c>
      <c r="I168" t="s">
        <v>31</v>
      </c>
    </row>
    <row r="169" spans="1:9" x14ac:dyDescent="0.2">
      <c r="A169">
        <v>10415</v>
      </c>
      <c r="B169" t="s">
        <v>315</v>
      </c>
      <c r="C169">
        <v>3</v>
      </c>
      <c r="D169" s="6">
        <v>35445</v>
      </c>
      <c r="E169" s="6">
        <v>35473</v>
      </c>
      <c r="F169" s="6">
        <v>35454</v>
      </c>
      <c r="G169">
        <v>1</v>
      </c>
      <c r="H169">
        <v>0.2</v>
      </c>
      <c r="I169" t="s">
        <v>87</v>
      </c>
    </row>
    <row r="170" spans="1:9" x14ac:dyDescent="0.2">
      <c r="A170">
        <v>10416</v>
      </c>
      <c r="B170" t="s">
        <v>98</v>
      </c>
      <c r="C170">
        <v>8</v>
      </c>
      <c r="D170" s="6">
        <v>35446</v>
      </c>
      <c r="E170" s="6">
        <v>35474</v>
      </c>
      <c r="F170" s="6">
        <v>35457</v>
      </c>
      <c r="G170">
        <v>3</v>
      </c>
      <c r="H170">
        <v>22.72</v>
      </c>
      <c r="I170" t="s">
        <v>102</v>
      </c>
    </row>
    <row r="171" spans="1:9" x14ac:dyDescent="0.2">
      <c r="A171">
        <v>10417</v>
      </c>
      <c r="B171" t="s">
        <v>258</v>
      </c>
      <c r="C171">
        <v>4</v>
      </c>
      <c r="D171" s="6">
        <v>35446</v>
      </c>
      <c r="E171" s="6">
        <v>35474</v>
      </c>
      <c r="F171" s="6">
        <v>35458</v>
      </c>
      <c r="G171">
        <v>3</v>
      </c>
      <c r="H171">
        <v>70.290000000000006</v>
      </c>
      <c r="I171" t="s">
        <v>262</v>
      </c>
    </row>
    <row r="172" spans="1:9" x14ac:dyDescent="0.2">
      <c r="A172">
        <v>10418</v>
      </c>
      <c r="B172" t="s">
        <v>122</v>
      </c>
      <c r="C172">
        <v>4</v>
      </c>
      <c r="D172" s="6">
        <v>35447</v>
      </c>
      <c r="E172" s="6">
        <v>35475</v>
      </c>
      <c r="F172" s="6">
        <v>35454</v>
      </c>
      <c r="G172">
        <v>1</v>
      </c>
      <c r="H172">
        <v>17.55</v>
      </c>
      <c r="I172" t="s">
        <v>24</v>
      </c>
    </row>
    <row r="173" spans="1:9" x14ac:dyDescent="0.2">
      <c r="A173">
        <v>10419</v>
      </c>
      <c r="B173" t="s">
        <v>47</v>
      </c>
      <c r="C173">
        <v>4</v>
      </c>
      <c r="D173" s="6">
        <v>35450</v>
      </c>
      <c r="E173" s="6">
        <v>35478</v>
      </c>
      <c r="F173" s="6">
        <v>35460</v>
      </c>
      <c r="G173">
        <v>2</v>
      </c>
      <c r="H173">
        <v>137.35</v>
      </c>
      <c r="I173" t="s">
        <v>46</v>
      </c>
    </row>
    <row r="174" spans="1:9" x14ac:dyDescent="0.2">
      <c r="A174">
        <v>10420</v>
      </c>
      <c r="B174" t="s">
        <v>51</v>
      </c>
      <c r="C174">
        <v>3</v>
      </c>
      <c r="D174" s="6">
        <v>35451</v>
      </c>
      <c r="E174" s="6">
        <v>35479</v>
      </c>
      <c r="F174" s="6">
        <v>35457</v>
      </c>
      <c r="G174">
        <v>1</v>
      </c>
      <c r="H174">
        <v>44.12</v>
      </c>
      <c r="I174" t="s">
        <v>31</v>
      </c>
    </row>
    <row r="175" spans="1:9" x14ac:dyDescent="0.2">
      <c r="A175">
        <v>10421</v>
      </c>
      <c r="B175" t="s">
        <v>78</v>
      </c>
      <c r="C175">
        <v>8</v>
      </c>
      <c r="D175" s="6">
        <v>35451</v>
      </c>
      <c r="E175" s="6">
        <v>35493</v>
      </c>
      <c r="F175" s="6">
        <v>35457</v>
      </c>
      <c r="G175">
        <v>1</v>
      </c>
      <c r="H175">
        <v>99.23</v>
      </c>
      <c r="I175" t="s">
        <v>31</v>
      </c>
    </row>
    <row r="176" spans="1:9" x14ac:dyDescent="0.2">
      <c r="A176">
        <v>10422</v>
      </c>
      <c r="B176" t="s">
        <v>344</v>
      </c>
      <c r="C176">
        <v>2</v>
      </c>
      <c r="D176" s="6">
        <v>35452</v>
      </c>
      <c r="E176" s="6">
        <v>35480</v>
      </c>
      <c r="F176" s="6">
        <v>35461</v>
      </c>
      <c r="G176">
        <v>1</v>
      </c>
      <c r="H176">
        <v>3.02</v>
      </c>
      <c r="I176" t="s">
        <v>131</v>
      </c>
    </row>
    <row r="177" spans="1:9" x14ac:dyDescent="0.2">
      <c r="A177">
        <v>10423</v>
      </c>
      <c r="B177" t="s">
        <v>348</v>
      </c>
      <c r="C177">
        <v>6</v>
      </c>
      <c r="D177" s="6">
        <v>35453</v>
      </c>
      <c r="E177" s="6">
        <v>35467</v>
      </c>
      <c r="F177" s="6">
        <v>35485</v>
      </c>
      <c r="G177">
        <v>3</v>
      </c>
      <c r="H177">
        <v>24.5</v>
      </c>
      <c r="I177" t="s">
        <v>31</v>
      </c>
    </row>
    <row r="178" spans="1:9" x14ac:dyDescent="0.2">
      <c r="A178">
        <v>10424</v>
      </c>
      <c r="B178" t="s">
        <v>248</v>
      </c>
      <c r="C178">
        <v>7</v>
      </c>
      <c r="D178" s="6">
        <v>35453</v>
      </c>
      <c r="E178" s="6">
        <v>35481</v>
      </c>
      <c r="F178" s="6">
        <v>35457</v>
      </c>
      <c r="G178">
        <v>2</v>
      </c>
      <c r="H178">
        <v>370.61</v>
      </c>
      <c r="I178" t="s">
        <v>254</v>
      </c>
    </row>
    <row r="179" spans="1:9" x14ac:dyDescent="0.2">
      <c r="A179">
        <v>10425</v>
      </c>
      <c r="B179" t="s">
        <v>267</v>
      </c>
      <c r="C179">
        <v>6</v>
      </c>
      <c r="D179" s="6">
        <v>35454</v>
      </c>
      <c r="E179" s="6">
        <v>35482</v>
      </c>
      <c r="F179" s="6">
        <v>35475</v>
      </c>
      <c r="G179">
        <v>2</v>
      </c>
      <c r="H179">
        <v>7.93</v>
      </c>
      <c r="I179" t="s">
        <v>19</v>
      </c>
    </row>
    <row r="180" spans="1:9" x14ac:dyDescent="0.2">
      <c r="A180">
        <v>10426</v>
      </c>
      <c r="B180" t="s">
        <v>297</v>
      </c>
      <c r="C180">
        <v>4</v>
      </c>
      <c r="D180" s="6">
        <v>35457</v>
      </c>
      <c r="E180" s="6">
        <v>35485</v>
      </c>
      <c r="F180" s="6">
        <v>35467</v>
      </c>
      <c r="G180">
        <v>1</v>
      </c>
      <c r="H180">
        <v>18.690000000000001</v>
      </c>
      <c r="I180" t="s">
        <v>154</v>
      </c>
    </row>
    <row r="181" spans="1:9" x14ac:dyDescent="0.2">
      <c r="A181">
        <v>10427</v>
      </c>
      <c r="B181" t="s">
        <v>271</v>
      </c>
      <c r="C181">
        <v>4</v>
      </c>
      <c r="D181" s="6">
        <v>35457</v>
      </c>
      <c r="E181" s="6">
        <v>35485</v>
      </c>
      <c r="F181" s="6">
        <v>35492</v>
      </c>
      <c r="G181">
        <v>2</v>
      </c>
      <c r="H181">
        <v>31.29</v>
      </c>
      <c r="I181" t="s">
        <v>67</v>
      </c>
    </row>
    <row r="182" spans="1:9" x14ac:dyDescent="0.2">
      <c r="A182">
        <v>10428</v>
      </c>
      <c r="B182" t="s">
        <v>164</v>
      </c>
      <c r="C182">
        <v>7</v>
      </c>
      <c r="D182" s="6">
        <v>35458</v>
      </c>
      <c r="E182" s="6">
        <v>35486</v>
      </c>
      <c r="F182" s="6">
        <v>35465</v>
      </c>
      <c r="G182">
        <v>1</v>
      </c>
      <c r="H182">
        <v>11.09</v>
      </c>
      <c r="I182" t="s">
        <v>131</v>
      </c>
    </row>
    <row r="183" spans="1:9" x14ac:dyDescent="0.2">
      <c r="A183">
        <v>10429</v>
      </c>
      <c r="B183" t="s">
        <v>183</v>
      </c>
      <c r="C183">
        <v>3</v>
      </c>
      <c r="D183" s="6">
        <v>35459</v>
      </c>
      <c r="E183" s="6">
        <v>35501</v>
      </c>
      <c r="F183" s="6">
        <v>35468</v>
      </c>
      <c r="G183">
        <v>2</v>
      </c>
      <c r="H183">
        <v>56.63</v>
      </c>
      <c r="I183" t="s">
        <v>188</v>
      </c>
    </row>
    <row r="184" spans="1:9" x14ac:dyDescent="0.2">
      <c r="A184">
        <v>10430</v>
      </c>
      <c r="B184" t="s">
        <v>63</v>
      </c>
      <c r="C184">
        <v>4</v>
      </c>
      <c r="D184" s="6">
        <v>35460</v>
      </c>
      <c r="E184" s="6">
        <v>35474</v>
      </c>
      <c r="F184" s="6">
        <v>35464</v>
      </c>
      <c r="G184">
        <v>1</v>
      </c>
      <c r="H184">
        <v>458.78</v>
      </c>
      <c r="I184" t="s">
        <v>67</v>
      </c>
    </row>
    <row r="185" spans="1:9" x14ac:dyDescent="0.2">
      <c r="A185">
        <v>10431</v>
      </c>
      <c r="B185" t="s">
        <v>324</v>
      </c>
      <c r="C185">
        <v>4</v>
      </c>
      <c r="D185" s="6">
        <v>35460</v>
      </c>
      <c r="E185" s="6">
        <v>35474</v>
      </c>
      <c r="F185" s="6">
        <v>35468</v>
      </c>
      <c r="G185">
        <v>2</v>
      </c>
      <c r="H185">
        <v>44.17</v>
      </c>
      <c r="I185" t="s">
        <v>254</v>
      </c>
    </row>
    <row r="186" spans="1:9" x14ac:dyDescent="0.2">
      <c r="A186">
        <v>10432</v>
      </c>
      <c r="B186" t="s">
        <v>117</v>
      </c>
      <c r="C186">
        <v>3</v>
      </c>
      <c r="D186" s="6">
        <v>35461</v>
      </c>
      <c r="E186" s="6">
        <v>35475</v>
      </c>
      <c r="F186" s="6">
        <v>35468</v>
      </c>
      <c r="G186">
        <v>2</v>
      </c>
      <c r="H186">
        <v>4.34</v>
      </c>
      <c r="I186" t="s">
        <v>87</v>
      </c>
    </row>
    <row r="187" spans="1:9" x14ac:dyDescent="0.2">
      <c r="A187">
        <v>10433</v>
      </c>
      <c r="B187" t="s">
        <v>255</v>
      </c>
      <c r="C187">
        <v>3</v>
      </c>
      <c r="D187" s="6">
        <v>35464</v>
      </c>
      <c r="E187" s="6">
        <v>35492</v>
      </c>
      <c r="F187" s="6">
        <v>35493</v>
      </c>
      <c r="G187">
        <v>3</v>
      </c>
      <c r="H187">
        <v>73.83</v>
      </c>
      <c r="I187" t="s">
        <v>243</v>
      </c>
    </row>
    <row r="188" spans="1:9" x14ac:dyDescent="0.2">
      <c r="A188">
        <v>10434</v>
      </c>
      <c r="B188" t="s">
        <v>88</v>
      </c>
      <c r="C188">
        <v>3</v>
      </c>
      <c r="D188" s="6">
        <v>35464</v>
      </c>
      <c r="E188" s="6">
        <v>35492</v>
      </c>
      <c r="F188" s="6">
        <v>35474</v>
      </c>
      <c r="G188">
        <v>2</v>
      </c>
      <c r="H188">
        <v>17.920000000000002</v>
      </c>
      <c r="I188" t="s">
        <v>93</v>
      </c>
    </row>
    <row r="189" spans="1:9" x14ac:dyDescent="0.2">
      <c r="A189">
        <v>10435</v>
      </c>
      <c r="B189" t="s">
        <v>353</v>
      </c>
      <c r="C189">
        <v>8</v>
      </c>
      <c r="D189" s="6">
        <v>35465</v>
      </c>
      <c r="E189" s="6">
        <v>35507</v>
      </c>
      <c r="F189" s="6">
        <v>35468</v>
      </c>
      <c r="G189">
        <v>2</v>
      </c>
      <c r="H189">
        <v>9.2100000000000009</v>
      </c>
      <c r="I189" t="s">
        <v>173</v>
      </c>
    </row>
    <row r="190" spans="1:9" x14ac:dyDescent="0.2">
      <c r="A190">
        <v>10436</v>
      </c>
      <c r="B190" t="s">
        <v>94</v>
      </c>
      <c r="C190">
        <v>3</v>
      </c>
      <c r="D190" s="6">
        <v>35466</v>
      </c>
      <c r="E190" s="6">
        <v>35494</v>
      </c>
      <c r="F190" s="6">
        <v>35472</v>
      </c>
      <c r="G190">
        <v>2</v>
      </c>
      <c r="H190">
        <v>156.66</v>
      </c>
      <c r="I190" t="s">
        <v>19</v>
      </c>
    </row>
    <row r="191" spans="1:9" x14ac:dyDescent="0.2">
      <c r="A191">
        <v>10437</v>
      </c>
      <c r="B191" t="s">
        <v>98</v>
      </c>
      <c r="C191">
        <v>8</v>
      </c>
      <c r="D191" s="6">
        <v>35466</v>
      </c>
      <c r="E191" s="6">
        <v>35494</v>
      </c>
      <c r="F191" s="6">
        <v>35473</v>
      </c>
      <c r="G191">
        <v>1</v>
      </c>
      <c r="H191">
        <v>19.97</v>
      </c>
      <c r="I191" t="s">
        <v>102</v>
      </c>
    </row>
    <row r="192" spans="1:9" x14ac:dyDescent="0.2">
      <c r="A192">
        <v>10438</v>
      </c>
      <c r="B192" t="s">
        <v>20</v>
      </c>
      <c r="C192">
        <v>3</v>
      </c>
      <c r="D192" s="6">
        <v>35467</v>
      </c>
      <c r="E192" s="6">
        <v>35495</v>
      </c>
      <c r="F192" s="6">
        <v>35475</v>
      </c>
      <c r="G192">
        <v>2</v>
      </c>
      <c r="H192">
        <v>8.24</v>
      </c>
      <c r="I192" t="s">
        <v>24</v>
      </c>
    </row>
    <row r="193" spans="1:9" x14ac:dyDescent="0.2">
      <c r="A193">
        <v>10439</v>
      </c>
      <c r="B193" t="s">
        <v>248</v>
      </c>
      <c r="C193">
        <v>6</v>
      </c>
      <c r="D193" s="6">
        <v>35468</v>
      </c>
      <c r="E193" s="6">
        <v>35496</v>
      </c>
      <c r="F193" s="6">
        <v>35471</v>
      </c>
      <c r="G193">
        <v>3</v>
      </c>
      <c r="H193">
        <v>4.07</v>
      </c>
      <c r="I193" t="s">
        <v>254</v>
      </c>
    </row>
    <row r="194" spans="1:9" x14ac:dyDescent="0.2">
      <c r="A194">
        <v>10440</v>
      </c>
      <c r="B194" t="s">
        <v>231</v>
      </c>
      <c r="C194">
        <v>4</v>
      </c>
      <c r="D194" s="6">
        <v>35471</v>
      </c>
      <c r="E194" s="6">
        <v>35499</v>
      </c>
      <c r="F194" s="6">
        <v>35489</v>
      </c>
      <c r="G194">
        <v>2</v>
      </c>
      <c r="H194">
        <v>86.53</v>
      </c>
      <c r="I194" t="s">
        <v>87</v>
      </c>
    </row>
    <row r="195" spans="1:9" x14ac:dyDescent="0.2">
      <c r="A195">
        <v>10441</v>
      </c>
      <c r="B195" t="s">
        <v>197</v>
      </c>
      <c r="C195">
        <v>3</v>
      </c>
      <c r="D195" s="6">
        <v>35471</v>
      </c>
      <c r="E195" s="6">
        <v>35513</v>
      </c>
      <c r="F195" s="6">
        <v>35503</v>
      </c>
      <c r="G195">
        <v>2</v>
      </c>
      <c r="H195">
        <v>73.02</v>
      </c>
      <c r="I195" t="s">
        <v>87</v>
      </c>
    </row>
    <row r="196" spans="1:9" x14ac:dyDescent="0.2">
      <c r="A196">
        <v>10442</v>
      </c>
      <c r="B196" t="s">
        <v>63</v>
      </c>
      <c r="C196">
        <v>3</v>
      </c>
      <c r="D196" s="6">
        <v>35472</v>
      </c>
      <c r="E196" s="6">
        <v>35500</v>
      </c>
      <c r="F196" s="6">
        <v>35479</v>
      </c>
      <c r="G196">
        <v>2</v>
      </c>
      <c r="H196">
        <v>47.94</v>
      </c>
      <c r="I196" t="s">
        <v>67</v>
      </c>
    </row>
    <row r="197" spans="1:9" x14ac:dyDescent="0.2">
      <c r="A197">
        <v>10443</v>
      </c>
      <c r="B197" t="s">
        <v>164</v>
      </c>
      <c r="C197">
        <v>8</v>
      </c>
      <c r="D197" s="6">
        <v>35473</v>
      </c>
      <c r="E197" s="6">
        <v>35501</v>
      </c>
      <c r="F197" s="6">
        <v>35475</v>
      </c>
      <c r="G197">
        <v>1</v>
      </c>
      <c r="H197">
        <v>13.95</v>
      </c>
      <c r="I197" t="s">
        <v>131</v>
      </c>
    </row>
    <row r="198" spans="1:9" x14ac:dyDescent="0.2">
      <c r="A198">
        <v>10444</v>
      </c>
      <c r="B198" t="s">
        <v>141</v>
      </c>
      <c r="C198">
        <v>3</v>
      </c>
      <c r="D198" s="6">
        <v>35473</v>
      </c>
      <c r="E198" s="6">
        <v>35501</v>
      </c>
      <c r="F198" s="6">
        <v>35482</v>
      </c>
      <c r="G198">
        <v>3</v>
      </c>
      <c r="H198">
        <v>3.5</v>
      </c>
      <c r="I198" t="s">
        <v>93</v>
      </c>
    </row>
    <row r="199" spans="1:9" x14ac:dyDescent="0.2">
      <c r="A199">
        <v>10445</v>
      </c>
      <c r="B199" t="s">
        <v>141</v>
      </c>
      <c r="C199">
        <v>3</v>
      </c>
      <c r="D199" s="6">
        <v>35474</v>
      </c>
      <c r="E199" s="6">
        <v>35502</v>
      </c>
      <c r="F199" s="6">
        <v>35481</v>
      </c>
      <c r="G199">
        <v>1</v>
      </c>
      <c r="H199">
        <v>9.3000000000000007</v>
      </c>
      <c r="I199" t="s">
        <v>93</v>
      </c>
    </row>
    <row r="200" spans="1:9" x14ac:dyDescent="0.2">
      <c r="A200">
        <v>10446</v>
      </c>
      <c r="B200" t="s">
        <v>20</v>
      </c>
      <c r="C200">
        <v>6</v>
      </c>
      <c r="D200" s="6">
        <v>35475</v>
      </c>
      <c r="E200" s="6">
        <v>35503</v>
      </c>
      <c r="F200" s="6">
        <v>35480</v>
      </c>
      <c r="G200">
        <v>1</v>
      </c>
      <c r="H200">
        <v>14.68</v>
      </c>
      <c r="I200" t="s">
        <v>24</v>
      </c>
    </row>
    <row r="201" spans="1:9" x14ac:dyDescent="0.2">
      <c r="A201">
        <v>10447</v>
      </c>
      <c r="B201" t="s">
        <v>160</v>
      </c>
      <c r="C201">
        <v>4</v>
      </c>
      <c r="D201" s="6">
        <v>35475</v>
      </c>
      <c r="E201" s="6">
        <v>35503</v>
      </c>
      <c r="F201" s="6">
        <v>35496</v>
      </c>
      <c r="G201">
        <v>2</v>
      </c>
      <c r="H201">
        <v>68.66</v>
      </c>
      <c r="I201" t="s">
        <v>31</v>
      </c>
    </row>
    <row r="202" spans="1:9" x14ac:dyDescent="0.2">
      <c r="A202">
        <v>10448</v>
      </c>
      <c r="B202" t="s">
        <v>357</v>
      </c>
      <c r="C202">
        <v>4</v>
      </c>
      <c r="D202" s="6">
        <v>35478</v>
      </c>
      <c r="E202" s="6">
        <v>35506</v>
      </c>
      <c r="F202" s="6">
        <v>35485</v>
      </c>
      <c r="G202">
        <v>2</v>
      </c>
      <c r="H202">
        <v>38.82</v>
      </c>
      <c r="I202" t="s">
        <v>343</v>
      </c>
    </row>
    <row r="203" spans="1:9" x14ac:dyDescent="0.2">
      <c r="A203">
        <v>10449</v>
      </c>
      <c r="B203" t="s">
        <v>94</v>
      </c>
      <c r="C203">
        <v>3</v>
      </c>
      <c r="D203" s="6">
        <v>35479</v>
      </c>
      <c r="E203" s="6">
        <v>35507</v>
      </c>
      <c r="F203" s="6">
        <v>35488</v>
      </c>
      <c r="G203">
        <v>2</v>
      </c>
      <c r="H203">
        <v>53.3</v>
      </c>
      <c r="I203" t="s">
        <v>19</v>
      </c>
    </row>
    <row r="204" spans="1:9" x14ac:dyDescent="0.2">
      <c r="A204">
        <v>10450</v>
      </c>
      <c r="B204" t="s">
        <v>32</v>
      </c>
      <c r="C204">
        <v>8</v>
      </c>
      <c r="D204" s="6">
        <v>35480</v>
      </c>
      <c r="E204" s="6">
        <v>35508</v>
      </c>
      <c r="F204" s="6">
        <v>35500</v>
      </c>
      <c r="G204">
        <v>2</v>
      </c>
      <c r="H204">
        <v>7.23</v>
      </c>
      <c r="I204" t="s">
        <v>19</v>
      </c>
    </row>
    <row r="205" spans="1:9" x14ac:dyDescent="0.2">
      <c r="A205">
        <v>10451</v>
      </c>
      <c r="B205" t="s">
        <v>122</v>
      </c>
      <c r="C205">
        <v>4</v>
      </c>
      <c r="D205" s="6">
        <v>35480</v>
      </c>
      <c r="E205" s="6">
        <v>35494</v>
      </c>
      <c r="F205" s="6">
        <v>35501</v>
      </c>
      <c r="G205">
        <v>3</v>
      </c>
      <c r="H205">
        <v>189.09</v>
      </c>
      <c r="I205" t="s">
        <v>24</v>
      </c>
    </row>
    <row r="206" spans="1:9" x14ac:dyDescent="0.2">
      <c r="A206">
        <v>10452</v>
      </c>
      <c r="B206" t="s">
        <v>231</v>
      </c>
      <c r="C206">
        <v>8</v>
      </c>
      <c r="D206" s="6">
        <v>35481</v>
      </c>
      <c r="E206" s="6">
        <v>35509</v>
      </c>
      <c r="F206" s="6">
        <v>35487</v>
      </c>
      <c r="G206">
        <v>1</v>
      </c>
      <c r="H206">
        <v>140.26</v>
      </c>
      <c r="I206" t="s">
        <v>87</v>
      </c>
    </row>
    <row r="207" spans="1:9" x14ac:dyDescent="0.2">
      <c r="A207">
        <v>10453</v>
      </c>
      <c r="B207" t="s">
        <v>275</v>
      </c>
      <c r="C207">
        <v>1</v>
      </c>
      <c r="D207" s="6">
        <v>35482</v>
      </c>
      <c r="E207" s="6">
        <v>35510</v>
      </c>
      <c r="F207" s="6">
        <v>35487</v>
      </c>
      <c r="G207">
        <v>2</v>
      </c>
      <c r="H207">
        <v>25.36</v>
      </c>
      <c r="I207" t="s">
        <v>173</v>
      </c>
    </row>
    <row r="208" spans="1:9" x14ac:dyDescent="0.2">
      <c r="A208">
        <v>10454</v>
      </c>
      <c r="B208" t="s">
        <v>267</v>
      </c>
      <c r="C208">
        <v>4</v>
      </c>
      <c r="D208" s="6">
        <v>35482</v>
      </c>
      <c r="E208" s="6">
        <v>35510</v>
      </c>
      <c r="F208" s="6">
        <v>35486</v>
      </c>
      <c r="G208">
        <v>3</v>
      </c>
      <c r="H208">
        <v>2.74</v>
      </c>
      <c r="I208" t="s">
        <v>19</v>
      </c>
    </row>
    <row r="209" spans="1:9" x14ac:dyDescent="0.2">
      <c r="A209">
        <v>10455</v>
      </c>
      <c r="B209" t="s">
        <v>98</v>
      </c>
      <c r="C209">
        <v>8</v>
      </c>
      <c r="D209" s="6">
        <v>35485</v>
      </c>
      <c r="E209" s="6">
        <v>35527</v>
      </c>
      <c r="F209" s="6">
        <v>35492</v>
      </c>
      <c r="G209">
        <v>2</v>
      </c>
      <c r="H209">
        <v>180.45</v>
      </c>
      <c r="I209" t="s">
        <v>102</v>
      </c>
    </row>
    <row r="210" spans="1:9" x14ac:dyDescent="0.2">
      <c r="A210">
        <v>10456</v>
      </c>
      <c r="B210" t="s">
        <v>227</v>
      </c>
      <c r="C210">
        <v>8</v>
      </c>
      <c r="D210" s="6">
        <v>35486</v>
      </c>
      <c r="E210" s="6">
        <v>35528</v>
      </c>
      <c r="F210" s="6">
        <v>35489</v>
      </c>
      <c r="G210">
        <v>2</v>
      </c>
      <c r="H210">
        <v>8.1199999999999992</v>
      </c>
      <c r="I210" t="s">
        <v>24</v>
      </c>
    </row>
    <row r="211" spans="1:9" x14ac:dyDescent="0.2">
      <c r="A211">
        <v>10457</v>
      </c>
      <c r="B211" t="s">
        <v>227</v>
      </c>
      <c r="C211">
        <v>2</v>
      </c>
      <c r="D211" s="6">
        <v>35486</v>
      </c>
      <c r="E211" s="6">
        <v>35514</v>
      </c>
      <c r="F211" s="6">
        <v>35492</v>
      </c>
      <c r="G211">
        <v>1</v>
      </c>
      <c r="H211">
        <v>11.57</v>
      </c>
      <c r="I211" t="s">
        <v>24</v>
      </c>
    </row>
    <row r="212" spans="1:9" x14ac:dyDescent="0.2">
      <c r="A212">
        <v>10458</v>
      </c>
      <c r="B212" t="s">
        <v>36</v>
      </c>
      <c r="C212">
        <v>7</v>
      </c>
      <c r="D212" s="6">
        <v>35487</v>
      </c>
      <c r="E212" s="6">
        <v>35515</v>
      </c>
      <c r="F212" s="6">
        <v>35493</v>
      </c>
      <c r="G212">
        <v>3</v>
      </c>
      <c r="H212">
        <v>147.06</v>
      </c>
      <c r="I212" t="s">
        <v>41</v>
      </c>
    </row>
    <row r="213" spans="1:9" x14ac:dyDescent="0.2">
      <c r="A213">
        <v>10459</v>
      </c>
      <c r="B213" t="s">
        <v>32</v>
      </c>
      <c r="C213">
        <v>4</v>
      </c>
      <c r="D213" s="6">
        <v>35488</v>
      </c>
      <c r="E213" s="6">
        <v>35516</v>
      </c>
      <c r="F213" s="6">
        <v>35489</v>
      </c>
      <c r="G213">
        <v>2</v>
      </c>
      <c r="H213">
        <v>25.09</v>
      </c>
      <c r="I213" t="s">
        <v>19</v>
      </c>
    </row>
    <row r="214" spans="1:9" x14ac:dyDescent="0.2">
      <c r="A214">
        <v>10460</v>
      </c>
      <c r="B214" t="s">
        <v>88</v>
      </c>
      <c r="C214">
        <v>8</v>
      </c>
      <c r="D214" s="6">
        <v>35489</v>
      </c>
      <c r="E214" s="6">
        <v>35517</v>
      </c>
      <c r="F214" s="6">
        <v>35492</v>
      </c>
      <c r="G214">
        <v>1</v>
      </c>
      <c r="H214">
        <v>16.27</v>
      </c>
      <c r="I214" t="s">
        <v>93</v>
      </c>
    </row>
    <row r="215" spans="1:9" x14ac:dyDescent="0.2">
      <c r="A215">
        <v>10461</v>
      </c>
      <c r="B215" t="s">
        <v>155</v>
      </c>
      <c r="C215">
        <v>1</v>
      </c>
      <c r="D215" s="6">
        <v>35489</v>
      </c>
      <c r="E215" s="6">
        <v>35517</v>
      </c>
      <c r="F215" s="6">
        <v>35494</v>
      </c>
      <c r="G215">
        <v>3</v>
      </c>
      <c r="H215">
        <v>148.61000000000001</v>
      </c>
      <c r="I215" t="s">
        <v>62</v>
      </c>
    </row>
    <row r="216" spans="1:9" x14ac:dyDescent="0.2">
      <c r="A216">
        <v>10462</v>
      </c>
      <c r="B216" t="s">
        <v>353</v>
      </c>
      <c r="C216">
        <v>2</v>
      </c>
      <c r="D216" s="6">
        <v>35492</v>
      </c>
      <c r="E216" s="6">
        <v>35520</v>
      </c>
      <c r="F216" s="6">
        <v>35507</v>
      </c>
      <c r="G216">
        <v>1</v>
      </c>
      <c r="H216">
        <v>6.17</v>
      </c>
      <c r="I216" t="s">
        <v>173</v>
      </c>
    </row>
    <row r="217" spans="1:9" x14ac:dyDescent="0.2">
      <c r="A217">
        <v>10463</v>
      </c>
      <c r="B217" t="s">
        <v>36</v>
      </c>
      <c r="C217">
        <v>5</v>
      </c>
      <c r="D217" s="6">
        <v>35493</v>
      </c>
      <c r="E217" s="6">
        <v>35521</v>
      </c>
      <c r="F217" s="6">
        <v>35495</v>
      </c>
      <c r="G217">
        <v>3</v>
      </c>
      <c r="H217">
        <v>14.78</v>
      </c>
      <c r="I217" t="s">
        <v>41</v>
      </c>
    </row>
    <row r="218" spans="1:9" x14ac:dyDescent="0.2">
      <c r="A218">
        <v>10464</v>
      </c>
      <c r="B218" t="s">
        <v>239</v>
      </c>
      <c r="C218">
        <v>4</v>
      </c>
      <c r="D218" s="6">
        <v>35493</v>
      </c>
      <c r="E218" s="6">
        <v>35521</v>
      </c>
      <c r="F218" s="6">
        <v>35503</v>
      </c>
      <c r="G218">
        <v>2</v>
      </c>
      <c r="H218">
        <v>89</v>
      </c>
      <c r="I218" t="s">
        <v>243</v>
      </c>
    </row>
    <row r="219" spans="1:9" x14ac:dyDescent="0.2">
      <c r="A219">
        <v>10465</v>
      </c>
      <c r="B219" t="s">
        <v>301</v>
      </c>
      <c r="C219">
        <v>1</v>
      </c>
      <c r="D219" s="6">
        <v>35494</v>
      </c>
      <c r="E219" s="6">
        <v>35522</v>
      </c>
      <c r="F219" s="6">
        <v>35503</v>
      </c>
      <c r="G219">
        <v>3</v>
      </c>
      <c r="H219">
        <v>145.04</v>
      </c>
      <c r="I219" t="s">
        <v>262</v>
      </c>
    </row>
    <row r="220" spans="1:9" x14ac:dyDescent="0.2">
      <c r="A220">
        <v>10466</v>
      </c>
      <c r="B220" t="s">
        <v>174</v>
      </c>
      <c r="C220">
        <v>4</v>
      </c>
      <c r="D220" s="6">
        <v>35495</v>
      </c>
      <c r="E220" s="6">
        <v>35523</v>
      </c>
      <c r="F220" s="6">
        <v>35502</v>
      </c>
      <c r="G220">
        <v>1</v>
      </c>
      <c r="H220">
        <v>11.93</v>
      </c>
      <c r="I220" t="s">
        <v>31</v>
      </c>
    </row>
    <row r="221" spans="1:9" x14ac:dyDescent="0.2">
      <c r="A221">
        <v>10467</v>
      </c>
      <c r="B221" t="s">
        <v>127</v>
      </c>
      <c r="C221">
        <v>8</v>
      </c>
      <c r="D221" s="6">
        <v>35495</v>
      </c>
      <c r="E221" s="6">
        <v>35523</v>
      </c>
      <c r="F221" s="6">
        <v>35500</v>
      </c>
      <c r="G221">
        <v>2</v>
      </c>
      <c r="H221">
        <v>4.93</v>
      </c>
      <c r="I221" t="s">
        <v>131</v>
      </c>
    </row>
    <row r="222" spans="1:9" x14ac:dyDescent="0.2">
      <c r="A222">
        <v>10468</v>
      </c>
      <c r="B222" t="s">
        <v>227</v>
      </c>
      <c r="C222">
        <v>3</v>
      </c>
      <c r="D222" s="6">
        <v>35496</v>
      </c>
      <c r="E222" s="6">
        <v>35524</v>
      </c>
      <c r="F222" s="6">
        <v>35501</v>
      </c>
      <c r="G222">
        <v>3</v>
      </c>
      <c r="H222">
        <v>44.12</v>
      </c>
      <c r="I222" t="s">
        <v>24</v>
      </c>
    </row>
    <row r="223" spans="1:9" x14ac:dyDescent="0.2">
      <c r="A223">
        <v>10469</v>
      </c>
      <c r="B223" t="s">
        <v>112</v>
      </c>
      <c r="C223">
        <v>1</v>
      </c>
      <c r="D223" s="6">
        <v>35499</v>
      </c>
      <c r="E223" s="6">
        <v>35527</v>
      </c>
      <c r="F223" s="6">
        <v>35503</v>
      </c>
      <c r="G223">
        <v>1</v>
      </c>
      <c r="H223">
        <v>60.18</v>
      </c>
      <c r="I223" t="s">
        <v>87</v>
      </c>
    </row>
    <row r="224" spans="1:9" x14ac:dyDescent="0.2">
      <c r="A224">
        <v>10470</v>
      </c>
      <c r="B224" t="s">
        <v>244</v>
      </c>
      <c r="C224">
        <v>4</v>
      </c>
      <c r="D224" s="6">
        <v>35500</v>
      </c>
      <c r="E224" s="6">
        <v>35528</v>
      </c>
      <c r="F224" s="6">
        <v>35503</v>
      </c>
      <c r="G224">
        <v>2</v>
      </c>
      <c r="H224">
        <v>64.56</v>
      </c>
      <c r="I224" t="s">
        <v>19</v>
      </c>
    </row>
    <row r="225" spans="1:9" x14ac:dyDescent="0.2">
      <c r="A225">
        <v>10471</v>
      </c>
      <c r="B225" t="s">
        <v>168</v>
      </c>
      <c r="C225">
        <v>2</v>
      </c>
      <c r="D225" s="6">
        <v>35500</v>
      </c>
      <c r="E225" s="6">
        <v>35528</v>
      </c>
      <c r="F225" s="6">
        <v>35507</v>
      </c>
      <c r="G225">
        <v>3</v>
      </c>
      <c r="H225">
        <v>45.59</v>
      </c>
      <c r="I225" t="s">
        <v>173</v>
      </c>
    </row>
    <row r="226" spans="1:9" x14ac:dyDescent="0.2">
      <c r="A226">
        <v>10472</v>
      </c>
      <c r="B226" t="s">
        <v>281</v>
      </c>
      <c r="C226">
        <v>8</v>
      </c>
      <c r="D226" s="6">
        <v>35501</v>
      </c>
      <c r="E226" s="6">
        <v>35529</v>
      </c>
      <c r="F226" s="6">
        <v>35508</v>
      </c>
      <c r="G226">
        <v>1</v>
      </c>
      <c r="H226">
        <v>4.2</v>
      </c>
      <c r="I226" t="s">
        <v>173</v>
      </c>
    </row>
    <row r="227" spans="1:9" x14ac:dyDescent="0.2">
      <c r="A227">
        <v>10473</v>
      </c>
      <c r="B227" t="s">
        <v>218</v>
      </c>
      <c r="C227">
        <v>1</v>
      </c>
      <c r="D227" s="6">
        <v>35502</v>
      </c>
      <c r="E227" s="6">
        <v>35516</v>
      </c>
      <c r="F227" s="6">
        <v>35510</v>
      </c>
      <c r="G227">
        <v>3</v>
      </c>
      <c r="H227">
        <v>16.37</v>
      </c>
      <c r="I227" t="s">
        <v>173</v>
      </c>
    </row>
    <row r="228" spans="1:9" x14ac:dyDescent="0.2">
      <c r="A228">
        <v>10474</v>
      </c>
      <c r="B228" t="s">
        <v>224</v>
      </c>
      <c r="C228">
        <v>5</v>
      </c>
      <c r="D228" s="6">
        <v>35502</v>
      </c>
      <c r="E228" s="6">
        <v>35530</v>
      </c>
      <c r="F228" s="6">
        <v>35510</v>
      </c>
      <c r="G228">
        <v>2</v>
      </c>
      <c r="H228">
        <v>83.49</v>
      </c>
      <c r="I228" t="s">
        <v>73</v>
      </c>
    </row>
    <row r="229" spans="1:9" x14ac:dyDescent="0.2">
      <c r="A229">
        <v>10475</v>
      </c>
      <c r="B229" t="s">
        <v>36</v>
      </c>
      <c r="C229">
        <v>9</v>
      </c>
      <c r="D229" s="6">
        <v>35503</v>
      </c>
      <c r="E229" s="6">
        <v>35531</v>
      </c>
      <c r="F229" s="6">
        <v>35524</v>
      </c>
      <c r="G229">
        <v>1</v>
      </c>
      <c r="H229">
        <v>68.52</v>
      </c>
      <c r="I229" t="s">
        <v>41</v>
      </c>
    </row>
    <row r="230" spans="1:9" x14ac:dyDescent="0.2">
      <c r="A230">
        <v>10476</v>
      </c>
      <c r="B230" t="s">
        <v>57</v>
      </c>
      <c r="C230">
        <v>8</v>
      </c>
      <c r="D230" s="6">
        <v>35506</v>
      </c>
      <c r="E230" s="6">
        <v>35534</v>
      </c>
      <c r="F230" s="6">
        <v>35513</v>
      </c>
      <c r="G230">
        <v>3</v>
      </c>
      <c r="H230">
        <v>4.41</v>
      </c>
      <c r="I230" t="s">
        <v>62</v>
      </c>
    </row>
    <row r="231" spans="1:9" x14ac:dyDescent="0.2">
      <c r="A231">
        <v>10477</v>
      </c>
      <c r="B231" t="s">
        <v>255</v>
      </c>
      <c r="C231">
        <v>5</v>
      </c>
      <c r="D231" s="6">
        <v>35506</v>
      </c>
      <c r="E231" s="6">
        <v>35534</v>
      </c>
      <c r="F231" s="6">
        <v>35514</v>
      </c>
      <c r="G231">
        <v>2</v>
      </c>
      <c r="H231">
        <v>13.02</v>
      </c>
      <c r="I231" t="s">
        <v>243</v>
      </c>
    </row>
    <row r="232" spans="1:9" x14ac:dyDescent="0.2">
      <c r="A232">
        <v>10478</v>
      </c>
      <c r="B232" t="s">
        <v>32</v>
      </c>
      <c r="C232">
        <v>2</v>
      </c>
      <c r="D232" s="6">
        <v>35507</v>
      </c>
      <c r="E232" s="6">
        <v>35521</v>
      </c>
      <c r="F232" s="6">
        <v>35515</v>
      </c>
      <c r="G232">
        <v>3</v>
      </c>
      <c r="H232">
        <v>4.8099999999999996</v>
      </c>
      <c r="I232" t="s">
        <v>19</v>
      </c>
    </row>
    <row r="233" spans="1:9" x14ac:dyDescent="0.2">
      <c r="A233">
        <v>10479</v>
      </c>
      <c r="B233" t="s">
        <v>82</v>
      </c>
      <c r="C233">
        <v>3</v>
      </c>
      <c r="D233" s="6">
        <v>35508</v>
      </c>
      <c r="E233" s="6">
        <v>35536</v>
      </c>
      <c r="F233" s="6">
        <v>35510</v>
      </c>
      <c r="G233">
        <v>3</v>
      </c>
      <c r="H233">
        <v>708.95</v>
      </c>
      <c r="I233" t="s">
        <v>87</v>
      </c>
    </row>
    <row r="234" spans="1:9" x14ac:dyDescent="0.2">
      <c r="A234">
        <v>10480</v>
      </c>
      <c r="B234" t="s">
        <v>335</v>
      </c>
      <c r="C234">
        <v>6</v>
      </c>
      <c r="D234" s="6">
        <v>35509</v>
      </c>
      <c r="E234" s="6">
        <v>35537</v>
      </c>
      <c r="F234" s="6">
        <v>35513</v>
      </c>
      <c r="G234">
        <v>2</v>
      </c>
      <c r="H234">
        <v>1.35</v>
      </c>
      <c r="I234" t="s">
        <v>19</v>
      </c>
    </row>
    <row r="235" spans="1:9" x14ac:dyDescent="0.2">
      <c r="A235">
        <v>10481</v>
      </c>
      <c r="B235" t="s">
        <v>160</v>
      </c>
      <c r="C235">
        <v>8</v>
      </c>
      <c r="D235" s="6">
        <v>35509</v>
      </c>
      <c r="E235" s="6">
        <v>35537</v>
      </c>
      <c r="F235" s="6">
        <v>35514</v>
      </c>
      <c r="G235">
        <v>2</v>
      </c>
      <c r="H235">
        <v>64.33</v>
      </c>
      <c r="I235" t="s">
        <v>31</v>
      </c>
    </row>
    <row r="236" spans="1:9" x14ac:dyDescent="0.2">
      <c r="A236">
        <v>10482</v>
      </c>
      <c r="B236" t="s">
        <v>360</v>
      </c>
      <c r="C236">
        <v>1</v>
      </c>
      <c r="D236" s="6">
        <v>35510</v>
      </c>
      <c r="E236" s="6">
        <v>35538</v>
      </c>
      <c r="F236" s="6">
        <v>35530</v>
      </c>
      <c r="G236">
        <v>3</v>
      </c>
      <c r="H236">
        <v>7.48</v>
      </c>
      <c r="I236" t="s">
        <v>87</v>
      </c>
    </row>
    <row r="237" spans="1:9" x14ac:dyDescent="0.2">
      <c r="A237">
        <v>10483</v>
      </c>
      <c r="B237" t="s">
        <v>112</v>
      </c>
      <c r="C237">
        <v>7</v>
      </c>
      <c r="D237" s="6">
        <v>35513</v>
      </c>
      <c r="E237" s="6">
        <v>35541</v>
      </c>
      <c r="F237" s="6">
        <v>35545</v>
      </c>
      <c r="G237">
        <v>2</v>
      </c>
      <c r="H237">
        <v>15.28</v>
      </c>
      <c r="I237" t="s">
        <v>87</v>
      </c>
    </row>
    <row r="238" spans="1:9" x14ac:dyDescent="0.2">
      <c r="A238">
        <v>10484</v>
      </c>
      <c r="B238" t="s">
        <v>168</v>
      </c>
      <c r="C238">
        <v>3</v>
      </c>
      <c r="D238" s="6">
        <v>35513</v>
      </c>
      <c r="E238" s="6">
        <v>35541</v>
      </c>
      <c r="F238" s="6">
        <v>35521</v>
      </c>
      <c r="G238">
        <v>3</v>
      </c>
      <c r="H238">
        <v>6.88</v>
      </c>
      <c r="I238" t="s">
        <v>173</v>
      </c>
    </row>
    <row r="239" spans="1:9" x14ac:dyDescent="0.2">
      <c r="A239">
        <v>10485</v>
      </c>
      <c r="B239" t="s">
        <v>330</v>
      </c>
      <c r="C239">
        <v>4</v>
      </c>
      <c r="D239" s="6">
        <v>35514</v>
      </c>
      <c r="E239" s="6">
        <v>35528</v>
      </c>
      <c r="F239" s="6">
        <v>35520</v>
      </c>
      <c r="G239">
        <v>2</v>
      </c>
      <c r="H239">
        <v>64.45</v>
      </c>
      <c r="I239" t="s">
        <v>62</v>
      </c>
    </row>
    <row r="240" spans="1:9" x14ac:dyDescent="0.2">
      <c r="A240">
        <v>10486</v>
      </c>
      <c r="B240" t="s">
        <v>57</v>
      </c>
      <c r="C240">
        <v>1</v>
      </c>
      <c r="D240" s="6">
        <v>35515</v>
      </c>
      <c r="E240" s="6">
        <v>35543</v>
      </c>
      <c r="F240" s="6">
        <v>35522</v>
      </c>
      <c r="G240">
        <v>2</v>
      </c>
      <c r="H240">
        <v>30.53</v>
      </c>
      <c r="I240" t="s">
        <v>62</v>
      </c>
    </row>
    <row r="241" spans="1:9" x14ac:dyDescent="0.2">
      <c r="A241">
        <v>10487</v>
      </c>
      <c r="B241" t="s">
        <v>305</v>
      </c>
      <c r="C241">
        <v>2</v>
      </c>
      <c r="D241" s="6">
        <v>35515</v>
      </c>
      <c r="E241" s="6">
        <v>35543</v>
      </c>
      <c r="F241" s="6">
        <v>35517</v>
      </c>
      <c r="G241">
        <v>2</v>
      </c>
      <c r="H241">
        <v>71.069999999999993</v>
      </c>
      <c r="I241" t="s">
        <v>31</v>
      </c>
    </row>
    <row r="242" spans="1:9" x14ac:dyDescent="0.2">
      <c r="A242">
        <v>10488</v>
      </c>
      <c r="B242" t="s">
        <v>103</v>
      </c>
      <c r="C242">
        <v>8</v>
      </c>
      <c r="D242" s="6">
        <v>35516</v>
      </c>
      <c r="E242" s="6">
        <v>35544</v>
      </c>
      <c r="F242" s="6">
        <v>35522</v>
      </c>
      <c r="G242">
        <v>2</v>
      </c>
      <c r="H242">
        <v>4.93</v>
      </c>
      <c r="I242" t="s">
        <v>24</v>
      </c>
    </row>
    <row r="243" spans="1:9" x14ac:dyDescent="0.2">
      <c r="A243">
        <v>10489</v>
      </c>
      <c r="B243" t="s">
        <v>271</v>
      </c>
      <c r="C243">
        <v>6</v>
      </c>
      <c r="D243" s="6">
        <v>35517</v>
      </c>
      <c r="E243" s="6">
        <v>35545</v>
      </c>
      <c r="F243" s="6">
        <v>35529</v>
      </c>
      <c r="G243">
        <v>2</v>
      </c>
      <c r="H243">
        <v>5.29</v>
      </c>
      <c r="I243" t="s">
        <v>67</v>
      </c>
    </row>
    <row r="244" spans="1:9" x14ac:dyDescent="0.2">
      <c r="A244">
        <v>10490</v>
      </c>
      <c r="B244" t="s">
        <v>57</v>
      </c>
      <c r="C244">
        <v>7</v>
      </c>
      <c r="D244" s="6">
        <v>35520</v>
      </c>
      <c r="E244" s="6">
        <v>35548</v>
      </c>
      <c r="F244" s="6">
        <v>35523</v>
      </c>
      <c r="G244">
        <v>2</v>
      </c>
      <c r="H244">
        <v>210.19</v>
      </c>
      <c r="I244" t="s">
        <v>62</v>
      </c>
    </row>
    <row r="245" spans="1:9" x14ac:dyDescent="0.2">
      <c r="A245">
        <v>10491</v>
      </c>
      <c r="B245" t="s">
        <v>239</v>
      </c>
      <c r="C245">
        <v>8</v>
      </c>
      <c r="D245" s="6">
        <v>35520</v>
      </c>
      <c r="E245" s="6">
        <v>35548</v>
      </c>
      <c r="F245" s="6">
        <v>35528</v>
      </c>
      <c r="G245">
        <v>3</v>
      </c>
      <c r="H245">
        <v>16.96</v>
      </c>
      <c r="I245" t="s">
        <v>243</v>
      </c>
    </row>
    <row r="246" spans="1:9" x14ac:dyDescent="0.2">
      <c r="A246">
        <v>10492</v>
      </c>
      <c r="B246" t="s">
        <v>324</v>
      </c>
      <c r="C246">
        <v>3</v>
      </c>
      <c r="D246" s="6">
        <v>35521</v>
      </c>
      <c r="E246" s="6">
        <v>35549</v>
      </c>
      <c r="F246" s="6">
        <v>35531</v>
      </c>
      <c r="G246">
        <v>1</v>
      </c>
      <c r="H246">
        <v>62.89</v>
      </c>
      <c r="I246" t="s">
        <v>254</v>
      </c>
    </row>
    <row r="247" spans="1:9" x14ac:dyDescent="0.2">
      <c r="A247">
        <v>10493</v>
      </c>
      <c r="B247" t="s">
        <v>267</v>
      </c>
      <c r="C247">
        <v>4</v>
      </c>
      <c r="D247" s="6">
        <v>35522</v>
      </c>
      <c r="E247" s="6">
        <v>35550</v>
      </c>
      <c r="F247" s="6">
        <v>35530</v>
      </c>
      <c r="G247">
        <v>3</v>
      </c>
      <c r="H247">
        <v>10.64</v>
      </c>
      <c r="I247" t="s">
        <v>19</v>
      </c>
    </row>
    <row r="248" spans="1:9" x14ac:dyDescent="0.2">
      <c r="A248">
        <v>10494</v>
      </c>
      <c r="B248" t="s">
        <v>174</v>
      </c>
      <c r="C248">
        <v>4</v>
      </c>
      <c r="D248" s="6">
        <v>35522</v>
      </c>
      <c r="E248" s="6">
        <v>35550</v>
      </c>
      <c r="F248" s="6">
        <v>35529</v>
      </c>
      <c r="G248">
        <v>2</v>
      </c>
      <c r="H248">
        <v>65.989999999999995</v>
      </c>
      <c r="I248" t="s">
        <v>31</v>
      </c>
    </row>
    <row r="249" spans="1:9" x14ac:dyDescent="0.2">
      <c r="A249">
        <v>10495</v>
      </c>
      <c r="B249" t="s">
        <v>364</v>
      </c>
      <c r="C249">
        <v>3</v>
      </c>
      <c r="D249" s="6">
        <v>35523</v>
      </c>
      <c r="E249" s="6">
        <v>35551</v>
      </c>
      <c r="F249" s="6">
        <v>35531</v>
      </c>
      <c r="G249">
        <v>3</v>
      </c>
      <c r="H249">
        <v>4.6500000000000004</v>
      </c>
      <c r="I249" t="s">
        <v>254</v>
      </c>
    </row>
    <row r="250" spans="1:9" x14ac:dyDescent="0.2">
      <c r="A250">
        <v>10496</v>
      </c>
      <c r="B250" t="s">
        <v>179</v>
      </c>
      <c r="C250">
        <v>7</v>
      </c>
      <c r="D250" s="6">
        <v>35524</v>
      </c>
      <c r="E250" s="6">
        <v>35552</v>
      </c>
      <c r="F250" s="6">
        <v>35527</v>
      </c>
      <c r="G250">
        <v>2</v>
      </c>
      <c r="H250">
        <v>46.77</v>
      </c>
      <c r="I250" t="s">
        <v>31</v>
      </c>
    </row>
    <row r="251" spans="1:9" x14ac:dyDescent="0.2">
      <c r="A251">
        <v>10497</v>
      </c>
      <c r="B251" t="s">
        <v>146</v>
      </c>
      <c r="C251">
        <v>7</v>
      </c>
      <c r="D251" s="6">
        <v>35524</v>
      </c>
      <c r="E251" s="6">
        <v>35552</v>
      </c>
      <c r="F251" s="6">
        <v>35527</v>
      </c>
      <c r="G251">
        <v>1</v>
      </c>
      <c r="H251">
        <v>36.21</v>
      </c>
      <c r="I251" t="s">
        <v>24</v>
      </c>
    </row>
    <row r="252" spans="1:9" x14ac:dyDescent="0.2">
      <c r="A252">
        <v>10498</v>
      </c>
      <c r="B252" t="s">
        <v>57</v>
      </c>
      <c r="C252">
        <v>8</v>
      </c>
      <c r="D252" s="6">
        <v>35527</v>
      </c>
      <c r="E252" s="6">
        <v>35555</v>
      </c>
      <c r="F252" s="6">
        <v>35531</v>
      </c>
      <c r="G252">
        <v>2</v>
      </c>
      <c r="H252">
        <v>29.75</v>
      </c>
      <c r="I252" t="s">
        <v>62</v>
      </c>
    </row>
    <row r="253" spans="1:9" x14ac:dyDescent="0.2">
      <c r="A253">
        <v>10499</v>
      </c>
      <c r="B253" t="s">
        <v>155</v>
      </c>
      <c r="C253">
        <v>4</v>
      </c>
      <c r="D253" s="6">
        <v>35528</v>
      </c>
      <c r="E253" s="6">
        <v>35556</v>
      </c>
      <c r="F253" s="6">
        <v>35536</v>
      </c>
      <c r="G253">
        <v>2</v>
      </c>
      <c r="H253">
        <v>102.02</v>
      </c>
      <c r="I253" t="s">
        <v>62</v>
      </c>
    </row>
    <row r="254" spans="1:9" x14ac:dyDescent="0.2">
      <c r="A254">
        <v>10500</v>
      </c>
      <c r="B254" t="s">
        <v>267</v>
      </c>
      <c r="C254">
        <v>6</v>
      </c>
      <c r="D254" s="6">
        <v>35529</v>
      </c>
      <c r="E254" s="6">
        <v>35557</v>
      </c>
      <c r="F254" s="6">
        <v>35537</v>
      </c>
      <c r="G254">
        <v>1</v>
      </c>
      <c r="H254">
        <v>42.68</v>
      </c>
      <c r="I254" t="s">
        <v>19</v>
      </c>
    </row>
    <row r="255" spans="1:9" x14ac:dyDescent="0.2">
      <c r="A255">
        <v>10501</v>
      </c>
      <c r="B255" t="s">
        <v>369</v>
      </c>
      <c r="C255">
        <v>9</v>
      </c>
      <c r="D255" s="6">
        <v>35529</v>
      </c>
      <c r="E255" s="6">
        <v>35557</v>
      </c>
      <c r="F255" s="6">
        <v>35536</v>
      </c>
      <c r="G255">
        <v>3</v>
      </c>
      <c r="H255">
        <v>8.85</v>
      </c>
      <c r="I255" t="s">
        <v>24</v>
      </c>
    </row>
    <row r="256" spans="1:9" x14ac:dyDescent="0.2">
      <c r="A256">
        <v>10502</v>
      </c>
      <c r="B256" t="s">
        <v>224</v>
      </c>
      <c r="C256">
        <v>2</v>
      </c>
      <c r="D256" s="6">
        <v>35530</v>
      </c>
      <c r="E256" s="6">
        <v>35558</v>
      </c>
      <c r="F256" s="6">
        <v>35549</v>
      </c>
      <c r="G256">
        <v>1</v>
      </c>
      <c r="H256">
        <v>69.319999999999993</v>
      </c>
      <c r="I256" t="s">
        <v>73</v>
      </c>
    </row>
    <row r="257" spans="1:9" x14ac:dyDescent="0.2">
      <c r="A257">
        <v>10503</v>
      </c>
      <c r="B257" t="s">
        <v>183</v>
      </c>
      <c r="C257">
        <v>6</v>
      </c>
      <c r="D257" s="6">
        <v>35531</v>
      </c>
      <c r="E257" s="6">
        <v>35559</v>
      </c>
      <c r="F257" s="6">
        <v>35536</v>
      </c>
      <c r="G257">
        <v>2</v>
      </c>
      <c r="H257">
        <v>16.739999999999998</v>
      </c>
      <c r="I257" t="s">
        <v>188</v>
      </c>
    </row>
    <row r="258" spans="1:9" x14ac:dyDescent="0.2">
      <c r="A258">
        <v>10504</v>
      </c>
      <c r="B258" t="s">
        <v>112</v>
      </c>
      <c r="C258">
        <v>4</v>
      </c>
      <c r="D258" s="6">
        <v>35531</v>
      </c>
      <c r="E258" s="6">
        <v>35559</v>
      </c>
      <c r="F258" s="6">
        <v>35538</v>
      </c>
      <c r="G258">
        <v>3</v>
      </c>
      <c r="H258">
        <v>59.13</v>
      </c>
      <c r="I258" t="s">
        <v>87</v>
      </c>
    </row>
    <row r="259" spans="1:9" x14ac:dyDescent="0.2">
      <c r="A259">
        <v>10505</v>
      </c>
      <c r="B259" t="s">
        <v>248</v>
      </c>
      <c r="C259">
        <v>3</v>
      </c>
      <c r="D259" s="6">
        <v>35534</v>
      </c>
      <c r="E259" s="6">
        <v>35562</v>
      </c>
      <c r="F259" s="6">
        <v>35541</v>
      </c>
      <c r="G259">
        <v>3</v>
      </c>
      <c r="H259">
        <v>7.13</v>
      </c>
      <c r="I259" t="s">
        <v>254</v>
      </c>
    </row>
    <row r="260" spans="1:9" x14ac:dyDescent="0.2">
      <c r="A260">
        <v>10506</v>
      </c>
      <c r="B260" t="s">
        <v>227</v>
      </c>
      <c r="C260">
        <v>9</v>
      </c>
      <c r="D260" s="6">
        <v>35535</v>
      </c>
      <c r="E260" s="6">
        <v>35563</v>
      </c>
      <c r="F260" s="6">
        <v>35552</v>
      </c>
      <c r="G260">
        <v>2</v>
      </c>
      <c r="H260">
        <v>21.19</v>
      </c>
      <c r="I260" t="s">
        <v>24</v>
      </c>
    </row>
    <row r="261" spans="1:9" x14ac:dyDescent="0.2">
      <c r="A261">
        <v>10507</v>
      </c>
      <c r="B261" t="s">
        <v>293</v>
      </c>
      <c r="C261">
        <v>7</v>
      </c>
      <c r="D261" s="6">
        <v>35535</v>
      </c>
      <c r="E261" s="6">
        <v>35563</v>
      </c>
      <c r="F261" s="6">
        <v>35542</v>
      </c>
      <c r="G261">
        <v>1</v>
      </c>
      <c r="H261">
        <v>47.45</v>
      </c>
      <c r="I261" t="s">
        <v>73</v>
      </c>
    </row>
    <row r="262" spans="1:9" x14ac:dyDescent="0.2">
      <c r="A262">
        <v>10508</v>
      </c>
      <c r="B262" t="s">
        <v>74</v>
      </c>
      <c r="C262">
        <v>1</v>
      </c>
      <c r="D262" s="6">
        <v>35536</v>
      </c>
      <c r="E262" s="6">
        <v>35564</v>
      </c>
      <c r="F262" s="6">
        <v>35563</v>
      </c>
      <c r="G262">
        <v>2</v>
      </c>
      <c r="H262">
        <v>4.99</v>
      </c>
      <c r="I262" t="s">
        <v>24</v>
      </c>
    </row>
    <row r="263" spans="1:9" x14ac:dyDescent="0.2">
      <c r="A263">
        <v>10509</v>
      </c>
      <c r="B263" t="s">
        <v>369</v>
      </c>
      <c r="C263">
        <v>4</v>
      </c>
      <c r="D263" s="6">
        <v>35537</v>
      </c>
      <c r="E263" s="6">
        <v>35565</v>
      </c>
      <c r="F263" s="6">
        <v>35549</v>
      </c>
      <c r="G263">
        <v>1</v>
      </c>
      <c r="H263">
        <v>0.15</v>
      </c>
      <c r="I263" t="s">
        <v>24</v>
      </c>
    </row>
    <row r="264" spans="1:9" x14ac:dyDescent="0.2">
      <c r="A264">
        <v>10510</v>
      </c>
      <c r="B264" t="s">
        <v>231</v>
      </c>
      <c r="C264">
        <v>6</v>
      </c>
      <c r="D264" s="6">
        <v>35538</v>
      </c>
      <c r="E264" s="6">
        <v>35566</v>
      </c>
      <c r="F264" s="6">
        <v>35548</v>
      </c>
      <c r="G264">
        <v>3</v>
      </c>
      <c r="H264">
        <v>367.63</v>
      </c>
      <c r="I264" t="s">
        <v>87</v>
      </c>
    </row>
    <row r="265" spans="1:9" x14ac:dyDescent="0.2">
      <c r="A265">
        <v>10511</v>
      </c>
      <c r="B265" t="s">
        <v>244</v>
      </c>
      <c r="C265">
        <v>4</v>
      </c>
      <c r="D265" s="6">
        <v>35538</v>
      </c>
      <c r="E265" s="6">
        <v>35566</v>
      </c>
      <c r="F265" s="6">
        <v>35541</v>
      </c>
      <c r="G265">
        <v>3</v>
      </c>
      <c r="H265">
        <v>350.64</v>
      </c>
      <c r="I265" t="s">
        <v>19</v>
      </c>
    </row>
    <row r="266" spans="1:9" x14ac:dyDescent="0.2">
      <c r="A266">
        <v>10512</v>
      </c>
      <c r="B266" t="s">
        <v>263</v>
      </c>
      <c r="C266">
        <v>7</v>
      </c>
      <c r="D266" s="6">
        <v>35541</v>
      </c>
      <c r="E266" s="6">
        <v>35569</v>
      </c>
      <c r="F266" s="6">
        <v>35544</v>
      </c>
      <c r="G266">
        <v>2</v>
      </c>
      <c r="H266">
        <v>3.53</v>
      </c>
      <c r="I266" t="s">
        <v>31</v>
      </c>
    </row>
    <row r="267" spans="1:9" x14ac:dyDescent="0.2">
      <c r="A267">
        <v>10513</v>
      </c>
      <c r="B267" t="s">
        <v>189</v>
      </c>
      <c r="C267">
        <v>7</v>
      </c>
      <c r="D267" s="6">
        <v>35542</v>
      </c>
      <c r="E267" s="6">
        <v>35584</v>
      </c>
      <c r="F267" s="6">
        <v>35548</v>
      </c>
      <c r="G267">
        <v>1</v>
      </c>
      <c r="H267">
        <v>105.65</v>
      </c>
      <c r="I267" t="s">
        <v>24</v>
      </c>
    </row>
    <row r="268" spans="1:9" x14ac:dyDescent="0.2">
      <c r="A268">
        <v>10514</v>
      </c>
      <c r="B268" t="s">
        <v>63</v>
      </c>
      <c r="C268">
        <v>3</v>
      </c>
      <c r="D268" s="6">
        <v>35542</v>
      </c>
      <c r="E268" s="6">
        <v>35570</v>
      </c>
      <c r="F268" s="6">
        <v>35566</v>
      </c>
      <c r="G268">
        <v>2</v>
      </c>
      <c r="H268">
        <v>789.95</v>
      </c>
      <c r="I268" t="s">
        <v>67</v>
      </c>
    </row>
    <row r="269" spans="1:9" x14ac:dyDescent="0.2">
      <c r="A269">
        <v>10515</v>
      </c>
      <c r="B269" t="s">
        <v>122</v>
      </c>
      <c r="C269">
        <v>2</v>
      </c>
      <c r="D269" s="6">
        <v>35543</v>
      </c>
      <c r="E269" s="6">
        <v>35557</v>
      </c>
      <c r="F269" s="6">
        <v>35573</v>
      </c>
      <c r="G269">
        <v>1</v>
      </c>
      <c r="H269">
        <v>204.47</v>
      </c>
      <c r="I269" t="s">
        <v>24</v>
      </c>
    </row>
    <row r="270" spans="1:9" x14ac:dyDescent="0.2">
      <c r="A270">
        <v>10516</v>
      </c>
      <c r="B270" t="s">
        <v>183</v>
      </c>
      <c r="C270">
        <v>2</v>
      </c>
      <c r="D270" s="6">
        <v>35544</v>
      </c>
      <c r="E270" s="6">
        <v>35572</v>
      </c>
      <c r="F270" s="6">
        <v>35551</v>
      </c>
      <c r="G270">
        <v>3</v>
      </c>
      <c r="H270">
        <v>62.78</v>
      </c>
      <c r="I270" t="s">
        <v>188</v>
      </c>
    </row>
    <row r="271" spans="1:9" x14ac:dyDescent="0.2">
      <c r="A271">
        <v>10517</v>
      </c>
      <c r="B271" t="s">
        <v>373</v>
      </c>
      <c r="C271">
        <v>3</v>
      </c>
      <c r="D271" s="6">
        <v>35544</v>
      </c>
      <c r="E271" s="6">
        <v>35572</v>
      </c>
      <c r="F271" s="6">
        <v>35549</v>
      </c>
      <c r="G271">
        <v>3</v>
      </c>
      <c r="H271">
        <v>32.07</v>
      </c>
      <c r="I271" t="s">
        <v>173</v>
      </c>
    </row>
    <row r="272" spans="1:9" x14ac:dyDescent="0.2">
      <c r="A272">
        <v>10518</v>
      </c>
      <c r="B272" t="s">
        <v>132</v>
      </c>
      <c r="C272">
        <v>4</v>
      </c>
      <c r="D272" s="6">
        <v>35545</v>
      </c>
      <c r="E272" s="6">
        <v>35559</v>
      </c>
      <c r="F272" s="6">
        <v>35555</v>
      </c>
      <c r="G272">
        <v>2</v>
      </c>
      <c r="H272">
        <v>218.15</v>
      </c>
      <c r="I272" t="s">
        <v>73</v>
      </c>
    </row>
    <row r="273" spans="1:9" x14ac:dyDescent="0.2">
      <c r="A273">
        <v>10519</v>
      </c>
      <c r="B273" t="s">
        <v>42</v>
      </c>
      <c r="C273">
        <v>6</v>
      </c>
      <c r="D273" s="6">
        <v>35548</v>
      </c>
      <c r="E273" s="6">
        <v>35576</v>
      </c>
      <c r="F273" s="6">
        <v>35551</v>
      </c>
      <c r="G273">
        <v>3</v>
      </c>
      <c r="H273">
        <v>91.76</v>
      </c>
      <c r="I273" t="s">
        <v>46</v>
      </c>
    </row>
    <row r="274" spans="1:9" x14ac:dyDescent="0.2">
      <c r="A274">
        <v>10520</v>
      </c>
      <c r="B274" t="s">
        <v>319</v>
      </c>
      <c r="C274">
        <v>7</v>
      </c>
      <c r="D274" s="6">
        <v>35549</v>
      </c>
      <c r="E274" s="6">
        <v>35577</v>
      </c>
      <c r="F274" s="6">
        <v>35551</v>
      </c>
      <c r="G274">
        <v>1</v>
      </c>
      <c r="H274">
        <v>13.37</v>
      </c>
      <c r="I274" t="s">
        <v>323</v>
      </c>
    </row>
    <row r="275" spans="1:9" x14ac:dyDescent="0.2">
      <c r="A275">
        <v>10521</v>
      </c>
      <c r="B275" t="s">
        <v>377</v>
      </c>
      <c r="C275">
        <v>8</v>
      </c>
      <c r="D275" s="6">
        <v>35549</v>
      </c>
      <c r="E275" s="6">
        <v>35577</v>
      </c>
      <c r="F275" s="6">
        <v>35552</v>
      </c>
      <c r="G275">
        <v>2</v>
      </c>
      <c r="H275">
        <v>17.22</v>
      </c>
      <c r="I275" t="s">
        <v>343</v>
      </c>
    </row>
    <row r="276" spans="1:9" x14ac:dyDescent="0.2">
      <c r="A276">
        <v>10522</v>
      </c>
      <c r="B276" t="s">
        <v>146</v>
      </c>
      <c r="C276">
        <v>4</v>
      </c>
      <c r="D276" s="6">
        <v>35550</v>
      </c>
      <c r="E276" s="6">
        <v>35578</v>
      </c>
      <c r="F276" s="6">
        <v>35556</v>
      </c>
      <c r="G276">
        <v>1</v>
      </c>
      <c r="H276">
        <v>45.33</v>
      </c>
      <c r="I276" t="s">
        <v>24</v>
      </c>
    </row>
    <row r="277" spans="1:9" x14ac:dyDescent="0.2">
      <c r="A277">
        <v>10523</v>
      </c>
      <c r="B277" t="s">
        <v>281</v>
      </c>
      <c r="C277">
        <v>7</v>
      </c>
      <c r="D277" s="6">
        <v>35551</v>
      </c>
      <c r="E277" s="6">
        <v>35579</v>
      </c>
      <c r="F277" s="6">
        <v>35580</v>
      </c>
      <c r="G277">
        <v>2</v>
      </c>
      <c r="H277">
        <v>77.63</v>
      </c>
      <c r="I277" t="s">
        <v>173</v>
      </c>
    </row>
    <row r="278" spans="1:9" x14ac:dyDescent="0.2">
      <c r="A278">
        <v>10524</v>
      </c>
      <c r="B278" t="s">
        <v>141</v>
      </c>
      <c r="C278">
        <v>1</v>
      </c>
      <c r="D278" s="6">
        <v>35551</v>
      </c>
      <c r="E278" s="6">
        <v>35579</v>
      </c>
      <c r="F278" s="6">
        <v>35557</v>
      </c>
      <c r="G278">
        <v>2</v>
      </c>
      <c r="H278">
        <v>244.79</v>
      </c>
      <c r="I278" t="s">
        <v>93</v>
      </c>
    </row>
    <row r="279" spans="1:9" x14ac:dyDescent="0.2">
      <c r="A279">
        <v>10525</v>
      </c>
      <c r="B279" t="s">
        <v>244</v>
      </c>
      <c r="C279">
        <v>1</v>
      </c>
      <c r="D279" s="6">
        <v>35552</v>
      </c>
      <c r="E279" s="6">
        <v>35580</v>
      </c>
      <c r="F279" s="6">
        <v>35573</v>
      </c>
      <c r="G279">
        <v>2</v>
      </c>
      <c r="H279">
        <v>11.06</v>
      </c>
      <c r="I279" t="s">
        <v>19</v>
      </c>
    </row>
    <row r="280" spans="1:9" x14ac:dyDescent="0.2">
      <c r="A280">
        <v>10526</v>
      </c>
      <c r="B280" t="s">
        <v>98</v>
      </c>
      <c r="C280">
        <v>4</v>
      </c>
      <c r="D280" s="6">
        <v>35555</v>
      </c>
      <c r="E280" s="6">
        <v>35583</v>
      </c>
      <c r="F280" s="6">
        <v>35565</v>
      </c>
      <c r="G280">
        <v>2</v>
      </c>
      <c r="H280">
        <v>58.59</v>
      </c>
      <c r="I280" t="s">
        <v>102</v>
      </c>
    </row>
    <row r="281" spans="1:9" x14ac:dyDescent="0.2">
      <c r="A281">
        <v>10527</v>
      </c>
      <c r="B281" t="s">
        <v>122</v>
      </c>
      <c r="C281">
        <v>7</v>
      </c>
      <c r="D281" s="6">
        <v>35555</v>
      </c>
      <c r="E281" s="6">
        <v>35583</v>
      </c>
      <c r="F281" s="6">
        <v>35557</v>
      </c>
      <c r="G281">
        <v>1</v>
      </c>
      <c r="H281">
        <v>41.9</v>
      </c>
      <c r="I281" t="s">
        <v>24</v>
      </c>
    </row>
    <row r="282" spans="1:9" x14ac:dyDescent="0.2">
      <c r="A282">
        <v>10528</v>
      </c>
      <c r="B282" t="s">
        <v>380</v>
      </c>
      <c r="C282">
        <v>6</v>
      </c>
      <c r="D282" s="6">
        <v>35556</v>
      </c>
      <c r="E282" s="6">
        <v>35570</v>
      </c>
      <c r="F282" s="6">
        <v>35559</v>
      </c>
      <c r="G282">
        <v>2</v>
      </c>
      <c r="H282">
        <v>3.35</v>
      </c>
      <c r="I282" t="s">
        <v>87</v>
      </c>
    </row>
    <row r="283" spans="1:9" x14ac:dyDescent="0.2">
      <c r="A283">
        <v>10529</v>
      </c>
      <c r="B283" t="s">
        <v>384</v>
      </c>
      <c r="C283">
        <v>5</v>
      </c>
      <c r="D283" s="6">
        <v>35557</v>
      </c>
      <c r="E283" s="6">
        <v>35585</v>
      </c>
      <c r="F283" s="6">
        <v>35559</v>
      </c>
      <c r="G283">
        <v>2</v>
      </c>
      <c r="H283">
        <v>66.69</v>
      </c>
      <c r="I283" t="s">
        <v>41</v>
      </c>
    </row>
    <row r="284" spans="1:9" x14ac:dyDescent="0.2">
      <c r="A284">
        <v>10530</v>
      </c>
      <c r="B284" t="s">
        <v>271</v>
      </c>
      <c r="C284">
        <v>3</v>
      </c>
      <c r="D284" s="6">
        <v>35558</v>
      </c>
      <c r="E284" s="6">
        <v>35586</v>
      </c>
      <c r="F284" s="6">
        <v>35562</v>
      </c>
      <c r="G284">
        <v>2</v>
      </c>
      <c r="H284">
        <v>339.22</v>
      </c>
      <c r="I284" t="s">
        <v>67</v>
      </c>
    </row>
    <row r="285" spans="1:9" x14ac:dyDescent="0.2">
      <c r="A285">
        <v>10531</v>
      </c>
      <c r="B285" t="s">
        <v>339</v>
      </c>
      <c r="C285">
        <v>7</v>
      </c>
      <c r="D285" s="6">
        <v>35558</v>
      </c>
      <c r="E285" s="6">
        <v>35586</v>
      </c>
      <c r="F285" s="6">
        <v>35569</v>
      </c>
      <c r="G285">
        <v>1</v>
      </c>
      <c r="H285">
        <v>8.1199999999999992</v>
      </c>
      <c r="I285" t="s">
        <v>343</v>
      </c>
    </row>
    <row r="286" spans="1:9" x14ac:dyDescent="0.2">
      <c r="A286">
        <v>10532</v>
      </c>
      <c r="B286" t="s">
        <v>289</v>
      </c>
      <c r="C286">
        <v>7</v>
      </c>
      <c r="D286" s="6">
        <v>35559</v>
      </c>
      <c r="E286" s="6">
        <v>35587</v>
      </c>
      <c r="F286" s="6">
        <v>35562</v>
      </c>
      <c r="G286">
        <v>3</v>
      </c>
      <c r="H286">
        <v>74.459999999999994</v>
      </c>
      <c r="I286" t="s">
        <v>173</v>
      </c>
    </row>
    <row r="287" spans="1:9" x14ac:dyDescent="0.2">
      <c r="A287">
        <v>10533</v>
      </c>
      <c r="B287" t="s">
        <v>88</v>
      </c>
      <c r="C287">
        <v>8</v>
      </c>
      <c r="D287" s="6">
        <v>35562</v>
      </c>
      <c r="E287" s="6">
        <v>35590</v>
      </c>
      <c r="F287" s="6">
        <v>35572</v>
      </c>
      <c r="G287">
        <v>1</v>
      </c>
      <c r="H287">
        <v>188.04</v>
      </c>
      <c r="I287" t="s">
        <v>93</v>
      </c>
    </row>
    <row r="288" spans="1:9" x14ac:dyDescent="0.2">
      <c r="A288">
        <v>10534</v>
      </c>
      <c r="B288" t="s">
        <v>146</v>
      </c>
      <c r="C288">
        <v>8</v>
      </c>
      <c r="D288" s="6">
        <v>35562</v>
      </c>
      <c r="E288" s="6">
        <v>35590</v>
      </c>
      <c r="F288" s="6">
        <v>35564</v>
      </c>
      <c r="G288">
        <v>2</v>
      </c>
      <c r="H288">
        <v>27.94</v>
      </c>
      <c r="I288" t="s">
        <v>24</v>
      </c>
    </row>
    <row r="289" spans="1:9" x14ac:dyDescent="0.2">
      <c r="A289">
        <v>10535</v>
      </c>
      <c r="B289" t="s">
        <v>293</v>
      </c>
      <c r="C289">
        <v>4</v>
      </c>
      <c r="D289" s="6">
        <v>35563</v>
      </c>
      <c r="E289" s="6">
        <v>35591</v>
      </c>
      <c r="F289" s="6">
        <v>35571</v>
      </c>
      <c r="G289">
        <v>1</v>
      </c>
      <c r="H289">
        <v>15.64</v>
      </c>
      <c r="I289" t="s">
        <v>73</v>
      </c>
    </row>
    <row r="290" spans="1:9" x14ac:dyDescent="0.2">
      <c r="A290">
        <v>10536</v>
      </c>
      <c r="B290" t="s">
        <v>146</v>
      </c>
      <c r="C290">
        <v>3</v>
      </c>
      <c r="D290" s="6">
        <v>35564</v>
      </c>
      <c r="E290" s="6">
        <v>35592</v>
      </c>
      <c r="F290" s="6">
        <v>35587</v>
      </c>
      <c r="G290">
        <v>2</v>
      </c>
      <c r="H290">
        <v>58.88</v>
      </c>
      <c r="I290" t="s">
        <v>24</v>
      </c>
    </row>
    <row r="291" spans="1:9" x14ac:dyDescent="0.2">
      <c r="A291">
        <v>10537</v>
      </c>
      <c r="B291" t="s">
        <v>47</v>
      </c>
      <c r="C291">
        <v>1</v>
      </c>
      <c r="D291" s="6">
        <v>35564</v>
      </c>
      <c r="E291" s="6">
        <v>35578</v>
      </c>
      <c r="F291" s="6">
        <v>35569</v>
      </c>
      <c r="G291">
        <v>1</v>
      </c>
      <c r="H291">
        <v>78.849999999999994</v>
      </c>
      <c r="I291" t="s">
        <v>46</v>
      </c>
    </row>
    <row r="292" spans="1:9" x14ac:dyDescent="0.2">
      <c r="A292">
        <v>10538</v>
      </c>
      <c r="B292" t="s">
        <v>168</v>
      </c>
      <c r="C292">
        <v>9</v>
      </c>
      <c r="D292" s="6">
        <v>35565</v>
      </c>
      <c r="E292" s="6">
        <v>35593</v>
      </c>
      <c r="F292" s="6">
        <v>35566</v>
      </c>
      <c r="G292">
        <v>3</v>
      </c>
      <c r="H292">
        <v>4.87</v>
      </c>
      <c r="I292" t="s">
        <v>173</v>
      </c>
    </row>
    <row r="293" spans="1:9" x14ac:dyDescent="0.2">
      <c r="A293">
        <v>10539</v>
      </c>
      <c r="B293" t="s">
        <v>168</v>
      </c>
      <c r="C293">
        <v>6</v>
      </c>
      <c r="D293" s="6">
        <v>35566</v>
      </c>
      <c r="E293" s="6">
        <v>35594</v>
      </c>
      <c r="F293" s="6">
        <v>35573</v>
      </c>
      <c r="G293">
        <v>3</v>
      </c>
      <c r="H293">
        <v>12.36</v>
      </c>
      <c r="I293" t="s">
        <v>173</v>
      </c>
    </row>
    <row r="294" spans="1:9" x14ac:dyDescent="0.2">
      <c r="A294">
        <v>10540</v>
      </c>
      <c r="B294" t="s">
        <v>122</v>
      </c>
      <c r="C294">
        <v>3</v>
      </c>
      <c r="D294" s="6">
        <v>35569</v>
      </c>
      <c r="E294" s="6">
        <v>35597</v>
      </c>
      <c r="F294" s="6">
        <v>35594</v>
      </c>
      <c r="G294">
        <v>3</v>
      </c>
      <c r="H294">
        <v>1007.64</v>
      </c>
      <c r="I294" t="s">
        <v>24</v>
      </c>
    </row>
    <row r="295" spans="1:9" x14ac:dyDescent="0.2">
      <c r="A295">
        <v>10541</v>
      </c>
      <c r="B295" t="s">
        <v>25</v>
      </c>
      <c r="C295">
        <v>2</v>
      </c>
      <c r="D295" s="6">
        <v>35569</v>
      </c>
      <c r="E295" s="6">
        <v>35597</v>
      </c>
      <c r="F295" s="6">
        <v>35579</v>
      </c>
      <c r="G295">
        <v>1</v>
      </c>
      <c r="H295">
        <v>68.650000000000006</v>
      </c>
      <c r="I295" t="s">
        <v>31</v>
      </c>
    </row>
    <row r="296" spans="1:9" x14ac:dyDescent="0.2">
      <c r="A296">
        <v>10542</v>
      </c>
      <c r="B296" t="s">
        <v>227</v>
      </c>
      <c r="C296">
        <v>1</v>
      </c>
      <c r="D296" s="6">
        <v>35570</v>
      </c>
      <c r="E296" s="6">
        <v>35598</v>
      </c>
      <c r="F296" s="6">
        <v>35576</v>
      </c>
      <c r="G296">
        <v>3</v>
      </c>
      <c r="H296">
        <v>10.95</v>
      </c>
      <c r="I296" t="s">
        <v>24</v>
      </c>
    </row>
    <row r="297" spans="1:9" x14ac:dyDescent="0.2">
      <c r="A297">
        <v>10543</v>
      </c>
      <c r="B297" t="s">
        <v>155</v>
      </c>
      <c r="C297">
        <v>8</v>
      </c>
      <c r="D297" s="6">
        <v>35571</v>
      </c>
      <c r="E297" s="6">
        <v>35599</v>
      </c>
      <c r="F297" s="6">
        <v>35573</v>
      </c>
      <c r="G297">
        <v>2</v>
      </c>
      <c r="H297">
        <v>48.17</v>
      </c>
      <c r="I297" t="s">
        <v>62</v>
      </c>
    </row>
    <row r="298" spans="1:9" x14ac:dyDescent="0.2">
      <c r="A298">
        <v>10544</v>
      </c>
      <c r="B298" t="s">
        <v>202</v>
      </c>
      <c r="C298">
        <v>4</v>
      </c>
      <c r="D298" s="6">
        <v>35571</v>
      </c>
      <c r="E298" s="6">
        <v>35599</v>
      </c>
      <c r="F298" s="6">
        <v>35580</v>
      </c>
      <c r="G298">
        <v>1</v>
      </c>
      <c r="H298">
        <v>24.91</v>
      </c>
      <c r="I298" t="s">
        <v>87</v>
      </c>
    </row>
    <row r="299" spans="1:9" x14ac:dyDescent="0.2">
      <c r="A299">
        <v>10545</v>
      </c>
      <c r="B299" t="s">
        <v>360</v>
      </c>
      <c r="C299">
        <v>8</v>
      </c>
      <c r="D299" s="6">
        <v>35572</v>
      </c>
      <c r="E299" s="6">
        <v>35600</v>
      </c>
      <c r="F299" s="6">
        <v>35607</v>
      </c>
      <c r="G299">
        <v>2</v>
      </c>
      <c r="H299">
        <v>11.92</v>
      </c>
      <c r="I299" t="s">
        <v>87</v>
      </c>
    </row>
    <row r="300" spans="1:9" x14ac:dyDescent="0.2">
      <c r="A300">
        <v>10546</v>
      </c>
      <c r="B300" t="s">
        <v>32</v>
      </c>
      <c r="C300">
        <v>1</v>
      </c>
      <c r="D300" s="6">
        <v>35573</v>
      </c>
      <c r="E300" s="6">
        <v>35601</v>
      </c>
      <c r="F300" s="6">
        <v>35577</v>
      </c>
      <c r="G300">
        <v>3</v>
      </c>
      <c r="H300">
        <v>194.72</v>
      </c>
      <c r="I300" t="s">
        <v>19</v>
      </c>
    </row>
    <row r="301" spans="1:9" x14ac:dyDescent="0.2">
      <c r="A301">
        <v>10547</v>
      </c>
      <c r="B301" t="s">
        <v>281</v>
      </c>
      <c r="C301">
        <v>3</v>
      </c>
      <c r="D301" s="6">
        <v>35573</v>
      </c>
      <c r="E301" s="6">
        <v>35601</v>
      </c>
      <c r="F301" s="6">
        <v>35583</v>
      </c>
      <c r="G301">
        <v>2</v>
      </c>
      <c r="H301">
        <v>178.43</v>
      </c>
      <c r="I301" t="s">
        <v>173</v>
      </c>
    </row>
    <row r="302" spans="1:9" x14ac:dyDescent="0.2">
      <c r="A302">
        <v>10548</v>
      </c>
      <c r="B302" t="s">
        <v>20</v>
      </c>
      <c r="C302">
        <v>3</v>
      </c>
      <c r="D302" s="6">
        <v>35576</v>
      </c>
      <c r="E302" s="6">
        <v>35604</v>
      </c>
      <c r="F302" s="6">
        <v>35583</v>
      </c>
      <c r="G302">
        <v>2</v>
      </c>
      <c r="H302">
        <v>1.43</v>
      </c>
      <c r="I302" t="s">
        <v>24</v>
      </c>
    </row>
    <row r="303" spans="1:9" x14ac:dyDescent="0.2">
      <c r="A303">
        <v>10549</v>
      </c>
      <c r="B303" t="s">
        <v>122</v>
      </c>
      <c r="C303">
        <v>5</v>
      </c>
      <c r="D303" s="6">
        <v>35577</v>
      </c>
      <c r="E303" s="6">
        <v>35591</v>
      </c>
      <c r="F303" s="6">
        <v>35580</v>
      </c>
      <c r="G303">
        <v>1</v>
      </c>
      <c r="H303">
        <v>171.24</v>
      </c>
      <c r="I303" t="s">
        <v>24</v>
      </c>
    </row>
    <row r="304" spans="1:9" x14ac:dyDescent="0.2">
      <c r="A304">
        <v>10550</v>
      </c>
      <c r="B304" t="s">
        <v>193</v>
      </c>
      <c r="C304">
        <v>7</v>
      </c>
      <c r="D304" s="6">
        <v>35578</v>
      </c>
      <c r="E304" s="6">
        <v>35606</v>
      </c>
      <c r="F304" s="6">
        <v>35587</v>
      </c>
      <c r="G304">
        <v>3</v>
      </c>
      <c r="H304">
        <v>4.32</v>
      </c>
      <c r="I304" t="s">
        <v>154</v>
      </c>
    </row>
    <row r="305" spans="1:9" x14ac:dyDescent="0.2">
      <c r="A305">
        <v>10551</v>
      </c>
      <c r="B305" t="s">
        <v>239</v>
      </c>
      <c r="C305">
        <v>4</v>
      </c>
      <c r="D305" s="6">
        <v>35578</v>
      </c>
      <c r="E305" s="6">
        <v>35620</v>
      </c>
      <c r="F305" s="6">
        <v>35587</v>
      </c>
      <c r="G305">
        <v>3</v>
      </c>
      <c r="H305">
        <v>72.95</v>
      </c>
      <c r="I305" t="s">
        <v>243</v>
      </c>
    </row>
    <row r="306" spans="1:9" x14ac:dyDescent="0.2">
      <c r="A306">
        <v>10552</v>
      </c>
      <c r="B306" t="s">
        <v>57</v>
      </c>
      <c r="C306">
        <v>2</v>
      </c>
      <c r="D306" s="6">
        <v>35579</v>
      </c>
      <c r="E306" s="6">
        <v>35607</v>
      </c>
      <c r="F306" s="6">
        <v>35586</v>
      </c>
      <c r="G306">
        <v>1</v>
      </c>
      <c r="H306">
        <v>83.22</v>
      </c>
      <c r="I306" t="s">
        <v>62</v>
      </c>
    </row>
    <row r="307" spans="1:9" x14ac:dyDescent="0.2">
      <c r="A307">
        <v>10553</v>
      </c>
      <c r="B307" t="s">
        <v>98</v>
      </c>
      <c r="C307">
        <v>2</v>
      </c>
      <c r="D307" s="6">
        <v>35580</v>
      </c>
      <c r="E307" s="6">
        <v>35608</v>
      </c>
      <c r="F307" s="6">
        <v>35584</v>
      </c>
      <c r="G307">
        <v>2</v>
      </c>
      <c r="H307">
        <v>149.49</v>
      </c>
      <c r="I307" t="s">
        <v>102</v>
      </c>
    </row>
    <row r="308" spans="1:9" x14ac:dyDescent="0.2">
      <c r="A308">
        <v>10554</v>
      </c>
      <c r="B308" t="s">
        <v>74</v>
      </c>
      <c r="C308">
        <v>4</v>
      </c>
      <c r="D308" s="6">
        <v>35580</v>
      </c>
      <c r="E308" s="6">
        <v>35608</v>
      </c>
      <c r="F308" s="6">
        <v>35586</v>
      </c>
      <c r="G308">
        <v>3</v>
      </c>
      <c r="H308">
        <v>120.97</v>
      </c>
      <c r="I308" t="s">
        <v>24</v>
      </c>
    </row>
    <row r="309" spans="1:9" x14ac:dyDescent="0.2">
      <c r="A309">
        <v>10555</v>
      </c>
      <c r="B309" t="s">
        <v>231</v>
      </c>
      <c r="C309">
        <v>6</v>
      </c>
      <c r="D309" s="6">
        <v>35583</v>
      </c>
      <c r="E309" s="6">
        <v>35611</v>
      </c>
      <c r="F309" s="6">
        <v>35585</v>
      </c>
      <c r="G309">
        <v>3</v>
      </c>
      <c r="H309">
        <v>252.49</v>
      </c>
      <c r="I309" t="s">
        <v>87</v>
      </c>
    </row>
    <row r="310" spans="1:9" x14ac:dyDescent="0.2">
      <c r="A310">
        <v>10556</v>
      </c>
      <c r="B310" t="s">
        <v>258</v>
      </c>
      <c r="C310">
        <v>2</v>
      </c>
      <c r="D310" s="6">
        <v>35584</v>
      </c>
      <c r="E310" s="6">
        <v>35626</v>
      </c>
      <c r="F310" s="6">
        <v>35594</v>
      </c>
      <c r="G310">
        <v>1</v>
      </c>
      <c r="H310">
        <v>9.8000000000000007</v>
      </c>
      <c r="I310" t="s">
        <v>262</v>
      </c>
    </row>
    <row r="311" spans="1:9" x14ac:dyDescent="0.2">
      <c r="A311">
        <v>10557</v>
      </c>
      <c r="B311" t="s">
        <v>146</v>
      </c>
      <c r="C311">
        <v>9</v>
      </c>
      <c r="D311" s="6">
        <v>35584</v>
      </c>
      <c r="E311" s="6">
        <v>35598</v>
      </c>
      <c r="F311" s="6">
        <v>35587</v>
      </c>
      <c r="G311">
        <v>2</v>
      </c>
      <c r="H311">
        <v>96.72</v>
      </c>
      <c r="I311" t="s">
        <v>24</v>
      </c>
    </row>
    <row r="312" spans="1:9" x14ac:dyDescent="0.2">
      <c r="A312">
        <v>10558</v>
      </c>
      <c r="B312" t="s">
        <v>275</v>
      </c>
      <c r="C312">
        <v>1</v>
      </c>
      <c r="D312" s="6">
        <v>35585</v>
      </c>
      <c r="E312" s="6">
        <v>35613</v>
      </c>
      <c r="F312" s="6">
        <v>35591</v>
      </c>
      <c r="G312">
        <v>2</v>
      </c>
      <c r="H312">
        <v>72.97</v>
      </c>
      <c r="I312" t="s">
        <v>173</v>
      </c>
    </row>
    <row r="313" spans="1:9" x14ac:dyDescent="0.2">
      <c r="A313">
        <v>10559</v>
      </c>
      <c r="B313" t="s">
        <v>94</v>
      </c>
      <c r="C313">
        <v>6</v>
      </c>
      <c r="D313" s="6">
        <v>35586</v>
      </c>
      <c r="E313" s="6">
        <v>35614</v>
      </c>
      <c r="F313" s="6">
        <v>35594</v>
      </c>
      <c r="G313">
        <v>1</v>
      </c>
      <c r="H313">
        <v>8.0500000000000007</v>
      </c>
      <c r="I313" t="s">
        <v>19</v>
      </c>
    </row>
    <row r="314" spans="1:9" x14ac:dyDescent="0.2">
      <c r="A314">
        <v>10560</v>
      </c>
      <c r="B314" t="s">
        <v>103</v>
      </c>
      <c r="C314">
        <v>8</v>
      </c>
      <c r="D314" s="6">
        <v>35587</v>
      </c>
      <c r="E314" s="6">
        <v>35615</v>
      </c>
      <c r="F314" s="6">
        <v>35590</v>
      </c>
      <c r="G314">
        <v>1</v>
      </c>
      <c r="H314">
        <v>36.65</v>
      </c>
      <c r="I314" t="s">
        <v>24</v>
      </c>
    </row>
    <row r="315" spans="1:9" x14ac:dyDescent="0.2">
      <c r="A315">
        <v>10561</v>
      </c>
      <c r="B315" t="s">
        <v>88</v>
      </c>
      <c r="C315">
        <v>2</v>
      </c>
      <c r="D315" s="6">
        <v>35587</v>
      </c>
      <c r="E315" s="6">
        <v>35615</v>
      </c>
      <c r="F315" s="6">
        <v>35590</v>
      </c>
      <c r="G315">
        <v>2</v>
      </c>
      <c r="H315">
        <v>242.21</v>
      </c>
      <c r="I315" t="s">
        <v>93</v>
      </c>
    </row>
    <row r="316" spans="1:9" x14ac:dyDescent="0.2">
      <c r="A316">
        <v>10562</v>
      </c>
      <c r="B316" t="s">
        <v>164</v>
      </c>
      <c r="C316">
        <v>1</v>
      </c>
      <c r="D316" s="6">
        <v>35590</v>
      </c>
      <c r="E316" s="6">
        <v>35618</v>
      </c>
      <c r="F316" s="6">
        <v>35593</v>
      </c>
      <c r="G316">
        <v>1</v>
      </c>
      <c r="H316">
        <v>22.95</v>
      </c>
      <c r="I316" t="s">
        <v>131</v>
      </c>
    </row>
    <row r="317" spans="1:9" x14ac:dyDescent="0.2">
      <c r="A317">
        <v>10563</v>
      </c>
      <c r="B317" t="s">
        <v>160</v>
      </c>
      <c r="C317">
        <v>2</v>
      </c>
      <c r="D317" s="6">
        <v>35591</v>
      </c>
      <c r="E317" s="6">
        <v>35633</v>
      </c>
      <c r="F317" s="6">
        <v>35605</v>
      </c>
      <c r="G317">
        <v>2</v>
      </c>
      <c r="H317">
        <v>60.43</v>
      </c>
      <c r="I317" t="s">
        <v>31</v>
      </c>
    </row>
    <row r="318" spans="1:9" x14ac:dyDescent="0.2">
      <c r="A318">
        <v>10564</v>
      </c>
      <c r="B318" t="s">
        <v>82</v>
      </c>
      <c r="C318">
        <v>4</v>
      </c>
      <c r="D318" s="6">
        <v>35591</v>
      </c>
      <c r="E318" s="6">
        <v>35619</v>
      </c>
      <c r="F318" s="6">
        <v>35597</v>
      </c>
      <c r="G318">
        <v>3</v>
      </c>
      <c r="H318">
        <v>13.75</v>
      </c>
      <c r="I318" t="s">
        <v>87</v>
      </c>
    </row>
    <row r="319" spans="1:9" x14ac:dyDescent="0.2">
      <c r="A319">
        <v>10565</v>
      </c>
      <c r="B319" t="s">
        <v>248</v>
      </c>
      <c r="C319">
        <v>8</v>
      </c>
      <c r="D319" s="6">
        <v>35592</v>
      </c>
      <c r="E319" s="6">
        <v>35620</v>
      </c>
      <c r="F319" s="6">
        <v>35599</v>
      </c>
      <c r="G319">
        <v>2</v>
      </c>
      <c r="H319">
        <v>7.15</v>
      </c>
      <c r="I319" t="s">
        <v>254</v>
      </c>
    </row>
    <row r="320" spans="1:9" x14ac:dyDescent="0.2">
      <c r="A320">
        <v>10566</v>
      </c>
      <c r="B320" t="s">
        <v>94</v>
      </c>
      <c r="C320">
        <v>9</v>
      </c>
      <c r="D320" s="6">
        <v>35593</v>
      </c>
      <c r="E320" s="6">
        <v>35621</v>
      </c>
      <c r="F320" s="6">
        <v>35599</v>
      </c>
      <c r="G320">
        <v>1</v>
      </c>
      <c r="H320">
        <v>88.4</v>
      </c>
      <c r="I320" t="s">
        <v>19</v>
      </c>
    </row>
    <row r="321" spans="1:9" x14ac:dyDescent="0.2">
      <c r="A321">
        <v>10567</v>
      </c>
      <c r="B321" t="s">
        <v>183</v>
      </c>
      <c r="C321">
        <v>1</v>
      </c>
      <c r="D321" s="6">
        <v>35593</v>
      </c>
      <c r="E321" s="6">
        <v>35621</v>
      </c>
      <c r="F321" s="6">
        <v>35598</v>
      </c>
      <c r="G321">
        <v>1</v>
      </c>
      <c r="H321">
        <v>33.97</v>
      </c>
      <c r="I321" t="s">
        <v>188</v>
      </c>
    </row>
    <row r="322" spans="1:9" x14ac:dyDescent="0.2">
      <c r="A322">
        <v>10568</v>
      </c>
      <c r="B322" t="s">
        <v>297</v>
      </c>
      <c r="C322">
        <v>3</v>
      </c>
      <c r="D322" s="6">
        <v>35594</v>
      </c>
      <c r="E322" s="6">
        <v>35622</v>
      </c>
      <c r="F322" s="6">
        <v>35620</v>
      </c>
      <c r="G322">
        <v>3</v>
      </c>
      <c r="H322">
        <v>6.54</v>
      </c>
      <c r="I322" t="s">
        <v>154</v>
      </c>
    </row>
    <row r="323" spans="1:9" x14ac:dyDescent="0.2">
      <c r="A323">
        <v>10569</v>
      </c>
      <c r="B323" t="s">
        <v>82</v>
      </c>
      <c r="C323">
        <v>5</v>
      </c>
      <c r="D323" s="6">
        <v>35597</v>
      </c>
      <c r="E323" s="6">
        <v>35625</v>
      </c>
      <c r="F323" s="6">
        <v>35622</v>
      </c>
      <c r="G323">
        <v>1</v>
      </c>
      <c r="H323">
        <v>58.98</v>
      </c>
      <c r="I323" t="s">
        <v>87</v>
      </c>
    </row>
    <row r="324" spans="1:9" x14ac:dyDescent="0.2">
      <c r="A324">
        <v>10570</v>
      </c>
      <c r="B324" t="s">
        <v>248</v>
      </c>
      <c r="C324">
        <v>3</v>
      </c>
      <c r="D324" s="6">
        <v>35598</v>
      </c>
      <c r="E324" s="6">
        <v>35626</v>
      </c>
      <c r="F324" s="6">
        <v>35600</v>
      </c>
      <c r="G324">
        <v>3</v>
      </c>
      <c r="H324">
        <v>188.99</v>
      </c>
      <c r="I324" t="s">
        <v>254</v>
      </c>
    </row>
    <row r="325" spans="1:9" x14ac:dyDescent="0.2">
      <c r="A325">
        <v>10571</v>
      </c>
      <c r="B325" t="s">
        <v>63</v>
      </c>
      <c r="C325">
        <v>8</v>
      </c>
      <c r="D325" s="6">
        <v>35598</v>
      </c>
      <c r="E325" s="6">
        <v>35640</v>
      </c>
      <c r="F325" s="6">
        <v>35615</v>
      </c>
      <c r="G325">
        <v>3</v>
      </c>
      <c r="H325">
        <v>26.06</v>
      </c>
      <c r="I325" t="s">
        <v>67</v>
      </c>
    </row>
    <row r="326" spans="1:9" x14ac:dyDescent="0.2">
      <c r="A326">
        <v>10572</v>
      </c>
      <c r="B326" t="s">
        <v>141</v>
      </c>
      <c r="C326">
        <v>3</v>
      </c>
      <c r="D326" s="6">
        <v>35599</v>
      </c>
      <c r="E326" s="6">
        <v>35627</v>
      </c>
      <c r="F326" s="6">
        <v>35606</v>
      </c>
      <c r="G326">
        <v>2</v>
      </c>
      <c r="H326">
        <v>116.43</v>
      </c>
      <c r="I326" t="s">
        <v>93</v>
      </c>
    </row>
    <row r="327" spans="1:9" x14ac:dyDescent="0.2">
      <c r="A327">
        <v>10573</v>
      </c>
      <c r="B327" t="s">
        <v>293</v>
      </c>
      <c r="C327">
        <v>7</v>
      </c>
      <c r="D327" s="6">
        <v>35600</v>
      </c>
      <c r="E327" s="6">
        <v>35628</v>
      </c>
      <c r="F327" s="6">
        <v>35601</v>
      </c>
      <c r="G327">
        <v>3</v>
      </c>
      <c r="H327">
        <v>84.84</v>
      </c>
      <c r="I327" t="s">
        <v>73</v>
      </c>
    </row>
    <row r="328" spans="1:9" x14ac:dyDescent="0.2">
      <c r="A328">
        <v>10574</v>
      </c>
      <c r="B328" t="s">
        <v>389</v>
      </c>
      <c r="C328">
        <v>4</v>
      </c>
      <c r="D328" s="6">
        <v>35600</v>
      </c>
      <c r="E328" s="6">
        <v>35628</v>
      </c>
      <c r="F328" s="6">
        <v>35611</v>
      </c>
      <c r="G328">
        <v>2</v>
      </c>
      <c r="H328">
        <v>37.6</v>
      </c>
      <c r="I328" t="s">
        <v>87</v>
      </c>
    </row>
    <row r="329" spans="1:9" x14ac:dyDescent="0.2">
      <c r="A329">
        <v>10575</v>
      </c>
      <c r="B329" t="s">
        <v>136</v>
      </c>
      <c r="C329">
        <v>5</v>
      </c>
      <c r="D329" s="6">
        <v>35601</v>
      </c>
      <c r="E329" s="6">
        <v>35615</v>
      </c>
      <c r="F329" s="6">
        <v>35611</v>
      </c>
      <c r="G329">
        <v>1</v>
      </c>
      <c r="H329">
        <v>127.34</v>
      </c>
      <c r="I329" t="s">
        <v>24</v>
      </c>
    </row>
    <row r="330" spans="1:9" x14ac:dyDescent="0.2">
      <c r="A330">
        <v>10576</v>
      </c>
      <c r="B330" t="s">
        <v>132</v>
      </c>
      <c r="C330">
        <v>3</v>
      </c>
      <c r="D330" s="6">
        <v>35604</v>
      </c>
      <c r="E330" s="6">
        <v>35618</v>
      </c>
      <c r="F330" s="6">
        <v>35611</v>
      </c>
      <c r="G330">
        <v>3</v>
      </c>
      <c r="H330">
        <v>18.559999999999999</v>
      </c>
      <c r="I330" t="s">
        <v>73</v>
      </c>
    </row>
    <row r="331" spans="1:9" x14ac:dyDescent="0.2">
      <c r="A331">
        <v>10577</v>
      </c>
      <c r="B331" t="s">
        <v>389</v>
      </c>
      <c r="C331">
        <v>9</v>
      </c>
      <c r="D331" s="6">
        <v>35604</v>
      </c>
      <c r="E331" s="6">
        <v>35646</v>
      </c>
      <c r="F331" s="6">
        <v>35611</v>
      </c>
      <c r="G331">
        <v>2</v>
      </c>
      <c r="H331">
        <v>25.41</v>
      </c>
      <c r="I331" t="s">
        <v>87</v>
      </c>
    </row>
    <row r="332" spans="1:9" x14ac:dyDescent="0.2">
      <c r="A332">
        <v>10578</v>
      </c>
      <c r="B332" t="s">
        <v>168</v>
      </c>
      <c r="C332">
        <v>4</v>
      </c>
      <c r="D332" s="6">
        <v>35605</v>
      </c>
      <c r="E332" s="6">
        <v>35633</v>
      </c>
      <c r="F332" s="6">
        <v>35636</v>
      </c>
      <c r="G332">
        <v>3</v>
      </c>
      <c r="H332">
        <v>29.6</v>
      </c>
      <c r="I332" t="s">
        <v>173</v>
      </c>
    </row>
    <row r="333" spans="1:9" x14ac:dyDescent="0.2">
      <c r="A333">
        <v>10579</v>
      </c>
      <c r="B333" t="s">
        <v>393</v>
      </c>
      <c r="C333">
        <v>1</v>
      </c>
      <c r="D333" s="6">
        <v>35606</v>
      </c>
      <c r="E333" s="6">
        <v>35634</v>
      </c>
      <c r="F333" s="6">
        <v>35615</v>
      </c>
      <c r="G333">
        <v>2</v>
      </c>
      <c r="H333">
        <v>13.73</v>
      </c>
      <c r="I333" t="s">
        <v>87</v>
      </c>
    </row>
    <row r="334" spans="1:9" x14ac:dyDescent="0.2">
      <c r="A334">
        <v>10580</v>
      </c>
      <c r="B334" t="s">
        <v>74</v>
      </c>
      <c r="C334">
        <v>4</v>
      </c>
      <c r="D334" s="6">
        <v>35607</v>
      </c>
      <c r="E334" s="6">
        <v>35635</v>
      </c>
      <c r="F334" s="6">
        <v>35612</v>
      </c>
      <c r="G334">
        <v>3</v>
      </c>
      <c r="H334">
        <v>75.89</v>
      </c>
      <c r="I334" t="s">
        <v>24</v>
      </c>
    </row>
    <row r="335" spans="1:9" x14ac:dyDescent="0.2">
      <c r="A335">
        <v>10581</v>
      </c>
      <c r="B335" t="s">
        <v>263</v>
      </c>
      <c r="C335">
        <v>3</v>
      </c>
      <c r="D335" s="6">
        <v>35607</v>
      </c>
      <c r="E335" s="6">
        <v>35635</v>
      </c>
      <c r="F335" s="6">
        <v>35613</v>
      </c>
      <c r="G335">
        <v>1</v>
      </c>
      <c r="H335">
        <v>3.01</v>
      </c>
      <c r="I335" t="s">
        <v>31</v>
      </c>
    </row>
    <row r="336" spans="1:9" x14ac:dyDescent="0.2">
      <c r="A336">
        <v>10582</v>
      </c>
      <c r="B336" t="s">
        <v>369</v>
      </c>
      <c r="C336">
        <v>3</v>
      </c>
      <c r="D336" s="6">
        <v>35608</v>
      </c>
      <c r="E336" s="6">
        <v>35636</v>
      </c>
      <c r="F336" s="6">
        <v>35625</v>
      </c>
      <c r="G336">
        <v>2</v>
      </c>
      <c r="H336">
        <v>27.71</v>
      </c>
      <c r="I336" t="s">
        <v>24</v>
      </c>
    </row>
    <row r="337" spans="1:9" x14ac:dyDescent="0.2">
      <c r="A337">
        <v>10583</v>
      </c>
      <c r="B337" t="s">
        <v>98</v>
      </c>
      <c r="C337">
        <v>2</v>
      </c>
      <c r="D337" s="6">
        <v>35611</v>
      </c>
      <c r="E337" s="6">
        <v>35639</v>
      </c>
      <c r="F337" s="6">
        <v>35615</v>
      </c>
      <c r="G337">
        <v>2</v>
      </c>
      <c r="H337">
        <v>7.28</v>
      </c>
      <c r="I337" t="s">
        <v>102</v>
      </c>
    </row>
    <row r="338" spans="1:9" x14ac:dyDescent="0.2">
      <c r="A338">
        <v>10584</v>
      </c>
      <c r="B338" t="s">
        <v>94</v>
      </c>
      <c r="C338">
        <v>4</v>
      </c>
      <c r="D338" s="6">
        <v>35611</v>
      </c>
      <c r="E338" s="6">
        <v>35639</v>
      </c>
      <c r="F338" s="6">
        <v>35615</v>
      </c>
      <c r="G338">
        <v>1</v>
      </c>
      <c r="H338">
        <v>59.14</v>
      </c>
      <c r="I338" t="s">
        <v>19</v>
      </c>
    </row>
    <row r="339" spans="1:9" x14ac:dyDescent="0.2">
      <c r="A339">
        <v>10585</v>
      </c>
      <c r="B339" t="s">
        <v>51</v>
      </c>
      <c r="C339">
        <v>7</v>
      </c>
      <c r="D339" s="6">
        <v>35612</v>
      </c>
      <c r="E339" s="6">
        <v>35640</v>
      </c>
      <c r="F339" s="6">
        <v>35621</v>
      </c>
      <c r="G339">
        <v>1</v>
      </c>
      <c r="H339">
        <v>13.41</v>
      </c>
      <c r="I339" t="s">
        <v>31</v>
      </c>
    </row>
    <row r="340" spans="1:9" x14ac:dyDescent="0.2">
      <c r="A340">
        <v>10586</v>
      </c>
      <c r="B340" t="s">
        <v>164</v>
      </c>
      <c r="C340">
        <v>9</v>
      </c>
      <c r="D340" s="6">
        <v>35613</v>
      </c>
      <c r="E340" s="6">
        <v>35641</v>
      </c>
      <c r="F340" s="6">
        <v>35620</v>
      </c>
      <c r="G340">
        <v>1</v>
      </c>
      <c r="H340">
        <v>0.48</v>
      </c>
      <c r="I340" t="s">
        <v>131</v>
      </c>
    </row>
    <row r="341" spans="1:9" x14ac:dyDescent="0.2">
      <c r="A341">
        <v>10587</v>
      </c>
      <c r="B341" t="s">
        <v>78</v>
      </c>
      <c r="C341">
        <v>1</v>
      </c>
      <c r="D341" s="6">
        <v>35613</v>
      </c>
      <c r="E341" s="6">
        <v>35641</v>
      </c>
      <c r="F341" s="6">
        <v>35620</v>
      </c>
      <c r="G341">
        <v>1</v>
      </c>
      <c r="H341">
        <v>62.52</v>
      </c>
      <c r="I341" t="s">
        <v>31</v>
      </c>
    </row>
    <row r="342" spans="1:9" x14ac:dyDescent="0.2">
      <c r="A342">
        <v>10588</v>
      </c>
      <c r="B342" t="s">
        <v>122</v>
      </c>
      <c r="C342">
        <v>2</v>
      </c>
      <c r="D342" s="6">
        <v>35614</v>
      </c>
      <c r="E342" s="6">
        <v>35642</v>
      </c>
      <c r="F342" s="6">
        <v>35621</v>
      </c>
      <c r="G342">
        <v>3</v>
      </c>
      <c r="H342">
        <v>194.67</v>
      </c>
      <c r="I342" t="s">
        <v>24</v>
      </c>
    </row>
    <row r="343" spans="1:9" x14ac:dyDescent="0.2">
      <c r="A343">
        <v>10589</v>
      </c>
      <c r="B343" t="s">
        <v>380</v>
      </c>
      <c r="C343">
        <v>8</v>
      </c>
      <c r="D343" s="6">
        <v>35615</v>
      </c>
      <c r="E343" s="6">
        <v>35643</v>
      </c>
      <c r="F343" s="6">
        <v>35625</v>
      </c>
      <c r="G343">
        <v>2</v>
      </c>
      <c r="H343">
        <v>4.42</v>
      </c>
      <c r="I343" t="s">
        <v>87</v>
      </c>
    </row>
    <row r="344" spans="1:9" x14ac:dyDescent="0.2">
      <c r="A344">
        <v>10590</v>
      </c>
      <c r="B344" t="s">
        <v>248</v>
      </c>
      <c r="C344">
        <v>4</v>
      </c>
      <c r="D344" s="6">
        <v>35618</v>
      </c>
      <c r="E344" s="6">
        <v>35646</v>
      </c>
      <c r="F344" s="6">
        <v>35625</v>
      </c>
      <c r="G344">
        <v>3</v>
      </c>
      <c r="H344">
        <v>44.77</v>
      </c>
      <c r="I344" t="s">
        <v>254</v>
      </c>
    </row>
    <row r="345" spans="1:9" x14ac:dyDescent="0.2">
      <c r="A345">
        <v>10591</v>
      </c>
      <c r="B345" t="s">
        <v>301</v>
      </c>
      <c r="C345">
        <v>1</v>
      </c>
      <c r="D345" s="6">
        <v>35618</v>
      </c>
      <c r="E345" s="6">
        <v>35632</v>
      </c>
      <c r="F345" s="6">
        <v>35627</v>
      </c>
      <c r="G345">
        <v>1</v>
      </c>
      <c r="H345">
        <v>55.92</v>
      </c>
      <c r="I345" t="s">
        <v>262</v>
      </c>
    </row>
    <row r="346" spans="1:9" x14ac:dyDescent="0.2">
      <c r="A346">
        <v>10592</v>
      </c>
      <c r="B346" t="s">
        <v>146</v>
      </c>
      <c r="C346">
        <v>3</v>
      </c>
      <c r="D346" s="6">
        <v>35619</v>
      </c>
      <c r="E346" s="6">
        <v>35647</v>
      </c>
      <c r="F346" s="6">
        <v>35627</v>
      </c>
      <c r="G346">
        <v>1</v>
      </c>
      <c r="H346">
        <v>32.1</v>
      </c>
      <c r="I346" t="s">
        <v>24</v>
      </c>
    </row>
    <row r="347" spans="1:9" x14ac:dyDescent="0.2">
      <c r="A347">
        <v>10593</v>
      </c>
      <c r="B347" t="s">
        <v>146</v>
      </c>
      <c r="C347">
        <v>7</v>
      </c>
      <c r="D347" s="6">
        <v>35620</v>
      </c>
      <c r="E347" s="6">
        <v>35648</v>
      </c>
      <c r="F347" s="6">
        <v>35655</v>
      </c>
      <c r="G347">
        <v>2</v>
      </c>
      <c r="H347">
        <v>174.2</v>
      </c>
      <c r="I347" t="s">
        <v>24</v>
      </c>
    </row>
    <row r="348" spans="1:9" x14ac:dyDescent="0.2">
      <c r="A348">
        <v>10594</v>
      </c>
      <c r="B348" t="s">
        <v>197</v>
      </c>
      <c r="C348">
        <v>3</v>
      </c>
      <c r="D348" s="6">
        <v>35620</v>
      </c>
      <c r="E348" s="6">
        <v>35648</v>
      </c>
      <c r="F348" s="6">
        <v>35627</v>
      </c>
      <c r="G348">
        <v>2</v>
      </c>
      <c r="H348">
        <v>5.24</v>
      </c>
      <c r="I348" t="s">
        <v>87</v>
      </c>
    </row>
    <row r="349" spans="1:9" x14ac:dyDescent="0.2">
      <c r="A349">
        <v>10595</v>
      </c>
      <c r="B349" t="s">
        <v>63</v>
      </c>
      <c r="C349">
        <v>2</v>
      </c>
      <c r="D349" s="6">
        <v>35621</v>
      </c>
      <c r="E349" s="6">
        <v>35649</v>
      </c>
      <c r="F349" s="6">
        <v>35625</v>
      </c>
      <c r="G349">
        <v>1</v>
      </c>
      <c r="H349">
        <v>96.78</v>
      </c>
      <c r="I349" t="s">
        <v>67</v>
      </c>
    </row>
    <row r="350" spans="1:9" x14ac:dyDescent="0.2">
      <c r="A350">
        <v>10596</v>
      </c>
      <c r="B350" t="s">
        <v>112</v>
      </c>
      <c r="C350">
        <v>8</v>
      </c>
      <c r="D350" s="6">
        <v>35622</v>
      </c>
      <c r="E350" s="6">
        <v>35650</v>
      </c>
      <c r="F350" s="6">
        <v>35654</v>
      </c>
      <c r="G350">
        <v>1</v>
      </c>
      <c r="H350">
        <v>16.34</v>
      </c>
      <c r="I350" t="s">
        <v>87</v>
      </c>
    </row>
    <row r="351" spans="1:9" x14ac:dyDescent="0.2">
      <c r="A351">
        <v>10597</v>
      </c>
      <c r="B351" t="s">
        <v>271</v>
      </c>
      <c r="C351">
        <v>7</v>
      </c>
      <c r="D351" s="6">
        <v>35622</v>
      </c>
      <c r="E351" s="6">
        <v>35650</v>
      </c>
      <c r="F351" s="6">
        <v>35629</v>
      </c>
      <c r="G351">
        <v>3</v>
      </c>
      <c r="H351">
        <v>35.119999999999997</v>
      </c>
      <c r="I351" t="s">
        <v>67</v>
      </c>
    </row>
    <row r="352" spans="1:9" x14ac:dyDescent="0.2">
      <c r="A352">
        <v>10598</v>
      </c>
      <c r="B352" t="s">
        <v>82</v>
      </c>
      <c r="C352">
        <v>1</v>
      </c>
      <c r="D352" s="6">
        <v>35625</v>
      </c>
      <c r="E352" s="6">
        <v>35653</v>
      </c>
      <c r="F352" s="6">
        <v>35629</v>
      </c>
      <c r="G352">
        <v>3</v>
      </c>
      <c r="H352">
        <v>44.42</v>
      </c>
      <c r="I352" t="s">
        <v>87</v>
      </c>
    </row>
    <row r="353" spans="1:9" x14ac:dyDescent="0.2">
      <c r="A353">
        <v>10599</v>
      </c>
      <c r="B353" t="s">
        <v>168</v>
      </c>
      <c r="C353">
        <v>6</v>
      </c>
      <c r="D353" s="6">
        <v>35626</v>
      </c>
      <c r="E353" s="6">
        <v>35668</v>
      </c>
      <c r="F353" s="6">
        <v>35632</v>
      </c>
      <c r="G353">
        <v>3</v>
      </c>
      <c r="H353">
        <v>29.98</v>
      </c>
      <c r="I353" t="s">
        <v>173</v>
      </c>
    </row>
    <row r="354" spans="1:9" x14ac:dyDescent="0.2">
      <c r="A354">
        <v>10600</v>
      </c>
      <c r="B354" t="s">
        <v>315</v>
      </c>
      <c r="C354">
        <v>4</v>
      </c>
      <c r="D354" s="6">
        <v>35627</v>
      </c>
      <c r="E354" s="6">
        <v>35655</v>
      </c>
      <c r="F354" s="6">
        <v>35632</v>
      </c>
      <c r="G354">
        <v>1</v>
      </c>
      <c r="H354">
        <v>45.13</v>
      </c>
      <c r="I354" t="s">
        <v>87</v>
      </c>
    </row>
    <row r="355" spans="1:9" x14ac:dyDescent="0.2">
      <c r="A355">
        <v>10601</v>
      </c>
      <c r="B355" t="s">
        <v>57</v>
      </c>
      <c r="C355">
        <v>7</v>
      </c>
      <c r="D355" s="6">
        <v>35627</v>
      </c>
      <c r="E355" s="6">
        <v>35669</v>
      </c>
      <c r="F355" s="6">
        <v>35633</v>
      </c>
      <c r="G355">
        <v>1</v>
      </c>
      <c r="H355">
        <v>58.3</v>
      </c>
      <c r="I355" t="s">
        <v>62</v>
      </c>
    </row>
    <row r="356" spans="1:9" x14ac:dyDescent="0.2">
      <c r="A356">
        <v>10602</v>
      </c>
      <c r="B356" t="s">
        <v>301</v>
      </c>
      <c r="C356">
        <v>8</v>
      </c>
      <c r="D356" s="6">
        <v>35628</v>
      </c>
      <c r="E356" s="6">
        <v>35656</v>
      </c>
      <c r="F356" s="6">
        <v>35633</v>
      </c>
      <c r="G356">
        <v>2</v>
      </c>
      <c r="H356">
        <v>2.92</v>
      </c>
      <c r="I356" t="s">
        <v>262</v>
      </c>
    </row>
    <row r="357" spans="1:9" x14ac:dyDescent="0.2">
      <c r="A357">
        <v>10603</v>
      </c>
      <c r="B357" t="s">
        <v>231</v>
      </c>
      <c r="C357">
        <v>8</v>
      </c>
      <c r="D357" s="6">
        <v>35629</v>
      </c>
      <c r="E357" s="6">
        <v>35657</v>
      </c>
      <c r="F357" s="6">
        <v>35650</v>
      </c>
      <c r="G357">
        <v>2</v>
      </c>
      <c r="H357">
        <v>48.77</v>
      </c>
      <c r="I357" t="s">
        <v>87</v>
      </c>
    </row>
    <row r="358" spans="1:9" x14ac:dyDescent="0.2">
      <c r="A358">
        <v>10604</v>
      </c>
      <c r="B358" t="s">
        <v>239</v>
      </c>
      <c r="C358">
        <v>1</v>
      </c>
      <c r="D358" s="6">
        <v>35629</v>
      </c>
      <c r="E358" s="6">
        <v>35657</v>
      </c>
      <c r="F358" s="6">
        <v>35640</v>
      </c>
      <c r="G358">
        <v>1</v>
      </c>
      <c r="H358">
        <v>7.46</v>
      </c>
      <c r="I358" t="s">
        <v>243</v>
      </c>
    </row>
    <row r="359" spans="1:9" x14ac:dyDescent="0.2">
      <c r="A359">
        <v>10605</v>
      </c>
      <c r="B359" t="s">
        <v>248</v>
      </c>
      <c r="C359">
        <v>1</v>
      </c>
      <c r="D359" s="6">
        <v>35632</v>
      </c>
      <c r="E359" s="6">
        <v>35660</v>
      </c>
      <c r="F359" s="6">
        <v>35640</v>
      </c>
      <c r="G359">
        <v>2</v>
      </c>
      <c r="H359">
        <v>379.13</v>
      </c>
      <c r="I359" t="s">
        <v>254</v>
      </c>
    </row>
    <row r="360" spans="1:9" x14ac:dyDescent="0.2">
      <c r="A360">
        <v>10606</v>
      </c>
      <c r="B360" t="s">
        <v>179</v>
      </c>
      <c r="C360">
        <v>4</v>
      </c>
      <c r="D360" s="6">
        <v>35633</v>
      </c>
      <c r="E360" s="6">
        <v>35661</v>
      </c>
      <c r="F360" s="6">
        <v>35642</v>
      </c>
      <c r="G360">
        <v>3</v>
      </c>
      <c r="H360">
        <v>79.400000000000006</v>
      </c>
      <c r="I360" t="s">
        <v>31</v>
      </c>
    </row>
    <row r="361" spans="1:9" x14ac:dyDescent="0.2">
      <c r="A361">
        <v>10607</v>
      </c>
      <c r="B361" t="s">
        <v>231</v>
      </c>
      <c r="C361">
        <v>5</v>
      </c>
      <c r="D361" s="6">
        <v>35633</v>
      </c>
      <c r="E361" s="6">
        <v>35661</v>
      </c>
      <c r="F361" s="6">
        <v>35636</v>
      </c>
      <c r="G361">
        <v>1</v>
      </c>
      <c r="H361">
        <v>200.24</v>
      </c>
      <c r="I361" t="s">
        <v>87</v>
      </c>
    </row>
    <row r="362" spans="1:9" x14ac:dyDescent="0.2">
      <c r="A362">
        <v>10608</v>
      </c>
      <c r="B362" t="s">
        <v>20</v>
      </c>
      <c r="C362">
        <v>4</v>
      </c>
      <c r="D362" s="6">
        <v>35634</v>
      </c>
      <c r="E362" s="6">
        <v>35662</v>
      </c>
      <c r="F362" s="6">
        <v>35643</v>
      </c>
      <c r="G362">
        <v>2</v>
      </c>
      <c r="H362">
        <v>27.79</v>
      </c>
      <c r="I362" t="s">
        <v>24</v>
      </c>
    </row>
    <row r="363" spans="1:9" x14ac:dyDescent="0.2">
      <c r="A363">
        <v>10609</v>
      </c>
      <c r="B363" t="s">
        <v>214</v>
      </c>
      <c r="C363">
        <v>7</v>
      </c>
      <c r="D363" s="6">
        <v>35635</v>
      </c>
      <c r="E363" s="6">
        <v>35663</v>
      </c>
      <c r="F363" s="6">
        <v>35641</v>
      </c>
      <c r="G363">
        <v>2</v>
      </c>
      <c r="H363">
        <v>1.85</v>
      </c>
      <c r="I363" t="s">
        <v>19</v>
      </c>
    </row>
    <row r="364" spans="1:9" x14ac:dyDescent="0.2">
      <c r="A364">
        <v>10610</v>
      </c>
      <c r="B364" t="s">
        <v>267</v>
      </c>
      <c r="C364">
        <v>8</v>
      </c>
      <c r="D364" s="6">
        <v>35636</v>
      </c>
      <c r="E364" s="6">
        <v>35664</v>
      </c>
      <c r="F364" s="6">
        <v>35648</v>
      </c>
      <c r="G364">
        <v>1</v>
      </c>
      <c r="H364">
        <v>26.78</v>
      </c>
      <c r="I364" t="s">
        <v>19</v>
      </c>
    </row>
    <row r="365" spans="1:9" x14ac:dyDescent="0.2">
      <c r="A365">
        <v>10611</v>
      </c>
      <c r="B365" t="s">
        <v>309</v>
      </c>
      <c r="C365">
        <v>6</v>
      </c>
      <c r="D365" s="6">
        <v>35636</v>
      </c>
      <c r="E365" s="6">
        <v>35664</v>
      </c>
      <c r="F365" s="6">
        <v>35643</v>
      </c>
      <c r="G365">
        <v>2</v>
      </c>
      <c r="H365">
        <v>80.650000000000006</v>
      </c>
      <c r="I365" t="s">
        <v>314</v>
      </c>
    </row>
    <row r="366" spans="1:9" x14ac:dyDescent="0.2">
      <c r="A366">
        <v>10612</v>
      </c>
      <c r="B366" t="s">
        <v>231</v>
      </c>
      <c r="C366">
        <v>1</v>
      </c>
      <c r="D366" s="6">
        <v>35639</v>
      </c>
      <c r="E366" s="6">
        <v>35667</v>
      </c>
      <c r="F366" s="6">
        <v>35643</v>
      </c>
      <c r="G366">
        <v>2</v>
      </c>
      <c r="H366">
        <v>544.08000000000004</v>
      </c>
      <c r="I366" t="s">
        <v>87</v>
      </c>
    </row>
    <row r="367" spans="1:9" x14ac:dyDescent="0.2">
      <c r="A367">
        <v>10613</v>
      </c>
      <c r="B367" t="s">
        <v>57</v>
      </c>
      <c r="C367">
        <v>4</v>
      </c>
      <c r="D367" s="6">
        <v>35640</v>
      </c>
      <c r="E367" s="6">
        <v>35668</v>
      </c>
      <c r="F367" s="6">
        <v>35643</v>
      </c>
      <c r="G367">
        <v>2</v>
      </c>
      <c r="H367">
        <v>8.11</v>
      </c>
      <c r="I367" t="s">
        <v>62</v>
      </c>
    </row>
    <row r="368" spans="1:9" x14ac:dyDescent="0.2">
      <c r="A368">
        <v>10614</v>
      </c>
      <c r="B368" t="s">
        <v>369</v>
      </c>
      <c r="C368">
        <v>8</v>
      </c>
      <c r="D368" s="6">
        <v>35640</v>
      </c>
      <c r="E368" s="6">
        <v>35668</v>
      </c>
      <c r="F368" s="6">
        <v>35643</v>
      </c>
      <c r="G368">
        <v>3</v>
      </c>
      <c r="H368">
        <v>1.93</v>
      </c>
      <c r="I368" t="s">
        <v>24</v>
      </c>
    </row>
    <row r="369" spans="1:9" x14ac:dyDescent="0.2">
      <c r="A369">
        <v>10615</v>
      </c>
      <c r="B369" t="s">
        <v>398</v>
      </c>
      <c r="C369">
        <v>2</v>
      </c>
      <c r="D369" s="6">
        <v>35641</v>
      </c>
      <c r="E369" s="6">
        <v>35669</v>
      </c>
      <c r="F369" s="6">
        <v>35648</v>
      </c>
      <c r="G369">
        <v>3</v>
      </c>
      <c r="H369">
        <v>0.75</v>
      </c>
      <c r="I369" t="s">
        <v>102</v>
      </c>
    </row>
    <row r="370" spans="1:9" x14ac:dyDescent="0.2">
      <c r="A370">
        <v>10616</v>
      </c>
      <c r="B370" t="s">
        <v>380</v>
      </c>
      <c r="C370">
        <v>1</v>
      </c>
      <c r="D370" s="6">
        <v>35642</v>
      </c>
      <c r="E370" s="6">
        <v>35670</v>
      </c>
      <c r="F370" s="6">
        <v>35647</v>
      </c>
      <c r="G370">
        <v>2</v>
      </c>
      <c r="H370">
        <v>116.53</v>
      </c>
      <c r="I370" t="s">
        <v>87</v>
      </c>
    </row>
    <row r="371" spans="1:9" x14ac:dyDescent="0.2">
      <c r="A371">
        <v>10617</v>
      </c>
      <c r="B371" t="s">
        <v>380</v>
      </c>
      <c r="C371">
        <v>4</v>
      </c>
      <c r="D371" s="6">
        <v>35642</v>
      </c>
      <c r="E371" s="6">
        <v>35670</v>
      </c>
      <c r="F371" s="6">
        <v>35646</v>
      </c>
      <c r="G371">
        <v>2</v>
      </c>
      <c r="H371">
        <v>18.53</v>
      </c>
      <c r="I371" t="s">
        <v>87</v>
      </c>
    </row>
    <row r="372" spans="1:9" x14ac:dyDescent="0.2">
      <c r="A372">
        <v>10618</v>
      </c>
      <c r="B372" t="s">
        <v>248</v>
      </c>
      <c r="C372">
        <v>1</v>
      </c>
      <c r="D372" s="6">
        <v>35643</v>
      </c>
      <c r="E372" s="6">
        <v>35685</v>
      </c>
      <c r="F372" s="6">
        <v>35650</v>
      </c>
      <c r="G372">
        <v>1</v>
      </c>
      <c r="H372">
        <v>154.68</v>
      </c>
      <c r="I372" t="s">
        <v>254</v>
      </c>
    </row>
    <row r="373" spans="1:9" x14ac:dyDescent="0.2">
      <c r="A373">
        <v>10619</v>
      </c>
      <c r="B373" t="s">
        <v>248</v>
      </c>
      <c r="C373">
        <v>3</v>
      </c>
      <c r="D373" s="6">
        <v>35646</v>
      </c>
      <c r="E373" s="6">
        <v>35674</v>
      </c>
      <c r="F373" s="6">
        <v>35649</v>
      </c>
      <c r="G373">
        <v>3</v>
      </c>
      <c r="H373">
        <v>91.05</v>
      </c>
      <c r="I373" t="s">
        <v>254</v>
      </c>
    </row>
    <row r="374" spans="1:9" x14ac:dyDescent="0.2">
      <c r="A374">
        <v>10620</v>
      </c>
      <c r="B374" t="s">
        <v>364</v>
      </c>
      <c r="C374">
        <v>2</v>
      </c>
      <c r="D374" s="6">
        <v>35647</v>
      </c>
      <c r="E374" s="6">
        <v>35675</v>
      </c>
      <c r="F374" s="6">
        <v>35656</v>
      </c>
      <c r="G374">
        <v>3</v>
      </c>
      <c r="H374">
        <v>0.94</v>
      </c>
      <c r="I374" t="s">
        <v>254</v>
      </c>
    </row>
    <row r="375" spans="1:9" x14ac:dyDescent="0.2">
      <c r="A375">
        <v>10621</v>
      </c>
      <c r="B375" t="s">
        <v>218</v>
      </c>
      <c r="C375">
        <v>4</v>
      </c>
      <c r="D375" s="6">
        <v>35647</v>
      </c>
      <c r="E375" s="6">
        <v>35675</v>
      </c>
      <c r="F375" s="6">
        <v>35653</v>
      </c>
      <c r="G375">
        <v>2</v>
      </c>
      <c r="H375">
        <v>23.73</v>
      </c>
      <c r="I375" t="s">
        <v>173</v>
      </c>
    </row>
    <row r="376" spans="1:9" x14ac:dyDescent="0.2">
      <c r="A376">
        <v>10622</v>
      </c>
      <c r="B376" t="s">
        <v>160</v>
      </c>
      <c r="C376">
        <v>4</v>
      </c>
      <c r="D376" s="6">
        <v>35648</v>
      </c>
      <c r="E376" s="6">
        <v>35676</v>
      </c>
      <c r="F376" s="6">
        <v>35653</v>
      </c>
      <c r="G376">
        <v>3</v>
      </c>
      <c r="H376">
        <v>50.97</v>
      </c>
      <c r="I376" t="s">
        <v>31</v>
      </c>
    </row>
    <row r="377" spans="1:9" x14ac:dyDescent="0.2">
      <c r="A377">
        <v>10623</v>
      </c>
      <c r="B377" t="s">
        <v>103</v>
      </c>
      <c r="C377">
        <v>8</v>
      </c>
      <c r="D377" s="6">
        <v>35649</v>
      </c>
      <c r="E377" s="6">
        <v>35677</v>
      </c>
      <c r="F377" s="6">
        <v>35654</v>
      </c>
      <c r="G377">
        <v>2</v>
      </c>
      <c r="H377">
        <v>97.18</v>
      </c>
      <c r="I377" t="s">
        <v>24</v>
      </c>
    </row>
    <row r="378" spans="1:9" x14ac:dyDescent="0.2">
      <c r="A378">
        <v>10624</v>
      </c>
      <c r="B378" t="s">
        <v>402</v>
      </c>
      <c r="C378">
        <v>4</v>
      </c>
      <c r="D378" s="6">
        <v>35649</v>
      </c>
      <c r="E378" s="6">
        <v>35677</v>
      </c>
      <c r="F378" s="6">
        <v>35661</v>
      </c>
      <c r="G378">
        <v>2</v>
      </c>
      <c r="H378">
        <v>94.8</v>
      </c>
      <c r="I378" t="s">
        <v>87</v>
      </c>
    </row>
    <row r="379" spans="1:9" x14ac:dyDescent="0.2">
      <c r="A379">
        <v>10625</v>
      </c>
      <c r="B379" t="s">
        <v>207</v>
      </c>
      <c r="C379">
        <v>3</v>
      </c>
      <c r="D379" s="6">
        <v>35650</v>
      </c>
      <c r="E379" s="6">
        <v>35678</v>
      </c>
      <c r="F379" s="6">
        <v>35656</v>
      </c>
      <c r="G379">
        <v>1</v>
      </c>
      <c r="H379">
        <v>43.9</v>
      </c>
      <c r="I379" t="s">
        <v>73</v>
      </c>
    </row>
    <row r="380" spans="1:9" x14ac:dyDescent="0.2">
      <c r="A380">
        <v>10626</v>
      </c>
      <c r="B380" t="s">
        <v>141</v>
      </c>
      <c r="C380">
        <v>1</v>
      </c>
      <c r="D380" s="6">
        <v>35653</v>
      </c>
      <c r="E380" s="6">
        <v>35681</v>
      </c>
      <c r="F380" s="6">
        <v>35662</v>
      </c>
      <c r="G380">
        <v>2</v>
      </c>
      <c r="H380">
        <v>138.69</v>
      </c>
      <c r="I380" t="s">
        <v>93</v>
      </c>
    </row>
    <row r="381" spans="1:9" x14ac:dyDescent="0.2">
      <c r="A381">
        <v>10627</v>
      </c>
      <c r="B381" t="s">
        <v>231</v>
      </c>
      <c r="C381">
        <v>8</v>
      </c>
      <c r="D381" s="6">
        <v>35653</v>
      </c>
      <c r="E381" s="6">
        <v>35695</v>
      </c>
      <c r="F381" s="6">
        <v>35663</v>
      </c>
      <c r="G381">
        <v>3</v>
      </c>
      <c r="H381">
        <v>107.46</v>
      </c>
      <c r="I381" t="s">
        <v>87</v>
      </c>
    </row>
    <row r="382" spans="1:9" x14ac:dyDescent="0.2">
      <c r="A382">
        <v>10628</v>
      </c>
      <c r="B382" t="s">
        <v>94</v>
      </c>
      <c r="C382">
        <v>4</v>
      </c>
      <c r="D382" s="6">
        <v>35654</v>
      </c>
      <c r="E382" s="6">
        <v>35682</v>
      </c>
      <c r="F382" s="6">
        <v>35662</v>
      </c>
      <c r="G382">
        <v>3</v>
      </c>
      <c r="H382">
        <v>30.36</v>
      </c>
      <c r="I382" t="s">
        <v>19</v>
      </c>
    </row>
    <row r="383" spans="1:9" x14ac:dyDescent="0.2">
      <c r="A383">
        <v>10629</v>
      </c>
      <c r="B383" t="s">
        <v>193</v>
      </c>
      <c r="C383">
        <v>4</v>
      </c>
      <c r="D383" s="6">
        <v>35654</v>
      </c>
      <c r="E383" s="6">
        <v>35682</v>
      </c>
      <c r="F383" s="6">
        <v>35662</v>
      </c>
      <c r="G383">
        <v>3</v>
      </c>
      <c r="H383">
        <v>85.46</v>
      </c>
      <c r="I383" t="s">
        <v>154</v>
      </c>
    </row>
    <row r="384" spans="1:9" x14ac:dyDescent="0.2">
      <c r="A384">
        <v>10630</v>
      </c>
      <c r="B384" t="s">
        <v>227</v>
      </c>
      <c r="C384">
        <v>1</v>
      </c>
      <c r="D384" s="6">
        <v>35655</v>
      </c>
      <c r="E384" s="6">
        <v>35683</v>
      </c>
      <c r="F384" s="6">
        <v>35661</v>
      </c>
      <c r="G384">
        <v>2</v>
      </c>
      <c r="H384">
        <v>32.35</v>
      </c>
      <c r="I384" t="s">
        <v>24</v>
      </c>
    </row>
    <row r="385" spans="1:9" x14ac:dyDescent="0.2">
      <c r="A385">
        <v>10631</v>
      </c>
      <c r="B385" t="s">
        <v>267</v>
      </c>
      <c r="C385">
        <v>8</v>
      </c>
      <c r="D385" s="6">
        <v>35656</v>
      </c>
      <c r="E385" s="6">
        <v>35684</v>
      </c>
      <c r="F385" s="6">
        <v>35657</v>
      </c>
      <c r="G385">
        <v>1</v>
      </c>
      <c r="H385">
        <v>0.87</v>
      </c>
      <c r="I385" t="s">
        <v>19</v>
      </c>
    </row>
    <row r="386" spans="1:9" x14ac:dyDescent="0.2">
      <c r="A386">
        <v>10632</v>
      </c>
      <c r="B386" t="s">
        <v>189</v>
      </c>
      <c r="C386">
        <v>8</v>
      </c>
      <c r="D386" s="6">
        <v>35656</v>
      </c>
      <c r="E386" s="6">
        <v>35684</v>
      </c>
      <c r="F386" s="6">
        <v>35661</v>
      </c>
      <c r="G386">
        <v>1</v>
      </c>
      <c r="H386">
        <v>41.38</v>
      </c>
      <c r="I386" t="s">
        <v>24</v>
      </c>
    </row>
    <row r="387" spans="1:9" x14ac:dyDescent="0.2">
      <c r="A387">
        <v>10633</v>
      </c>
      <c r="B387" t="s">
        <v>63</v>
      </c>
      <c r="C387">
        <v>7</v>
      </c>
      <c r="D387" s="6">
        <v>35657</v>
      </c>
      <c r="E387" s="6">
        <v>35685</v>
      </c>
      <c r="F387" s="6">
        <v>35660</v>
      </c>
      <c r="G387">
        <v>3</v>
      </c>
      <c r="H387">
        <v>477.9</v>
      </c>
      <c r="I387" t="s">
        <v>67</v>
      </c>
    </row>
    <row r="388" spans="1:9" x14ac:dyDescent="0.2">
      <c r="A388">
        <v>10634</v>
      </c>
      <c r="B388" t="s">
        <v>335</v>
      </c>
      <c r="C388">
        <v>4</v>
      </c>
      <c r="D388" s="6">
        <v>35657</v>
      </c>
      <c r="E388" s="6">
        <v>35685</v>
      </c>
      <c r="F388" s="6">
        <v>35663</v>
      </c>
      <c r="G388">
        <v>3</v>
      </c>
      <c r="H388">
        <v>487.38</v>
      </c>
      <c r="I388" t="s">
        <v>19</v>
      </c>
    </row>
    <row r="389" spans="1:9" x14ac:dyDescent="0.2">
      <c r="A389">
        <v>10635</v>
      </c>
      <c r="B389" t="s">
        <v>127</v>
      </c>
      <c r="C389">
        <v>8</v>
      </c>
      <c r="D389" s="6">
        <v>35660</v>
      </c>
      <c r="E389" s="6">
        <v>35688</v>
      </c>
      <c r="F389" s="6">
        <v>35663</v>
      </c>
      <c r="G389">
        <v>3</v>
      </c>
      <c r="H389">
        <v>47.46</v>
      </c>
      <c r="I389" t="s">
        <v>131</v>
      </c>
    </row>
    <row r="390" spans="1:9" x14ac:dyDescent="0.2">
      <c r="A390">
        <v>10636</v>
      </c>
      <c r="B390" t="s">
        <v>98</v>
      </c>
      <c r="C390">
        <v>4</v>
      </c>
      <c r="D390" s="6">
        <v>35661</v>
      </c>
      <c r="E390" s="6">
        <v>35689</v>
      </c>
      <c r="F390" s="6">
        <v>35668</v>
      </c>
      <c r="G390">
        <v>1</v>
      </c>
      <c r="H390">
        <v>1.1499999999999999</v>
      </c>
      <c r="I390" t="s">
        <v>102</v>
      </c>
    </row>
    <row r="391" spans="1:9" x14ac:dyDescent="0.2">
      <c r="A391">
        <v>10637</v>
      </c>
      <c r="B391" t="s">
        <v>305</v>
      </c>
      <c r="C391">
        <v>6</v>
      </c>
      <c r="D391" s="6">
        <v>35661</v>
      </c>
      <c r="E391" s="6">
        <v>35689</v>
      </c>
      <c r="F391" s="6">
        <v>35668</v>
      </c>
      <c r="G391">
        <v>1</v>
      </c>
      <c r="H391">
        <v>201.29</v>
      </c>
      <c r="I391" t="s">
        <v>31</v>
      </c>
    </row>
    <row r="392" spans="1:9" x14ac:dyDescent="0.2">
      <c r="A392">
        <v>10638</v>
      </c>
      <c r="B392" t="s">
        <v>330</v>
      </c>
      <c r="C392">
        <v>3</v>
      </c>
      <c r="D392" s="6">
        <v>35662</v>
      </c>
      <c r="E392" s="6">
        <v>35690</v>
      </c>
      <c r="F392" s="6">
        <v>35674</v>
      </c>
      <c r="G392">
        <v>1</v>
      </c>
      <c r="H392">
        <v>158.44</v>
      </c>
      <c r="I392" t="s">
        <v>62</v>
      </c>
    </row>
    <row r="393" spans="1:9" x14ac:dyDescent="0.2">
      <c r="A393">
        <v>10639</v>
      </c>
      <c r="B393" t="s">
        <v>319</v>
      </c>
      <c r="C393">
        <v>7</v>
      </c>
      <c r="D393" s="6">
        <v>35662</v>
      </c>
      <c r="E393" s="6">
        <v>35690</v>
      </c>
      <c r="F393" s="6">
        <v>35669</v>
      </c>
      <c r="G393">
        <v>3</v>
      </c>
      <c r="H393">
        <v>38.64</v>
      </c>
      <c r="I393" t="s">
        <v>323</v>
      </c>
    </row>
    <row r="394" spans="1:9" x14ac:dyDescent="0.2">
      <c r="A394">
        <v>10640</v>
      </c>
      <c r="B394" t="s">
        <v>189</v>
      </c>
      <c r="C394">
        <v>4</v>
      </c>
      <c r="D394" s="6">
        <v>35663</v>
      </c>
      <c r="E394" s="6">
        <v>35691</v>
      </c>
      <c r="F394" s="6">
        <v>35670</v>
      </c>
      <c r="G394">
        <v>1</v>
      </c>
      <c r="H394">
        <v>23.55</v>
      </c>
      <c r="I394" t="s">
        <v>24</v>
      </c>
    </row>
    <row r="395" spans="1:9" x14ac:dyDescent="0.2">
      <c r="A395">
        <v>10641</v>
      </c>
      <c r="B395" t="s">
        <v>57</v>
      </c>
      <c r="C395">
        <v>4</v>
      </c>
      <c r="D395" s="6">
        <v>35664</v>
      </c>
      <c r="E395" s="6">
        <v>35692</v>
      </c>
      <c r="F395" s="6">
        <v>35668</v>
      </c>
      <c r="G395">
        <v>2</v>
      </c>
      <c r="H395">
        <v>179.61</v>
      </c>
      <c r="I395" t="s">
        <v>62</v>
      </c>
    </row>
    <row r="396" spans="1:9" x14ac:dyDescent="0.2">
      <c r="A396">
        <v>10642</v>
      </c>
      <c r="B396" t="s">
        <v>258</v>
      </c>
      <c r="C396">
        <v>7</v>
      </c>
      <c r="D396" s="6">
        <v>35664</v>
      </c>
      <c r="E396" s="6">
        <v>35692</v>
      </c>
      <c r="F396" s="6">
        <v>35678</v>
      </c>
      <c r="G396">
        <v>3</v>
      </c>
      <c r="H396">
        <v>41.89</v>
      </c>
      <c r="I396" t="s">
        <v>262</v>
      </c>
    </row>
    <row r="397" spans="1:9" x14ac:dyDescent="0.2">
      <c r="A397">
        <v>10643</v>
      </c>
      <c r="B397" t="s">
        <v>407</v>
      </c>
      <c r="C397">
        <v>6</v>
      </c>
      <c r="D397" s="6">
        <v>35667</v>
      </c>
      <c r="E397" s="6">
        <v>35695</v>
      </c>
      <c r="F397" s="6">
        <v>35675</v>
      </c>
      <c r="G397">
        <v>1</v>
      </c>
      <c r="H397">
        <v>29.46</v>
      </c>
      <c r="I397" t="s">
        <v>24</v>
      </c>
    </row>
    <row r="398" spans="1:9" x14ac:dyDescent="0.2">
      <c r="A398">
        <v>10644</v>
      </c>
      <c r="B398" t="s">
        <v>51</v>
      </c>
      <c r="C398">
        <v>3</v>
      </c>
      <c r="D398" s="6">
        <v>35667</v>
      </c>
      <c r="E398" s="6">
        <v>35695</v>
      </c>
      <c r="F398" s="6">
        <v>35674</v>
      </c>
      <c r="G398">
        <v>2</v>
      </c>
      <c r="H398">
        <v>0.14000000000000001</v>
      </c>
      <c r="I398" t="s">
        <v>31</v>
      </c>
    </row>
    <row r="399" spans="1:9" x14ac:dyDescent="0.2">
      <c r="A399">
        <v>10645</v>
      </c>
      <c r="B399" t="s">
        <v>25</v>
      </c>
      <c r="C399">
        <v>4</v>
      </c>
      <c r="D399" s="6">
        <v>35668</v>
      </c>
      <c r="E399" s="6">
        <v>35696</v>
      </c>
      <c r="F399" s="6">
        <v>35675</v>
      </c>
      <c r="G399">
        <v>1</v>
      </c>
      <c r="H399">
        <v>12.41</v>
      </c>
      <c r="I399" t="s">
        <v>31</v>
      </c>
    </row>
    <row r="400" spans="1:9" x14ac:dyDescent="0.2">
      <c r="A400">
        <v>10646</v>
      </c>
      <c r="B400" t="s">
        <v>183</v>
      </c>
      <c r="C400">
        <v>9</v>
      </c>
      <c r="D400" s="6">
        <v>35669</v>
      </c>
      <c r="E400" s="6">
        <v>35711</v>
      </c>
      <c r="F400" s="6">
        <v>35676</v>
      </c>
      <c r="G400">
        <v>3</v>
      </c>
      <c r="H400">
        <v>142.33000000000001</v>
      </c>
      <c r="I400" t="s">
        <v>188</v>
      </c>
    </row>
    <row r="401" spans="1:9" x14ac:dyDescent="0.2">
      <c r="A401">
        <v>10647</v>
      </c>
      <c r="B401" t="s">
        <v>78</v>
      </c>
      <c r="C401">
        <v>4</v>
      </c>
      <c r="D401" s="6">
        <v>35669</v>
      </c>
      <c r="E401" s="6">
        <v>35683</v>
      </c>
      <c r="F401" s="6">
        <v>35676</v>
      </c>
      <c r="G401">
        <v>2</v>
      </c>
      <c r="H401">
        <v>45.54</v>
      </c>
      <c r="I401" t="s">
        <v>31</v>
      </c>
    </row>
    <row r="402" spans="1:9" x14ac:dyDescent="0.2">
      <c r="A402">
        <v>10648</v>
      </c>
      <c r="B402" t="s">
        <v>160</v>
      </c>
      <c r="C402">
        <v>5</v>
      </c>
      <c r="D402" s="6">
        <v>35670</v>
      </c>
      <c r="E402" s="6">
        <v>35712</v>
      </c>
      <c r="F402" s="6">
        <v>35682</v>
      </c>
      <c r="G402">
        <v>2</v>
      </c>
      <c r="H402">
        <v>14.25</v>
      </c>
      <c r="I402" t="s">
        <v>31</v>
      </c>
    </row>
    <row r="403" spans="1:9" x14ac:dyDescent="0.2">
      <c r="A403">
        <v>10649</v>
      </c>
      <c r="B403" t="s">
        <v>384</v>
      </c>
      <c r="C403">
        <v>5</v>
      </c>
      <c r="D403" s="6">
        <v>35670</v>
      </c>
      <c r="E403" s="6">
        <v>35698</v>
      </c>
      <c r="F403" s="6">
        <v>35671</v>
      </c>
      <c r="G403">
        <v>3</v>
      </c>
      <c r="H403">
        <v>6.2</v>
      </c>
      <c r="I403" t="s">
        <v>41</v>
      </c>
    </row>
    <row r="404" spans="1:9" x14ac:dyDescent="0.2">
      <c r="A404">
        <v>10650</v>
      </c>
      <c r="B404" t="s">
        <v>263</v>
      </c>
      <c r="C404">
        <v>5</v>
      </c>
      <c r="D404" s="6">
        <v>35671</v>
      </c>
      <c r="E404" s="6">
        <v>35699</v>
      </c>
      <c r="F404" s="6">
        <v>35676</v>
      </c>
      <c r="G404">
        <v>3</v>
      </c>
      <c r="H404">
        <v>176.81</v>
      </c>
      <c r="I404" t="s">
        <v>31</v>
      </c>
    </row>
    <row r="405" spans="1:9" x14ac:dyDescent="0.2">
      <c r="A405">
        <v>10651</v>
      </c>
      <c r="B405" t="s">
        <v>189</v>
      </c>
      <c r="C405">
        <v>8</v>
      </c>
      <c r="D405" s="6">
        <v>35674</v>
      </c>
      <c r="E405" s="6">
        <v>35702</v>
      </c>
      <c r="F405" s="6">
        <v>35684</v>
      </c>
      <c r="G405">
        <v>2</v>
      </c>
      <c r="H405">
        <v>20.6</v>
      </c>
      <c r="I405" t="s">
        <v>24</v>
      </c>
    </row>
    <row r="406" spans="1:9" x14ac:dyDescent="0.2">
      <c r="A406">
        <v>10652</v>
      </c>
      <c r="B406" t="s">
        <v>348</v>
      </c>
      <c r="C406">
        <v>4</v>
      </c>
      <c r="D406" s="6">
        <v>35674</v>
      </c>
      <c r="E406" s="6">
        <v>35702</v>
      </c>
      <c r="F406" s="6">
        <v>35681</v>
      </c>
      <c r="G406">
        <v>2</v>
      </c>
      <c r="H406">
        <v>7.14</v>
      </c>
      <c r="I406" t="s">
        <v>31</v>
      </c>
    </row>
    <row r="407" spans="1:9" x14ac:dyDescent="0.2">
      <c r="A407">
        <v>10653</v>
      </c>
      <c r="B407" t="s">
        <v>103</v>
      </c>
      <c r="C407">
        <v>1</v>
      </c>
      <c r="D407" s="6">
        <v>35675</v>
      </c>
      <c r="E407" s="6">
        <v>35703</v>
      </c>
      <c r="F407" s="6">
        <v>35692</v>
      </c>
      <c r="G407">
        <v>1</v>
      </c>
      <c r="H407">
        <v>93.25</v>
      </c>
      <c r="I407" t="s">
        <v>24</v>
      </c>
    </row>
    <row r="408" spans="1:9" x14ac:dyDescent="0.2">
      <c r="A408">
        <v>10654</v>
      </c>
      <c r="B408" t="s">
        <v>141</v>
      </c>
      <c r="C408">
        <v>5</v>
      </c>
      <c r="D408" s="6">
        <v>35675</v>
      </c>
      <c r="E408" s="6">
        <v>35703</v>
      </c>
      <c r="F408" s="6">
        <v>35684</v>
      </c>
      <c r="G408">
        <v>1</v>
      </c>
      <c r="H408">
        <v>55.26</v>
      </c>
      <c r="I408" t="s">
        <v>93</v>
      </c>
    </row>
    <row r="409" spans="1:9" x14ac:dyDescent="0.2">
      <c r="A409">
        <v>10655</v>
      </c>
      <c r="B409" t="s">
        <v>164</v>
      </c>
      <c r="C409">
        <v>1</v>
      </c>
      <c r="D409" s="6">
        <v>35676</v>
      </c>
      <c r="E409" s="6">
        <v>35704</v>
      </c>
      <c r="F409" s="6">
        <v>35684</v>
      </c>
      <c r="G409">
        <v>2</v>
      </c>
      <c r="H409">
        <v>4.41</v>
      </c>
      <c r="I409" t="s">
        <v>131</v>
      </c>
    </row>
    <row r="410" spans="1:9" x14ac:dyDescent="0.2">
      <c r="A410">
        <v>10656</v>
      </c>
      <c r="B410" t="s">
        <v>380</v>
      </c>
      <c r="C410">
        <v>6</v>
      </c>
      <c r="D410" s="6">
        <v>35677</v>
      </c>
      <c r="E410" s="6">
        <v>35705</v>
      </c>
      <c r="F410" s="6">
        <v>35683</v>
      </c>
      <c r="G410">
        <v>1</v>
      </c>
      <c r="H410">
        <v>57.15</v>
      </c>
      <c r="I410" t="s">
        <v>87</v>
      </c>
    </row>
    <row r="411" spans="1:9" x14ac:dyDescent="0.2">
      <c r="A411">
        <v>10657</v>
      </c>
      <c r="B411" t="s">
        <v>231</v>
      </c>
      <c r="C411">
        <v>2</v>
      </c>
      <c r="D411" s="6">
        <v>35677</v>
      </c>
      <c r="E411" s="6">
        <v>35705</v>
      </c>
      <c r="F411" s="6">
        <v>35688</v>
      </c>
      <c r="G411">
        <v>2</v>
      </c>
      <c r="H411">
        <v>352.69</v>
      </c>
      <c r="I411" t="s">
        <v>87</v>
      </c>
    </row>
    <row r="412" spans="1:9" x14ac:dyDescent="0.2">
      <c r="A412">
        <v>10658</v>
      </c>
      <c r="B412" t="s">
        <v>122</v>
      </c>
      <c r="C412">
        <v>4</v>
      </c>
      <c r="D412" s="6">
        <v>35678</v>
      </c>
      <c r="E412" s="6">
        <v>35706</v>
      </c>
      <c r="F412" s="6">
        <v>35681</v>
      </c>
      <c r="G412">
        <v>1</v>
      </c>
      <c r="H412">
        <v>364.15</v>
      </c>
      <c r="I412" t="s">
        <v>24</v>
      </c>
    </row>
    <row r="413" spans="1:9" x14ac:dyDescent="0.2">
      <c r="A413">
        <v>10659</v>
      </c>
      <c r="B413" t="s">
        <v>305</v>
      </c>
      <c r="C413">
        <v>7</v>
      </c>
      <c r="D413" s="6">
        <v>35678</v>
      </c>
      <c r="E413" s="6">
        <v>35706</v>
      </c>
      <c r="F413" s="6">
        <v>35683</v>
      </c>
      <c r="G413">
        <v>2</v>
      </c>
      <c r="H413">
        <v>105.81</v>
      </c>
      <c r="I413" t="s">
        <v>31</v>
      </c>
    </row>
    <row r="414" spans="1:9" x14ac:dyDescent="0.2">
      <c r="A414">
        <v>10660</v>
      </c>
      <c r="B414" t="s">
        <v>315</v>
      </c>
      <c r="C414">
        <v>8</v>
      </c>
      <c r="D414" s="6">
        <v>35681</v>
      </c>
      <c r="E414" s="6">
        <v>35709</v>
      </c>
      <c r="F414" s="6">
        <v>35718</v>
      </c>
      <c r="G414">
        <v>1</v>
      </c>
      <c r="H414">
        <v>111.29</v>
      </c>
      <c r="I414" t="s">
        <v>87</v>
      </c>
    </row>
    <row r="415" spans="1:9" x14ac:dyDescent="0.2">
      <c r="A415">
        <v>10661</v>
      </c>
      <c r="B415" t="s">
        <v>183</v>
      </c>
      <c r="C415">
        <v>7</v>
      </c>
      <c r="D415" s="6">
        <v>35682</v>
      </c>
      <c r="E415" s="6">
        <v>35710</v>
      </c>
      <c r="F415" s="6">
        <v>35688</v>
      </c>
      <c r="G415">
        <v>3</v>
      </c>
      <c r="H415">
        <v>17.55</v>
      </c>
      <c r="I415" t="s">
        <v>188</v>
      </c>
    </row>
    <row r="416" spans="1:9" x14ac:dyDescent="0.2">
      <c r="A416">
        <v>10662</v>
      </c>
      <c r="B416" t="s">
        <v>202</v>
      </c>
      <c r="C416">
        <v>3</v>
      </c>
      <c r="D416" s="6">
        <v>35682</v>
      </c>
      <c r="E416" s="6">
        <v>35710</v>
      </c>
      <c r="F416" s="6">
        <v>35691</v>
      </c>
      <c r="G416">
        <v>2</v>
      </c>
      <c r="H416">
        <v>1.28</v>
      </c>
      <c r="I416" t="s">
        <v>87</v>
      </c>
    </row>
    <row r="417" spans="1:9" x14ac:dyDescent="0.2">
      <c r="A417">
        <v>10663</v>
      </c>
      <c r="B417" t="s">
        <v>244</v>
      </c>
      <c r="C417">
        <v>2</v>
      </c>
      <c r="D417" s="6">
        <v>35683</v>
      </c>
      <c r="E417" s="6">
        <v>35697</v>
      </c>
      <c r="F417" s="6">
        <v>35706</v>
      </c>
      <c r="G417">
        <v>2</v>
      </c>
      <c r="H417">
        <v>113.15</v>
      </c>
      <c r="I417" t="s">
        <v>19</v>
      </c>
    </row>
    <row r="418" spans="1:9" x14ac:dyDescent="0.2">
      <c r="A418">
        <v>10664</v>
      </c>
      <c r="B418" t="s">
        <v>239</v>
      </c>
      <c r="C418">
        <v>1</v>
      </c>
      <c r="D418" s="6">
        <v>35683</v>
      </c>
      <c r="E418" s="6">
        <v>35711</v>
      </c>
      <c r="F418" s="6">
        <v>35692</v>
      </c>
      <c r="G418">
        <v>3</v>
      </c>
      <c r="H418">
        <v>1.27</v>
      </c>
      <c r="I418" t="s">
        <v>243</v>
      </c>
    </row>
    <row r="419" spans="1:9" x14ac:dyDescent="0.2">
      <c r="A419">
        <v>10665</v>
      </c>
      <c r="B419" t="s">
        <v>202</v>
      </c>
      <c r="C419">
        <v>1</v>
      </c>
      <c r="D419" s="6">
        <v>35684</v>
      </c>
      <c r="E419" s="6">
        <v>35712</v>
      </c>
      <c r="F419" s="6">
        <v>35690</v>
      </c>
      <c r="G419">
        <v>2</v>
      </c>
      <c r="H419">
        <v>26.31</v>
      </c>
      <c r="I419" t="s">
        <v>87</v>
      </c>
    </row>
    <row r="420" spans="1:9" x14ac:dyDescent="0.2">
      <c r="A420">
        <v>10666</v>
      </c>
      <c r="B420" t="s">
        <v>47</v>
      </c>
      <c r="C420">
        <v>7</v>
      </c>
      <c r="D420" s="6">
        <v>35685</v>
      </c>
      <c r="E420" s="6">
        <v>35713</v>
      </c>
      <c r="F420" s="6">
        <v>35695</v>
      </c>
      <c r="G420">
        <v>2</v>
      </c>
      <c r="H420">
        <v>232.42</v>
      </c>
      <c r="I420" t="s">
        <v>46</v>
      </c>
    </row>
    <row r="421" spans="1:9" x14ac:dyDescent="0.2">
      <c r="A421">
        <v>10667</v>
      </c>
      <c r="B421" t="s">
        <v>63</v>
      </c>
      <c r="C421">
        <v>7</v>
      </c>
      <c r="D421" s="6">
        <v>35685</v>
      </c>
      <c r="E421" s="6">
        <v>35713</v>
      </c>
      <c r="F421" s="6">
        <v>35692</v>
      </c>
      <c r="G421">
        <v>1</v>
      </c>
      <c r="H421">
        <v>78.09</v>
      </c>
      <c r="I421" t="s">
        <v>67</v>
      </c>
    </row>
    <row r="422" spans="1:9" x14ac:dyDescent="0.2">
      <c r="A422">
        <v>10668</v>
      </c>
      <c r="B422" t="s">
        <v>189</v>
      </c>
      <c r="C422">
        <v>1</v>
      </c>
      <c r="D422" s="6">
        <v>35688</v>
      </c>
      <c r="E422" s="6">
        <v>35716</v>
      </c>
      <c r="F422" s="6">
        <v>35696</v>
      </c>
      <c r="G422">
        <v>2</v>
      </c>
      <c r="H422">
        <v>47.22</v>
      </c>
      <c r="I422" t="s">
        <v>24</v>
      </c>
    </row>
    <row r="423" spans="1:9" x14ac:dyDescent="0.2">
      <c r="A423">
        <v>10669</v>
      </c>
      <c r="B423" t="s">
        <v>258</v>
      </c>
      <c r="C423">
        <v>2</v>
      </c>
      <c r="D423" s="6">
        <v>35688</v>
      </c>
      <c r="E423" s="6">
        <v>35716</v>
      </c>
      <c r="F423" s="6">
        <v>35695</v>
      </c>
      <c r="G423">
        <v>1</v>
      </c>
      <c r="H423">
        <v>24.39</v>
      </c>
      <c r="I423" t="s">
        <v>262</v>
      </c>
    </row>
    <row r="424" spans="1:9" x14ac:dyDescent="0.2">
      <c r="A424">
        <v>10670</v>
      </c>
      <c r="B424" t="s">
        <v>103</v>
      </c>
      <c r="C424">
        <v>4</v>
      </c>
      <c r="D424" s="6">
        <v>35689</v>
      </c>
      <c r="E424" s="6">
        <v>35717</v>
      </c>
      <c r="F424" s="6">
        <v>35691</v>
      </c>
      <c r="G424">
        <v>1</v>
      </c>
      <c r="H424">
        <v>203.48</v>
      </c>
      <c r="I424" t="s">
        <v>24</v>
      </c>
    </row>
    <row r="425" spans="1:9" x14ac:dyDescent="0.2">
      <c r="A425">
        <v>10671</v>
      </c>
      <c r="B425" t="s">
        <v>411</v>
      </c>
      <c r="C425">
        <v>1</v>
      </c>
      <c r="D425" s="6">
        <v>35690</v>
      </c>
      <c r="E425" s="6">
        <v>35718</v>
      </c>
      <c r="F425" s="6">
        <v>35697</v>
      </c>
      <c r="G425">
        <v>1</v>
      </c>
      <c r="H425">
        <v>30.34</v>
      </c>
      <c r="I425" t="s">
        <v>19</v>
      </c>
    </row>
    <row r="426" spans="1:9" x14ac:dyDescent="0.2">
      <c r="A426">
        <v>10672</v>
      </c>
      <c r="B426" t="s">
        <v>141</v>
      </c>
      <c r="C426">
        <v>9</v>
      </c>
      <c r="D426" s="6">
        <v>35690</v>
      </c>
      <c r="E426" s="6">
        <v>35704</v>
      </c>
      <c r="F426" s="6">
        <v>35699</v>
      </c>
      <c r="G426">
        <v>2</v>
      </c>
      <c r="H426">
        <v>95.75</v>
      </c>
      <c r="I426" t="s">
        <v>93</v>
      </c>
    </row>
    <row r="427" spans="1:9" x14ac:dyDescent="0.2">
      <c r="A427">
        <v>10673</v>
      </c>
      <c r="B427" t="s">
        <v>398</v>
      </c>
      <c r="C427">
        <v>2</v>
      </c>
      <c r="D427" s="6">
        <v>35691</v>
      </c>
      <c r="E427" s="6">
        <v>35719</v>
      </c>
      <c r="F427" s="6">
        <v>35692</v>
      </c>
      <c r="G427">
        <v>1</v>
      </c>
      <c r="H427">
        <v>22.76</v>
      </c>
      <c r="I427" t="s">
        <v>102</v>
      </c>
    </row>
    <row r="428" spans="1:9" x14ac:dyDescent="0.2">
      <c r="A428">
        <v>10674</v>
      </c>
      <c r="B428" t="s">
        <v>218</v>
      </c>
      <c r="C428">
        <v>4</v>
      </c>
      <c r="D428" s="6">
        <v>35691</v>
      </c>
      <c r="E428" s="6">
        <v>35719</v>
      </c>
      <c r="F428" s="6">
        <v>35703</v>
      </c>
      <c r="G428">
        <v>2</v>
      </c>
      <c r="H428">
        <v>0.9</v>
      </c>
      <c r="I428" t="s">
        <v>173</v>
      </c>
    </row>
    <row r="429" spans="1:9" x14ac:dyDescent="0.2">
      <c r="A429">
        <v>10675</v>
      </c>
      <c r="B429" t="s">
        <v>103</v>
      </c>
      <c r="C429">
        <v>5</v>
      </c>
      <c r="D429" s="6">
        <v>35692</v>
      </c>
      <c r="E429" s="6">
        <v>35720</v>
      </c>
      <c r="F429" s="6">
        <v>35696</v>
      </c>
      <c r="G429">
        <v>2</v>
      </c>
      <c r="H429">
        <v>31.85</v>
      </c>
      <c r="I429" t="s">
        <v>24</v>
      </c>
    </row>
    <row r="430" spans="1:9" x14ac:dyDescent="0.2">
      <c r="A430">
        <v>10676</v>
      </c>
      <c r="B430" t="s">
        <v>132</v>
      </c>
      <c r="C430">
        <v>2</v>
      </c>
      <c r="D430" s="6">
        <v>35695</v>
      </c>
      <c r="E430" s="6">
        <v>35723</v>
      </c>
      <c r="F430" s="6">
        <v>35702</v>
      </c>
      <c r="G430">
        <v>2</v>
      </c>
      <c r="H430">
        <v>2.0099999999999998</v>
      </c>
      <c r="I430" t="s">
        <v>73</v>
      </c>
    </row>
    <row r="431" spans="1:9" x14ac:dyDescent="0.2">
      <c r="A431">
        <v>10677</v>
      </c>
      <c r="B431" t="s">
        <v>293</v>
      </c>
      <c r="C431">
        <v>1</v>
      </c>
      <c r="D431" s="6">
        <v>35695</v>
      </c>
      <c r="E431" s="6">
        <v>35723</v>
      </c>
      <c r="F431" s="6">
        <v>35699</v>
      </c>
      <c r="G431">
        <v>3</v>
      </c>
      <c r="H431">
        <v>4.03</v>
      </c>
      <c r="I431" t="s">
        <v>73</v>
      </c>
    </row>
    <row r="432" spans="1:9" x14ac:dyDescent="0.2">
      <c r="A432">
        <v>10678</v>
      </c>
      <c r="B432" t="s">
        <v>231</v>
      </c>
      <c r="C432">
        <v>7</v>
      </c>
      <c r="D432" s="6">
        <v>35696</v>
      </c>
      <c r="E432" s="6">
        <v>35724</v>
      </c>
      <c r="F432" s="6">
        <v>35719</v>
      </c>
      <c r="G432">
        <v>3</v>
      </c>
      <c r="H432">
        <v>388.98</v>
      </c>
      <c r="I432" t="s">
        <v>87</v>
      </c>
    </row>
    <row r="433" spans="1:9" x14ac:dyDescent="0.2">
      <c r="A433">
        <v>10679</v>
      </c>
      <c r="B433" t="s">
        <v>94</v>
      </c>
      <c r="C433">
        <v>8</v>
      </c>
      <c r="D433" s="6">
        <v>35696</v>
      </c>
      <c r="E433" s="6">
        <v>35724</v>
      </c>
      <c r="F433" s="6">
        <v>35703</v>
      </c>
      <c r="G433">
        <v>3</v>
      </c>
      <c r="H433">
        <v>27.94</v>
      </c>
      <c r="I433" t="s">
        <v>19</v>
      </c>
    </row>
    <row r="434" spans="1:9" x14ac:dyDescent="0.2">
      <c r="A434">
        <v>10680</v>
      </c>
      <c r="B434" t="s">
        <v>197</v>
      </c>
      <c r="C434">
        <v>1</v>
      </c>
      <c r="D434" s="6">
        <v>35697</v>
      </c>
      <c r="E434" s="6">
        <v>35725</v>
      </c>
      <c r="F434" s="6">
        <v>35699</v>
      </c>
      <c r="G434">
        <v>1</v>
      </c>
      <c r="H434">
        <v>26.61</v>
      </c>
      <c r="I434" t="s">
        <v>87</v>
      </c>
    </row>
    <row r="435" spans="1:9" x14ac:dyDescent="0.2">
      <c r="A435">
        <v>10681</v>
      </c>
      <c r="B435" t="s">
        <v>380</v>
      </c>
      <c r="C435">
        <v>3</v>
      </c>
      <c r="D435" s="6">
        <v>35698</v>
      </c>
      <c r="E435" s="6">
        <v>35726</v>
      </c>
      <c r="F435" s="6">
        <v>35703</v>
      </c>
      <c r="G435">
        <v>3</v>
      </c>
      <c r="H435">
        <v>76.13</v>
      </c>
      <c r="I435" t="s">
        <v>87</v>
      </c>
    </row>
    <row r="436" spans="1:9" x14ac:dyDescent="0.2">
      <c r="A436">
        <v>10682</v>
      </c>
      <c r="B436" t="s">
        <v>293</v>
      </c>
      <c r="C436">
        <v>3</v>
      </c>
      <c r="D436" s="6">
        <v>35698</v>
      </c>
      <c r="E436" s="6">
        <v>35726</v>
      </c>
      <c r="F436" s="6">
        <v>35704</v>
      </c>
      <c r="G436">
        <v>2</v>
      </c>
      <c r="H436">
        <v>36.130000000000003</v>
      </c>
      <c r="I436" t="s">
        <v>73</v>
      </c>
    </row>
    <row r="437" spans="1:9" x14ac:dyDescent="0.2">
      <c r="A437">
        <v>10683</v>
      </c>
      <c r="B437" t="s">
        <v>214</v>
      </c>
      <c r="C437">
        <v>2</v>
      </c>
      <c r="D437" s="6">
        <v>35699</v>
      </c>
      <c r="E437" s="6">
        <v>35727</v>
      </c>
      <c r="F437" s="6">
        <v>35704</v>
      </c>
      <c r="G437">
        <v>1</v>
      </c>
      <c r="H437">
        <v>4.4000000000000004</v>
      </c>
      <c r="I437" t="s">
        <v>19</v>
      </c>
    </row>
    <row r="438" spans="1:9" x14ac:dyDescent="0.2">
      <c r="A438">
        <v>10684</v>
      </c>
      <c r="B438" t="s">
        <v>74</v>
      </c>
      <c r="C438">
        <v>3</v>
      </c>
      <c r="D438" s="6">
        <v>35699</v>
      </c>
      <c r="E438" s="6">
        <v>35727</v>
      </c>
      <c r="F438" s="6">
        <v>35703</v>
      </c>
      <c r="G438">
        <v>1</v>
      </c>
      <c r="H438">
        <v>145.63</v>
      </c>
      <c r="I438" t="s">
        <v>24</v>
      </c>
    </row>
    <row r="439" spans="1:9" x14ac:dyDescent="0.2">
      <c r="A439">
        <v>10685</v>
      </c>
      <c r="B439" t="s">
        <v>348</v>
      </c>
      <c r="C439">
        <v>4</v>
      </c>
      <c r="D439" s="6">
        <v>35702</v>
      </c>
      <c r="E439" s="6">
        <v>35716</v>
      </c>
      <c r="F439" s="6">
        <v>35706</v>
      </c>
      <c r="G439">
        <v>2</v>
      </c>
      <c r="H439">
        <v>33.75</v>
      </c>
      <c r="I439" t="s">
        <v>31</v>
      </c>
    </row>
    <row r="440" spans="1:9" x14ac:dyDescent="0.2">
      <c r="A440">
        <v>10686</v>
      </c>
      <c r="B440" t="s">
        <v>271</v>
      </c>
      <c r="C440">
        <v>2</v>
      </c>
      <c r="D440" s="6">
        <v>35703</v>
      </c>
      <c r="E440" s="6">
        <v>35731</v>
      </c>
      <c r="F440" s="6">
        <v>35711</v>
      </c>
      <c r="G440">
        <v>1</v>
      </c>
      <c r="H440">
        <v>96.5</v>
      </c>
      <c r="I440" t="s">
        <v>67</v>
      </c>
    </row>
    <row r="441" spans="1:9" x14ac:dyDescent="0.2">
      <c r="A441">
        <v>10687</v>
      </c>
      <c r="B441" t="s">
        <v>183</v>
      </c>
      <c r="C441">
        <v>9</v>
      </c>
      <c r="D441" s="6">
        <v>35703</v>
      </c>
      <c r="E441" s="6">
        <v>35731</v>
      </c>
      <c r="F441" s="6">
        <v>35733</v>
      </c>
      <c r="G441">
        <v>2</v>
      </c>
      <c r="H441">
        <v>296.43</v>
      </c>
      <c r="I441" t="s">
        <v>188</v>
      </c>
    </row>
    <row r="442" spans="1:9" x14ac:dyDescent="0.2">
      <c r="A442">
        <v>10688</v>
      </c>
      <c r="B442" t="s">
        <v>301</v>
      </c>
      <c r="C442">
        <v>4</v>
      </c>
      <c r="D442" s="6">
        <v>35704</v>
      </c>
      <c r="E442" s="6">
        <v>35718</v>
      </c>
      <c r="F442" s="6">
        <v>35710</v>
      </c>
      <c r="G442">
        <v>2</v>
      </c>
      <c r="H442">
        <v>299.08999999999997</v>
      </c>
      <c r="I442" t="s">
        <v>262</v>
      </c>
    </row>
    <row r="443" spans="1:9" x14ac:dyDescent="0.2">
      <c r="A443">
        <v>10689</v>
      </c>
      <c r="B443" t="s">
        <v>141</v>
      </c>
      <c r="C443">
        <v>1</v>
      </c>
      <c r="D443" s="6">
        <v>35704</v>
      </c>
      <c r="E443" s="6">
        <v>35732</v>
      </c>
      <c r="F443" s="6">
        <v>35710</v>
      </c>
      <c r="G443">
        <v>2</v>
      </c>
      <c r="H443">
        <v>13.42</v>
      </c>
      <c r="I443" t="s">
        <v>93</v>
      </c>
    </row>
    <row r="444" spans="1:9" x14ac:dyDescent="0.2">
      <c r="A444">
        <v>10690</v>
      </c>
      <c r="B444" t="s">
        <v>25</v>
      </c>
      <c r="C444">
        <v>1</v>
      </c>
      <c r="D444" s="6">
        <v>35705</v>
      </c>
      <c r="E444" s="6">
        <v>35733</v>
      </c>
      <c r="F444" s="6">
        <v>35706</v>
      </c>
      <c r="G444">
        <v>1</v>
      </c>
      <c r="H444">
        <v>15.8</v>
      </c>
      <c r="I444" t="s">
        <v>31</v>
      </c>
    </row>
    <row r="445" spans="1:9" x14ac:dyDescent="0.2">
      <c r="A445">
        <v>10691</v>
      </c>
      <c r="B445" t="s">
        <v>122</v>
      </c>
      <c r="C445">
        <v>2</v>
      </c>
      <c r="D445" s="6">
        <v>35706</v>
      </c>
      <c r="E445" s="6">
        <v>35748</v>
      </c>
      <c r="F445" s="6">
        <v>35725</v>
      </c>
      <c r="G445">
        <v>2</v>
      </c>
      <c r="H445">
        <v>810.05</v>
      </c>
      <c r="I445" t="s">
        <v>24</v>
      </c>
    </row>
    <row r="446" spans="1:9" x14ac:dyDescent="0.2">
      <c r="A446">
        <v>10692</v>
      </c>
      <c r="B446" t="s">
        <v>407</v>
      </c>
      <c r="C446">
        <v>4</v>
      </c>
      <c r="D446" s="6">
        <v>35706</v>
      </c>
      <c r="E446" s="6">
        <v>35734</v>
      </c>
      <c r="F446" s="6">
        <v>35716</v>
      </c>
      <c r="G446">
        <v>2</v>
      </c>
      <c r="H446">
        <v>61.02</v>
      </c>
      <c r="I446" t="s">
        <v>24</v>
      </c>
    </row>
    <row r="447" spans="1:9" x14ac:dyDescent="0.2">
      <c r="A447">
        <v>10693</v>
      </c>
      <c r="B447" t="s">
        <v>112</v>
      </c>
      <c r="C447">
        <v>3</v>
      </c>
      <c r="D447" s="6">
        <v>35709</v>
      </c>
      <c r="E447" s="6">
        <v>35723</v>
      </c>
      <c r="F447" s="6">
        <v>35713</v>
      </c>
      <c r="G447">
        <v>3</v>
      </c>
      <c r="H447">
        <v>139.34</v>
      </c>
      <c r="I447" t="s">
        <v>87</v>
      </c>
    </row>
    <row r="448" spans="1:9" x14ac:dyDescent="0.2">
      <c r="A448">
        <v>10694</v>
      </c>
      <c r="B448" t="s">
        <v>122</v>
      </c>
      <c r="C448">
        <v>8</v>
      </c>
      <c r="D448" s="6">
        <v>35709</v>
      </c>
      <c r="E448" s="6">
        <v>35737</v>
      </c>
      <c r="F448" s="6">
        <v>35712</v>
      </c>
      <c r="G448">
        <v>3</v>
      </c>
      <c r="H448">
        <v>398.36</v>
      </c>
      <c r="I448" t="s">
        <v>24</v>
      </c>
    </row>
    <row r="449" spans="1:9" x14ac:dyDescent="0.2">
      <c r="A449">
        <v>10695</v>
      </c>
      <c r="B449" t="s">
        <v>398</v>
      </c>
      <c r="C449">
        <v>7</v>
      </c>
      <c r="D449" s="6">
        <v>35710</v>
      </c>
      <c r="E449" s="6">
        <v>35752</v>
      </c>
      <c r="F449" s="6">
        <v>35717</v>
      </c>
      <c r="G449">
        <v>1</v>
      </c>
      <c r="H449">
        <v>16.72</v>
      </c>
      <c r="I449" t="s">
        <v>102</v>
      </c>
    </row>
    <row r="450" spans="1:9" x14ac:dyDescent="0.2">
      <c r="A450">
        <v>10696</v>
      </c>
      <c r="B450" t="s">
        <v>112</v>
      </c>
      <c r="C450">
        <v>8</v>
      </c>
      <c r="D450" s="6">
        <v>35711</v>
      </c>
      <c r="E450" s="6">
        <v>35753</v>
      </c>
      <c r="F450" s="6">
        <v>35717</v>
      </c>
      <c r="G450">
        <v>3</v>
      </c>
      <c r="H450">
        <v>102.55</v>
      </c>
      <c r="I450" t="s">
        <v>87</v>
      </c>
    </row>
    <row r="451" spans="1:9" x14ac:dyDescent="0.2">
      <c r="A451">
        <v>10697</v>
      </c>
      <c r="B451" t="s">
        <v>330</v>
      </c>
      <c r="C451">
        <v>3</v>
      </c>
      <c r="D451" s="6">
        <v>35711</v>
      </c>
      <c r="E451" s="6">
        <v>35739</v>
      </c>
      <c r="F451" s="6">
        <v>35717</v>
      </c>
      <c r="G451">
        <v>1</v>
      </c>
      <c r="H451">
        <v>45.52</v>
      </c>
      <c r="I451" t="s">
        <v>62</v>
      </c>
    </row>
    <row r="452" spans="1:9" x14ac:dyDescent="0.2">
      <c r="A452">
        <v>10698</v>
      </c>
      <c r="B452" t="s">
        <v>63</v>
      </c>
      <c r="C452">
        <v>4</v>
      </c>
      <c r="D452" s="6">
        <v>35712</v>
      </c>
      <c r="E452" s="6">
        <v>35740</v>
      </c>
      <c r="F452" s="6">
        <v>35720</v>
      </c>
      <c r="G452">
        <v>1</v>
      </c>
      <c r="H452">
        <v>272.47000000000003</v>
      </c>
      <c r="I452" t="s">
        <v>67</v>
      </c>
    </row>
    <row r="453" spans="1:9" x14ac:dyDescent="0.2">
      <c r="A453">
        <v>10699</v>
      </c>
      <c r="B453" t="s">
        <v>136</v>
      </c>
      <c r="C453">
        <v>3</v>
      </c>
      <c r="D453" s="6">
        <v>35712</v>
      </c>
      <c r="E453" s="6">
        <v>35740</v>
      </c>
      <c r="F453" s="6">
        <v>35716</v>
      </c>
      <c r="G453">
        <v>3</v>
      </c>
      <c r="H453">
        <v>0.57999999999999996</v>
      </c>
      <c r="I453" t="s">
        <v>24</v>
      </c>
    </row>
    <row r="454" spans="1:9" x14ac:dyDescent="0.2">
      <c r="A454">
        <v>10700</v>
      </c>
      <c r="B454" t="s">
        <v>231</v>
      </c>
      <c r="C454">
        <v>3</v>
      </c>
      <c r="D454" s="6">
        <v>35713</v>
      </c>
      <c r="E454" s="6">
        <v>35741</v>
      </c>
      <c r="F454" s="6">
        <v>35719</v>
      </c>
      <c r="G454">
        <v>1</v>
      </c>
      <c r="H454">
        <v>65.099999999999994</v>
      </c>
      <c r="I454" t="s">
        <v>87</v>
      </c>
    </row>
    <row r="455" spans="1:9" x14ac:dyDescent="0.2">
      <c r="A455">
        <v>10701</v>
      </c>
      <c r="B455" t="s">
        <v>183</v>
      </c>
      <c r="C455">
        <v>6</v>
      </c>
      <c r="D455" s="6">
        <v>35716</v>
      </c>
      <c r="E455" s="6">
        <v>35730</v>
      </c>
      <c r="F455" s="6">
        <v>35718</v>
      </c>
      <c r="G455">
        <v>3</v>
      </c>
      <c r="H455">
        <v>220.31</v>
      </c>
      <c r="I455" t="s">
        <v>188</v>
      </c>
    </row>
    <row r="456" spans="1:9" x14ac:dyDescent="0.2">
      <c r="A456">
        <v>10702</v>
      </c>
      <c r="B456" t="s">
        <v>407</v>
      </c>
      <c r="C456">
        <v>4</v>
      </c>
      <c r="D456" s="6">
        <v>35716</v>
      </c>
      <c r="E456" s="6">
        <v>35758</v>
      </c>
      <c r="F456" s="6">
        <v>35724</v>
      </c>
      <c r="G456">
        <v>1</v>
      </c>
      <c r="H456">
        <v>23.94</v>
      </c>
      <c r="I456" t="s">
        <v>24</v>
      </c>
    </row>
    <row r="457" spans="1:9" x14ac:dyDescent="0.2">
      <c r="A457">
        <v>10703</v>
      </c>
      <c r="B457" t="s">
        <v>88</v>
      </c>
      <c r="C457">
        <v>6</v>
      </c>
      <c r="D457" s="6">
        <v>35717</v>
      </c>
      <c r="E457" s="6">
        <v>35745</v>
      </c>
      <c r="F457" s="6">
        <v>35723</v>
      </c>
      <c r="G457">
        <v>2</v>
      </c>
      <c r="H457">
        <v>152.30000000000001</v>
      </c>
      <c r="I457" t="s">
        <v>93</v>
      </c>
    </row>
    <row r="458" spans="1:9" x14ac:dyDescent="0.2">
      <c r="A458">
        <v>10704</v>
      </c>
      <c r="B458" t="s">
        <v>305</v>
      </c>
      <c r="C458">
        <v>6</v>
      </c>
      <c r="D458" s="6">
        <v>35717</v>
      </c>
      <c r="E458" s="6">
        <v>35745</v>
      </c>
      <c r="F458" s="6">
        <v>35741</v>
      </c>
      <c r="G458">
        <v>1</v>
      </c>
      <c r="H458">
        <v>4.78</v>
      </c>
      <c r="I458" t="s">
        <v>31</v>
      </c>
    </row>
    <row r="459" spans="1:9" x14ac:dyDescent="0.2">
      <c r="A459">
        <v>10705</v>
      </c>
      <c r="B459" t="s">
        <v>57</v>
      </c>
      <c r="C459">
        <v>9</v>
      </c>
      <c r="D459" s="6">
        <v>35718</v>
      </c>
      <c r="E459" s="6">
        <v>35746</v>
      </c>
      <c r="F459" s="6">
        <v>35752</v>
      </c>
      <c r="G459">
        <v>2</v>
      </c>
      <c r="H459">
        <v>3.52</v>
      </c>
      <c r="I459" t="s">
        <v>62</v>
      </c>
    </row>
    <row r="460" spans="1:9" x14ac:dyDescent="0.2">
      <c r="A460">
        <v>10706</v>
      </c>
      <c r="B460" t="s">
        <v>197</v>
      </c>
      <c r="C460">
        <v>8</v>
      </c>
      <c r="D460" s="6">
        <v>35719</v>
      </c>
      <c r="E460" s="6">
        <v>35747</v>
      </c>
      <c r="F460" s="6">
        <v>35724</v>
      </c>
      <c r="G460">
        <v>3</v>
      </c>
      <c r="H460">
        <v>135.63</v>
      </c>
      <c r="I460" t="s">
        <v>87</v>
      </c>
    </row>
    <row r="461" spans="1:9" x14ac:dyDescent="0.2">
      <c r="A461">
        <v>10707</v>
      </c>
      <c r="B461" t="s">
        <v>275</v>
      </c>
      <c r="C461">
        <v>4</v>
      </c>
      <c r="D461" s="6">
        <v>35719</v>
      </c>
      <c r="E461" s="6">
        <v>35733</v>
      </c>
      <c r="F461" s="6">
        <v>35726</v>
      </c>
      <c r="G461">
        <v>3</v>
      </c>
      <c r="H461">
        <v>21.74</v>
      </c>
      <c r="I461" t="s">
        <v>173</v>
      </c>
    </row>
    <row r="462" spans="1:9" x14ac:dyDescent="0.2">
      <c r="A462">
        <v>10708</v>
      </c>
      <c r="B462" t="s">
        <v>211</v>
      </c>
      <c r="C462">
        <v>6</v>
      </c>
      <c r="D462" s="6">
        <v>35720</v>
      </c>
      <c r="E462" s="6">
        <v>35762</v>
      </c>
      <c r="F462" s="6">
        <v>35739</v>
      </c>
      <c r="G462">
        <v>2</v>
      </c>
      <c r="H462">
        <v>2.96</v>
      </c>
      <c r="I462" t="s">
        <v>87</v>
      </c>
    </row>
    <row r="463" spans="1:9" x14ac:dyDescent="0.2">
      <c r="A463">
        <v>10709</v>
      </c>
      <c r="B463" t="s">
        <v>348</v>
      </c>
      <c r="C463">
        <v>1</v>
      </c>
      <c r="D463" s="6">
        <v>35720</v>
      </c>
      <c r="E463" s="6">
        <v>35748</v>
      </c>
      <c r="F463" s="6">
        <v>35754</v>
      </c>
      <c r="G463">
        <v>3</v>
      </c>
      <c r="H463">
        <v>210.8</v>
      </c>
      <c r="I463" t="s">
        <v>31</v>
      </c>
    </row>
    <row r="464" spans="1:9" x14ac:dyDescent="0.2">
      <c r="A464">
        <v>10710</v>
      </c>
      <c r="B464" t="s">
        <v>344</v>
      </c>
      <c r="C464">
        <v>1</v>
      </c>
      <c r="D464" s="6">
        <v>35723</v>
      </c>
      <c r="E464" s="6">
        <v>35751</v>
      </c>
      <c r="F464" s="6">
        <v>35726</v>
      </c>
      <c r="G464">
        <v>1</v>
      </c>
      <c r="H464">
        <v>4.9800000000000004</v>
      </c>
      <c r="I464" t="s">
        <v>131</v>
      </c>
    </row>
    <row r="465" spans="1:9" x14ac:dyDescent="0.2">
      <c r="A465">
        <v>10711</v>
      </c>
      <c r="B465" t="s">
        <v>231</v>
      </c>
      <c r="C465">
        <v>5</v>
      </c>
      <c r="D465" s="6">
        <v>35724</v>
      </c>
      <c r="E465" s="6">
        <v>35766</v>
      </c>
      <c r="F465" s="6">
        <v>35732</v>
      </c>
      <c r="G465">
        <v>2</v>
      </c>
      <c r="H465">
        <v>52.41</v>
      </c>
      <c r="I465" t="s">
        <v>87</v>
      </c>
    </row>
    <row r="466" spans="1:9" x14ac:dyDescent="0.2">
      <c r="A466">
        <v>10712</v>
      </c>
      <c r="B466" t="s">
        <v>183</v>
      </c>
      <c r="C466">
        <v>3</v>
      </c>
      <c r="D466" s="6">
        <v>35724</v>
      </c>
      <c r="E466" s="6">
        <v>35752</v>
      </c>
      <c r="F466" s="6">
        <v>35734</v>
      </c>
      <c r="G466">
        <v>1</v>
      </c>
      <c r="H466">
        <v>89.93</v>
      </c>
      <c r="I466" t="s">
        <v>188</v>
      </c>
    </row>
    <row r="467" spans="1:9" x14ac:dyDescent="0.2">
      <c r="A467">
        <v>10713</v>
      </c>
      <c r="B467" t="s">
        <v>231</v>
      </c>
      <c r="C467">
        <v>1</v>
      </c>
      <c r="D467" s="6">
        <v>35725</v>
      </c>
      <c r="E467" s="6">
        <v>35753</v>
      </c>
      <c r="F467" s="6">
        <v>35727</v>
      </c>
      <c r="G467">
        <v>1</v>
      </c>
      <c r="H467">
        <v>167.05</v>
      </c>
      <c r="I467" t="s">
        <v>87</v>
      </c>
    </row>
    <row r="468" spans="1:9" x14ac:dyDescent="0.2">
      <c r="A468">
        <v>10714</v>
      </c>
      <c r="B468" t="s">
        <v>231</v>
      </c>
      <c r="C468">
        <v>5</v>
      </c>
      <c r="D468" s="6">
        <v>35725</v>
      </c>
      <c r="E468" s="6">
        <v>35753</v>
      </c>
      <c r="F468" s="6">
        <v>35730</v>
      </c>
      <c r="G468">
        <v>3</v>
      </c>
      <c r="H468">
        <v>24.49</v>
      </c>
      <c r="I468" t="s">
        <v>87</v>
      </c>
    </row>
    <row r="469" spans="1:9" x14ac:dyDescent="0.2">
      <c r="A469">
        <v>10715</v>
      </c>
      <c r="B469" t="s">
        <v>244</v>
      </c>
      <c r="C469">
        <v>3</v>
      </c>
      <c r="D469" s="6">
        <v>35726</v>
      </c>
      <c r="E469" s="6">
        <v>35740</v>
      </c>
      <c r="F469" s="6">
        <v>35732</v>
      </c>
      <c r="G469">
        <v>1</v>
      </c>
      <c r="H469">
        <v>63.2</v>
      </c>
      <c r="I469" t="s">
        <v>19</v>
      </c>
    </row>
    <row r="470" spans="1:9" x14ac:dyDescent="0.2">
      <c r="A470">
        <v>10716</v>
      </c>
      <c r="B470" t="s">
        <v>357</v>
      </c>
      <c r="C470">
        <v>4</v>
      </c>
      <c r="D470" s="6">
        <v>35727</v>
      </c>
      <c r="E470" s="6">
        <v>35755</v>
      </c>
      <c r="F470" s="6">
        <v>35730</v>
      </c>
      <c r="G470">
        <v>2</v>
      </c>
      <c r="H470">
        <v>22.57</v>
      </c>
      <c r="I470" t="s">
        <v>343</v>
      </c>
    </row>
    <row r="471" spans="1:9" x14ac:dyDescent="0.2">
      <c r="A471">
        <v>10717</v>
      </c>
      <c r="B471" t="s">
        <v>103</v>
      </c>
      <c r="C471">
        <v>1</v>
      </c>
      <c r="D471" s="6">
        <v>35727</v>
      </c>
      <c r="E471" s="6">
        <v>35755</v>
      </c>
      <c r="F471" s="6">
        <v>35732</v>
      </c>
      <c r="G471">
        <v>2</v>
      </c>
      <c r="H471">
        <v>59.25</v>
      </c>
      <c r="I471" t="s">
        <v>24</v>
      </c>
    </row>
    <row r="472" spans="1:9" x14ac:dyDescent="0.2">
      <c r="A472">
        <v>10718</v>
      </c>
      <c r="B472" t="s">
        <v>227</v>
      </c>
      <c r="C472">
        <v>1</v>
      </c>
      <c r="D472" s="6">
        <v>35730</v>
      </c>
      <c r="E472" s="6">
        <v>35758</v>
      </c>
      <c r="F472" s="6">
        <v>35732</v>
      </c>
      <c r="G472">
        <v>3</v>
      </c>
      <c r="H472">
        <v>170.88</v>
      </c>
      <c r="I472" t="s">
        <v>24</v>
      </c>
    </row>
    <row r="473" spans="1:9" x14ac:dyDescent="0.2">
      <c r="A473">
        <v>10719</v>
      </c>
      <c r="B473" t="s">
        <v>393</v>
      </c>
      <c r="C473">
        <v>8</v>
      </c>
      <c r="D473" s="6">
        <v>35730</v>
      </c>
      <c r="E473" s="6">
        <v>35758</v>
      </c>
      <c r="F473" s="6">
        <v>35739</v>
      </c>
      <c r="G473">
        <v>2</v>
      </c>
      <c r="H473">
        <v>51.44</v>
      </c>
      <c r="I473" t="s">
        <v>87</v>
      </c>
    </row>
    <row r="474" spans="1:9" x14ac:dyDescent="0.2">
      <c r="A474">
        <v>10720</v>
      </c>
      <c r="B474" t="s">
        <v>78</v>
      </c>
      <c r="C474">
        <v>8</v>
      </c>
      <c r="D474" s="6">
        <v>35731</v>
      </c>
      <c r="E474" s="6">
        <v>35745</v>
      </c>
      <c r="F474" s="6">
        <v>35739</v>
      </c>
      <c r="G474">
        <v>2</v>
      </c>
      <c r="H474">
        <v>9.5299999999999994</v>
      </c>
      <c r="I474" t="s">
        <v>31</v>
      </c>
    </row>
    <row r="475" spans="1:9" x14ac:dyDescent="0.2">
      <c r="A475">
        <v>10721</v>
      </c>
      <c r="B475" t="s">
        <v>122</v>
      </c>
      <c r="C475">
        <v>5</v>
      </c>
      <c r="D475" s="6">
        <v>35732</v>
      </c>
      <c r="E475" s="6">
        <v>35760</v>
      </c>
      <c r="F475" s="6">
        <v>35734</v>
      </c>
      <c r="G475">
        <v>3</v>
      </c>
      <c r="H475">
        <v>48.92</v>
      </c>
      <c r="I475" t="s">
        <v>24</v>
      </c>
    </row>
    <row r="476" spans="1:9" x14ac:dyDescent="0.2">
      <c r="A476">
        <v>10722</v>
      </c>
      <c r="B476" t="s">
        <v>231</v>
      </c>
      <c r="C476">
        <v>8</v>
      </c>
      <c r="D476" s="6">
        <v>35732</v>
      </c>
      <c r="E476" s="6">
        <v>35774</v>
      </c>
      <c r="F476" s="6">
        <v>35738</v>
      </c>
      <c r="G476">
        <v>1</v>
      </c>
      <c r="H476">
        <v>74.58</v>
      </c>
      <c r="I476" t="s">
        <v>87</v>
      </c>
    </row>
    <row r="477" spans="1:9" x14ac:dyDescent="0.2">
      <c r="A477">
        <v>10723</v>
      </c>
      <c r="B477" t="s">
        <v>112</v>
      </c>
      <c r="C477">
        <v>3</v>
      </c>
      <c r="D477" s="6">
        <v>35733</v>
      </c>
      <c r="E477" s="6">
        <v>35761</v>
      </c>
      <c r="F477" s="6">
        <v>35759</v>
      </c>
      <c r="G477">
        <v>1</v>
      </c>
      <c r="H477">
        <v>21.72</v>
      </c>
      <c r="I477" t="s">
        <v>87</v>
      </c>
    </row>
    <row r="478" spans="1:9" x14ac:dyDescent="0.2">
      <c r="A478">
        <v>10724</v>
      </c>
      <c r="B478" t="s">
        <v>248</v>
      </c>
      <c r="C478">
        <v>8</v>
      </c>
      <c r="D478" s="6">
        <v>35733</v>
      </c>
      <c r="E478" s="6">
        <v>35775</v>
      </c>
      <c r="F478" s="6">
        <v>35739</v>
      </c>
      <c r="G478">
        <v>2</v>
      </c>
      <c r="H478">
        <v>57.75</v>
      </c>
      <c r="I478" t="s">
        <v>254</v>
      </c>
    </row>
    <row r="479" spans="1:9" x14ac:dyDescent="0.2">
      <c r="A479">
        <v>10725</v>
      </c>
      <c r="B479" t="s">
        <v>263</v>
      </c>
      <c r="C479">
        <v>4</v>
      </c>
      <c r="D479" s="6">
        <v>35734</v>
      </c>
      <c r="E479" s="6">
        <v>35762</v>
      </c>
      <c r="F479" s="6">
        <v>35739</v>
      </c>
      <c r="G479">
        <v>3</v>
      </c>
      <c r="H479">
        <v>10.83</v>
      </c>
      <c r="I479" t="s">
        <v>31</v>
      </c>
    </row>
    <row r="480" spans="1:9" x14ac:dyDescent="0.2">
      <c r="A480">
        <v>10726</v>
      </c>
      <c r="B480" t="s">
        <v>289</v>
      </c>
      <c r="C480">
        <v>4</v>
      </c>
      <c r="D480" s="6">
        <v>35737</v>
      </c>
      <c r="E480" s="6">
        <v>35751</v>
      </c>
      <c r="F480" s="6">
        <v>35769</v>
      </c>
      <c r="G480">
        <v>1</v>
      </c>
      <c r="H480">
        <v>16.559999999999999</v>
      </c>
      <c r="I480" t="s">
        <v>173</v>
      </c>
    </row>
    <row r="481" spans="1:9" x14ac:dyDescent="0.2">
      <c r="A481">
        <v>10727</v>
      </c>
      <c r="B481" t="s">
        <v>164</v>
      </c>
      <c r="C481">
        <v>2</v>
      </c>
      <c r="D481" s="6">
        <v>35737</v>
      </c>
      <c r="E481" s="6">
        <v>35765</v>
      </c>
      <c r="F481" s="6">
        <v>35769</v>
      </c>
      <c r="G481">
        <v>1</v>
      </c>
      <c r="H481">
        <v>89.9</v>
      </c>
      <c r="I481" t="s">
        <v>131</v>
      </c>
    </row>
    <row r="482" spans="1:9" x14ac:dyDescent="0.2">
      <c r="A482">
        <v>10728</v>
      </c>
      <c r="B482" t="s">
        <v>305</v>
      </c>
      <c r="C482">
        <v>4</v>
      </c>
      <c r="D482" s="6">
        <v>35738</v>
      </c>
      <c r="E482" s="6">
        <v>35766</v>
      </c>
      <c r="F482" s="6">
        <v>35745</v>
      </c>
      <c r="G482">
        <v>2</v>
      </c>
      <c r="H482">
        <v>58.33</v>
      </c>
      <c r="I482" t="s">
        <v>31</v>
      </c>
    </row>
    <row r="483" spans="1:9" x14ac:dyDescent="0.2">
      <c r="A483">
        <v>10729</v>
      </c>
      <c r="B483" t="s">
        <v>330</v>
      </c>
      <c r="C483">
        <v>8</v>
      </c>
      <c r="D483" s="6">
        <v>35738</v>
      </c>
      <c r="E483" s="6">
        <v>35780</v>
      </c>
      <c r="F483" s="6">
        <v>35748</v>
      </c>
      <c r="G483">
        <v>3</v>
      </c>
      <c r="H483">
        <v>141.06</v>
      </c>
      <c r="I483" t="s">
        <v>62</v>
      </c>
    </row>
    <row r="484" spans="1:9" x14ac:dyDescent="0.2">
      <c r="A484">
        <v>10730</v>
      </c>
      <c r="B484" t="s">
        <v>244</v>
      </c>
      <c r="C484">
        <v>5</v>
      </c>
      <c r="D484" s="6">
        <v>35739</v>
      </c>
      <c r="E484" s="6">
        <v>35767</v>
      </c>
      <c r="F484" s="6">
        <v>35748</v>
      </c>
      <c r="G484">
        <v>1</v>
      </c>
      <c r="H484">
        <v>20.12</v>
      </c>
      <c r="I484" t="s">
        <v>19</v>
      </c>
    </row>
    <row r="485" spans="1:9" x14ac:dyDescent="0.2">
      <c r="A485">
        <v>10731</v>
      </c>
      <c r="B485" t="s">
        <v>42</v>
      </c>
      <c r="C485">
        <v>7</v>
      </c>
      <c r="D485" s="6">
        <v>35740</v>
      </c>
      <c r="E485" s="6">
        <v>35768</v>
      </c>
      <c r="F485" s="6">
        <v>35748</v>
      </c>
      <c r="G485">
        <v>1</v>
      </c>
      <c r="H485">
        <v>96.65</v>
      </c>
      <c r="I485" t="s">
        <v>46</v>
      </c>
    </row>
    <row r="486" spans="1:9" x14ac:dyDescent="0.2">
      <c r="A486">
        <v>10732</v>
      </c>
      <c r="B486" t="s">
        <v>244</v>
      </c>
      <c r="C486">
        <v>3</v>
      </c>
      <c r="D486" s="6">
        <v>35740</v>
      </c>
      <c r="E486" s="6">
        <v>35768</v>
      </c>
      <c r="F486" s="6">
        <v>35741</v>
      </c>
      <c r="G486">
        <v>1</v>
      </c>
      <c r="H486">
        <v>16.97</v>
      </c>
      <c r="I486" t="s">
        <v>19</v>
      </c>
    </row>
    <row r="487" spans="1:9" x14ac:dyDescent="0.2">
      <c r="A487">
        <v>10733</v>
      </c>
      <c r="B487" t="s">
        <v>141</v>
      </c>
      <c r="C487">
        <v>1</v>
      </c>
      <c r="D487" s="6">
        <v>35741</v>
      </c>
      <c r="E487" s="6">
        <v>35769</v>
      </c>
      <c r="F487" s="6">
        <v>35744</v>
      </c>
      <c r="G487">
        <v>3</v>
      </c>
      <c r="H487">
        <v>110.11</v>
      </c>
      <c r="I487" t="s">
        <v>93</v>
      </c>
    </row>
    <row r="488" spans="1:9" x14ac:dyDescent="0.2">
      <c r="A488">
        <v>10734</v>
      </c>
      <c r="B488" t="s">
        <v>348</v>
      </c>
      <c r="C488">
        <v>2</v>
      </c>
      <c r="D488" s="6">
        <v>35741</v>
      </c>
      <c r="E488" s="6">
        <v>35769</v>
      </c>
      <c r="F488" s="6">
        <v>35746</v>
      </c>
      <c r="G488">
        <v>3</v>
      </c>
      <c r="H488">
        <v>1.63</v>
      </c>
      <c r="I488" t="s">
        <v>31</v>
      </c>
    </row>
    <row r="489" spans="1:9" x14ac:dyDescent="0.2">
      <c r="A489">
        <v>10735</v>
      </c>
      <c r="B489" t="s">
        <v>393</v>
      </c>
      <c r="C489">
        <v>6</v>
      </c>
      <c r="D489" s="6">
        <v>35744</v>
      </c>
      <c r="E489" s="6">
        <v>35772</v>
      </c>
      <c r="F489" s="6">
        <v>35755</v>
      </c>
      <c r="G489">
        <v>2</v>
      </c>
      <c r="H489">
        <v>45.97</v>
      </c>
      <c r="I489" t="s">
        <v>87</v>
      </c>
    </row>
    <row r="490" spans="1:9" x14ac:dyDescent="0.2">
      <c r="A490">
        <v>10736</v>
      </c>
      <c r="B490" t="s">
        <v>183</v>
      </c>
      <c r="C490">
        <v>9</v>
      </c>
      <c r="D490" s="6">
        <v>35745</v>
      </c>
      <c r="E490" s="6">
        <v>35773</v>
      </c>
      <c r="F490" s="6">
        <v>35755</v>
      </c>
      <c r="G490">
        <v>2</v>
      </c>
      <c r="H490">
        <v>44.1</v>
      </c>
      <c r="I490" t="s">
        <v>188</v>
      </c>
    </row>
    <row r="491" spans="1:9" x14ac:dyDescent="0.2">
      <c r="A491">
        <v>10737</v>
      </c>
      <c r="B491" t="s">
        <v>14</v>
      </c>
      <c r="C491">
        <v>2</v>
      </c>
      <c r="D491" s="6">
        <v>35745</v>
      </c>
      <c r="E491" s="6">
        <v>35773</v>
      </c>
      <c r="F491" s="6">
        <v>35752</v>
      </c>
      <c r="G491">
        <v>2</v>
      </c>
      <c r="H491">
        <v>7.79</v>
      </c>
      <c r="I491" t="s">
        <v>19</v>
      </c>
    </row>
    <row r="492" spans="1:9" x14ac:dyDescent="0.2">
      <c r="A492">
        <v>10738</v>
      </c>
      <c r="B492" t="s">
        <v>415</v>
      </c>
      <c r="C492">
        <v>2</v>
      </c>
      <c r="D492" s="6">
        <v>35746</v>
      </c>
      <c r="E492" s="6">
        <v>35774</v>
      </c>
      <c r="F492" s="6">
        <v>35752</v>
      </c>
      <c r="G492">
        <v>1</v>
      </c>
      <c r="H492">
        <v>2.91</v>
      </c>
      <c r="I492" t="s">
        <v>19</v>
      </c>
    </row>
    <row r="493" spans="1:9" x14ac:dyDescent="0.2">
      <c r="A493">
        <v>10739</v>
      </c>
      <c r="B493" t="s">
        <v>14</v>
      </c>
      <c r="C493">
        <v>3</v>
      </c>
      <c r="D493" s="6">
        <v>35746</v>
      </c>
      <c r="E493" s="6">
        <v>35774</v>
      </c>
      <c r="F493" s="6">
        <v>35751</v>
      </c>
      <c r="G493">
        <v>3</v>
      </c>
      <c r="H493">
        <v>11.08</v>
      </c>
      <c r="I493" t="s">
        <v>19</v>
      </c>
    </row>
    <row r="494" spans="1:9" x14ac:dyDescent="0.2">
      <c r="A494">
        <v>10740</v>
      </c>
      <c r="B494" t="s">
        <v>112</v>
      </c>
      <c r="C494">
        <v>4</v>
      </c>
      <c r="D494" s="6">
        <v>35747</v>
      </c>
      <c r="E494" s="6">
        <v>35775</v>
      </c>
      <c r="F494" s="6">
        <v>35759</v>
      </c>
      <c r="G494">
        <v>2</v>
      </c>
      <c r="H494">
        <v>81.88</v>
      </c>
      <c r="I494" t="s">
        <v>87</v>
      </c>
    </row>
    <row r="495" spans="1:9" x14ac:dyDescent="0.2">
      <c r="A495">
        <v>10741</v>
      </c>
      <c r="B495" t="s">
        <v>275</v>
      </c>
      <c r="C495">
        <v>4</v>
      </c>
      <c r="D495" s="6">
        <v>35748</v>
      </c>
      <c r="E495" s="6">
        <v>35762</v>
      </c>
      <c r="F495" s="6">
        <v>35752</v>
      </c>
      <c r="G495">
        <v>3</v>
      </c>
      <c r="H495">
        <v>10.96</v>
      </c>
      <c r="I495" t="s">
        <v>173</v>
      </c>
    </row>
    <row r="496" spans="1:9" x14ac:dyDescent="0.2">
      <c r="A496">
        <v>10742</v>
      </c>
      <c r="B496" t="s">
        <v>324</v>
      </c>
      <c r="C496">
        <v>3</v>
      </c>
      <c r="D496" s="6">
        <v>35748</v>
      </c>
      <c r="E496" s="6">
        <v>35776</v>
      </c>
      <c r="F496" s="6">
        <v>35752</v>
      </c>
      <c r="G496">
        <v>3</v>
      </c>
      <c r="H496">
        <v>243.73</v>
      </c>
      <c r="I496" t="s">
        <v>254</v>
      </c>
    </row>
    <row r="497" spans="1:9" x14ac:dyDescent="0.2">
      <c r="A497">
        <v>10743</v>
      </c>
      <c r="B497" t="s">
        <v>275</v>
      </c>
      <c r="C497">
        <v>1</v>
      </c>
      <c r="D497" s="6">
        <v>35751</v>
      </c>
      <c r="E497" s="6">
        <v>35779</v>
      </c>
      <c r="F497" s="6">
        <v>35755</v>
      </c>
      <c r="G497">
        <v>2</v>
      </c>
      <c r="H497">
        <v>23.72</v>
      </c>
      <c r="I497" t="s">
        <v>173</v>
      </c>
    </row>
    <row r="498" spans="1:9" x14ac:dyDescent="0.2">
      <c r="A498">
        <v>10744</v>
      </c>
      <c r="B498" t="s">
        <v>301</v>
      </c>
      <c r="C498">
        <v>6</v>
      </c>
      <c r="D498" s="6">
        <v>35751</v>
      </c>
      <c r="E498" s="6">
        <v>35779</v>
      </c>
      <c r="F498" s="6">
        <v>35758</v>
      </c>
      <c r="G498">
        <v>1</v>
      </c>
      <c r="H498">
        <v>69.19</v>
      </c>
      <c r="I498" t="s">
        <v>262</v>
      </c>
    </row>
    <row r="499" spans="1:9" x14ac:dyDescent="0.2">
      <c r="A499">
        <v>10745</v>
      </c>
      <c r="B499" t="s">
        <v>122</v>
      </c>
      <c r="C499">
        <v>9</v>
      </c>
      <c r="D499" s="6">
        <v>35752</v>
      </c>
      <c r="E499" s="6">
        <v>35780</v>
      </c>
      <c r="F499" s="6">
        <v>35761</v>
      </c>
      <c r="G499">
        <v>1</v>
      </c>
      <c r="H499">
        <v>3.52</v>
      </c>
      <c r="I499" t="s">
        <v>24</v>
      </c>
    </row>
    <row r="500" spans="1:9" x14ac:dyDescent="0.2">
      <c r="A500">
        <v>10746</v>
      </c>
      <c r="B500" t="s">
        <v>42</v>
      </c>
      <c r="C500">
        <v>1</v>
      </c>
      <c r="D500" s="6">
        <v>35753</v>
      </c>
      <c r="E500" s="6">
        <v>35781</v>
      </c>
      <c r="F500" s="6">
        <v>35755</v>
      </c>
      <c r="G500">
        <v>3</v>
      </c>
      <c r="H500">
        <v>31.43</v>
      </c>
      <c r="I500" t="s">
        <v>46</v>
      </c>
    </row>
    <row r="501" spans="1:9" x14ac:dyDescent="0.2">
      <c r="A501">
        <v>10747</v>
      </c>
      <c r="B501" t="s">
        <v>271</v>
      </c>
      <c r="C501">
        <v>6</v>
      </c>
      <c r="D501" s="6">
        <v>35753</v>
      </c>
      <c r="E501" s="6">
        <v>35781</v>
      </c>
      <c r="F501" s="6">
        <v>35760</v>
      </c>
      <c r="G501">
        <v>1</v>
      </c>
      <c r="H501">
        <v>117.33</v>
      </c>
      <c r="I501" t="s">
        <v>67</v>
      </c>
    </row>
    <row r="502" spans="1:9" x14ac:dyDescent="0.2">
      <c r="A502">
        <v>10748</v>
      </c>
      <c r="B502" t="s">
        <v>231</v>
      </c>
      <c r="C502">
        <v>3</v>
      </c>
      <c r="D502" s="6">
        <v>35754</v>
      </c>
      <c r="E502" s="6">
        <v>35782</v>
      </c>
      <c r="F502" s="6">
        <v>35762</v>
      </c>
      <c r="G502">
        <v>1</v>
      </c>
      <c r="H502">
        <v>232.55</v>
      </c>
      <c r="I502" t="s">
        <v>87</v>
      </c>
    </row>
    <row r="503" spans="1:9" x14ac:dyDescent="0.2">
      <c r="A503">
        <v>10749</v>
      </c>
      <c r="B503" t="s">
        <v>218</v>
      </c>
      <c r="C503">
        <v>4</v>
      </c>
      <c r="D503" s="6">
        <v>35754</v>
      </c>
      <c r="E503" s="6">
        <v>35782</v>
      </c>
      <c r="F503" s="6">
        <v>35783</v>
      </c>
      <c r="G503">
        <v>2</v>
      </c>
      <c r="H503">
        <v>61.53</v>
      </c>
      <c r="I503" t="s">
        <v>173</v>
      </c>
    </row>
    <row r="504" spans="1:9" x14ac:dyDescent="0.2">
      <c r="A504">
        <v>10750</v>
      </c>
      <c r="B504" t="s">
        <v>98</v>
      </c>
      <c r="C504">
        <v>9</v>
      </c>
      <c r="D504" s="6">
        <v>35755</v>
      </c>
      <c r="E504" s="6">
        <v>35783</v>
      </c>
      <c r="F504" s="6">
        <v>35758</v>
      </c>
      <c r="G504">
        <v>1</v>
      </c>
      <c r="H504">
        <v>79.3</v>
      </c>
      <c r="I504" t="s">
        <v>102</v>
      </c>
    </row>
    <row r="505" spans="1:9" x14ac:dyDescent="0.2">
      <c r="A505">
        <v>10751</v>
      </c>
      <c r="B505" t="s">
        <v>47</v>
      </c>
      <c r="C505">
        <v>3</v>
      </c>
      <c r="D505" s="6">
        <v>35758</v>
      </c>
      <c r="E505" s="6">
        <v>35786</v>
      </c>
      <c r="F505" s="6">
        <v>35767</v>
      </c>
      <c r="G505">
        <v>3</v>
      </c>
      <c r="H505">
        <v>130.79</v>
      </c>
      <c r="I505" t="s">
        <v>46</v>
      </c>
    </row>
    <row r="506" spans="1:9" x14ac:dyDescent="0.2">
      <c r="A506">
        <v>10752</v>
      </c>
      <c r="B506" t="s">
        <v>373</v>
      </c>
      <c r="C506">
        <v>2</v>
      </c>
      <c r="D506" s="6">
        <v>35758</v>
      </c>
      <c r="E506" s="6">
        <v>35786</v>
      </c>
      <c r="F506" s="6">
        <v>35762</v>
      </c>
      <c r="G506">
        <v>3</v>
      </c>
      <c r="H506">
        <v>1.39</v>
      </c>
      <c r="I506" t="s">
        <v>173</v>
      </c>
    </row>
    <row r="507" spans="1:9" x14ac:dyDescent="0.2">
      <c r="A507">
        <v>10753</v>
      </c>
      <c r="B507" t="s">
        <v>344</v>
      </c>
      <c r="C507">
        <v>3</v>
      </c>
      <c r="D507" s="6">
        <v>35759</v>
      </c>
      <c r="E507" s="6">
        <v>35787</v>
      </c>
      <c r="F507" s="6">
        <v>35761</v>
      </c>
      <c r="G507">
        <v>1</v>
      </c>
      <c r="H507">
        <v>7.7</v>
      </c>
      <c r="I507" t="s">
        <v>131</v>
      </c>
    </row>
    <row r="508" spans="1:9" x14ac:dyDescent="0.2">
      <c r="A508">
        <v>10754</v>
      </c>
      <c r="B508" t="s">
        <v>127</v>
      </c>
      <c r="C508">
        <v>6</v>
      </c>
      <c r="D508" s="6">
        <v>35759</v>
      </c>
      <c r="E508" s="6">
        <v>35787</v>
      </c>
      <c r="F508" s="6">
        <v>35761</v>
      </c>
      <c r="G508">
        <v>3</v>
      </c>
      <c r="H508">
        <v>2.38</v>
      </c>
      <c r="I508" t="s">
        <v>131</v>
      </c>
    </row>
    <row r="509" spans="1:9" x14ac:dyDescent="0.2">
      <c r="A509">
        <v>10755</v>
      </c>
      <c r="B509" t="s">
        <v>244</v>
      </c>
      <c r="C509">
        <v>4</v>
      </c>
      <c r="D509" s="6">
        <v>35760</v>
      </c>
      <c r="E509" s="6">
        <v>35788</v>
      </c>
      <c r="F509" s="6">
        <v>35762</v>
      </c>
      <c r="G509">
        <v>2</v>
      </c>
      <c r="H509">
        <v>16.71</v>
      </c>
      <c r="I509" t="s">
        <v>19</v>
      </c>
    </row>
    <row r="510" spans="1:9" x14ac:dyDescent="0.2">
      <c r="A510">
        <v>10756</v>
      </c>
      <c r="B510" t="s">
        <v>117</v>
      </c>
      <c r="C510">
        <v>8</v>
      </c>
      <c r="D510" s="6">
        <v>35761</v>
      </c>
      <c r="E510" s="6">
        <v>35789</v>
      </c>
      <c r="F510" s="6">
        <v>35766</v>
      </c>
      <c r="G510">
        <v>2</v>
      </c>
      <c r="H510">
        <v>73.209999999999994</v>
      </c>
      <c r="I510" t="s">
        <v>87</v>
      </c>
    </row>
    <row r="511" spans="1:9" x14ac:dyDescent="0.2">
      <c r="A511">
        <v>10757</v>
      </c>
      <c r="B511" t="s">
        <v>231</v>
      </c>
      <c r="C511">
        <v>6</v>
      </c>
      <c r="D511" s="6">
        <v>35761</v>
      </c>
      <c r="E511" s="6">
        <v>35789</v>
      </c>
      <c r="F511" s="6">
        <v>35779</v>
      </c>
      <c r="G511">
        <v>1</v>
      </c>
      <c r="H511">
        <v>8.19</v>
      </c>
      <c r="I511" t="s">
        <v>87</v>
      </c>
    </row>
    <row r="512" spans="1:9" x14ac:dyDescent="0.2">
      <c r="A512">
        <v>10758</v>
      </c>
      <c r="B512" t="s">
        <v>47</v>
      </c>
      <c r="C512">
        <v>3</v>
      </c>
      <c r="D512" s="6">
        <v>35762</v>
      </c>
      <c r="E512" s="6">
        <v>35790</v>
      </c>
      <c r="F512" s="6">
        <v>35768</v>
      </c>
      <c r="G512">
        <v>3</v>
      </c>
      <c r="H512">
        <v>138.16999999999999</v>
      </c>
      <c r="I512" t="s">
        <v>46</v>
      </c>
    </row>
    <row r="513" spans="1:9" x14ac:dyDescent="0.2">
      <c r="A513">
        <v>10759</v>
      </c>
      <c r="B513" t="s">
        <v>207</v>
      </c>
      <c r="C513">
        <v>3</v>
      </c>
      <c r="D513" s="6">
        <v>35762</v>
      </c>
      <c r="E513" s="6">
        <v>35790</v>
      </c>
      <c r="F513" s="6">
        <v>35776</v>
      </c>
      <c r="G513">
        <v>3</v>
      </c>
      <c r="H513">
        <v>11.99</v>
      </c>
      <c r="I513" t="s">
        <v>73</v>
      </c>
    </row>
    <row r="514" spans="1:9" x14ac:dyDescent="0.2">
      <c r="A514">
        <v>10760</v>
      </c>
      <c r="B514" t="s">
        <v>384</v>
      </c>
      <c r="C514">
        <v>4</v>
      </c>
      <c r="D514" s="6">
        <v>35765</v>
      </c>
      <c r="E514" s="6">
        <v>35793</v>
      </c>
      <c r="F514" s="6">
        <v>35774</v>
      </c>
      <c r="G514">
        <v>1</v>
      </c>
      <c r="H514">
        <v>155.63999999999999</v>
      </c>
      <c r="I514" t="s">
        <v>41</v>
      </c>
    </row>
    <row r="515" spans="1:9" x14ac:dyDescent="0.2">
      <c r="A515">
        <v>10761</v>
      </c>
      <c r="B515" t="s">
        <v>82</v>
      </c>
      <c r="C515">
        <v>5</v>
      </c>
      <c r="D515" s="6">
        <v>35766</v>
      </c>
      <c r="E515" s="6">
        <v>35794</v>
      </c>
      <c r="F515" s="6">
        <v>35772</v>
      </c>
      <c r="G515">
        <v>2</v>
      </c>
      <c r="H515">
        <v>18.66</v>
      </c>
      <c r="I515" t="s">
        <v>87</v>
      </c>
    </row>
    <row r="516" spans="1:9" x14ac:dyDescent="0.2">
      <c r="A516">
        <v>10762</v>
      </c>
      <c r="B516" t="s">
        <v>88</v>
      </c>
      <c r="C516">
        <v>3</v>
      </c>
      <c r="D516" s="6">
        <v>35766</v>
      </c>
      <c r="E516" s="6">
        <v>35794</v>
      </c>
      <c r="F516" s="6">
        <v>35773</v>
      </c>
      <c r="G516">
        <v>1</v>
      </c>
      <c r="H516">
        <v>328.74</v>
      </c>
      <c r="I516" t="s">
        <v>93</v>
      </c>
    </row>
    <row r="517" spans="1:9" x14ac:dyDescent="0.2">
      <c r="A517">
        <v>10763</v>
      </c>
      <c r="B517" t="s">
        <v>335</v>
      </c>
      <c r="C517">
        <v>3</v>
      </c>
      <c r="D517" s="6">
        <v>35767</v>
      </c>
      <c r="E517" s="6">
        <v>35795</v>
      </c>
      <c r="F517" s="6">
        <v>35772</v>
      </c>
      <c r="G517">
        <v>3</v>
      </c>
      <c r="H517">
        <v>37.35</v>
      </c>
      <c r="I517" t="s">
        <v>19</v>
      </c>
    </row>
    <row r="518" spans="1:9" x14ac:dyDescent="0.2">
      <c r="A518">
        <v>10764</v>
      </c>
      <c r="B518" t="s">
        <v>63</v>
      </c>
      <c r="C518">
        <v>6</v>
      </c>
      <c r="D518" s="6">
        <v>35767</v>
      </c>
      <c r="E518" s="6">
        <v>35795</v>
      </c>
      <c r="F518" s="6">
        <v>35772</v>
      </c>
      <c r="G518">
        <v>3</v>
      </c>
      <c r="H518">
        <v>145.44999999999999</v>
      </c>
      <c r="I518" t="s">
        <v>67</v>
      </c>
    </row>
    <row r="519" spans="1:9" x14ac:dyDescent="0.2">
      <c r="A519">
        <v>10765</v>
      </c>
      <c r="B519" t="s">
        <v>122</v>
      </c>
      <c r="C519">
        <v>3</v>
      </c>
      <c r="D519" s="6">
        <v>35768</v>
      </c>
      <c r="E519" s="6">
        <v>35796</v>
      </c>
      <c r="F519" s="6">
        <v>35773</v>
      </c>
      <c r="G519">
        <v>3</v>
      </c>
      <c r="H519">
        <v>42.74</v>
      </c>
      <c r="I519" t="s">
        <v>24</v>
      </c>
    </row>
    <row r="520" spans="1:9" x14ac:dyDescent="0.2">
      <c r="A520">
        <v>10766</v>
      </c>
      <c r="B520" t="s">
        <v>74</v>
      </c>
      <c r="C520">
        <v>4</v>
      </c>
      <c r="D520" s="6">
        <v>35769</v>
      </c>
      <c r="E520" s="6">
        <v>35797</v>
      </c>
      <c r="F520" s="6">
        <v>35773</v>
      </c>
      <c r="G520">
        <v>1</v>
      </c>
      <c r="H520">
        <v>157.55000000000001</v>
      </c>
      <c r="I520" t="s">
        <v>24</v>
      </c>
    </row>
    <row r="521" spans="1:9" x14ac:dyDescent="0.2">
      <c r="A521">
        <v>10767</v>
      </c>
      <c r="B521" t="s">
        <v>36</v>
      </c>
      <c r="C521">
        <v>4</v>
      </c>
      <c r="D521" s="6">
        <v>35769</v>
      </c>
      <c r="E521" s="6">
        <v>35797</v>
      </c>
      <c r="F521" s="6">
        <v>35779</v>
      </c>
      <c r="G521">
        <v>3</v>
      </c>
      <c r="H521">
        <v>1.59</v>
      </c>
      <c r="I521" t="s">
        <v>41</v>
      </c>
    </row>
    <row r="522" spans="1:9" x14ac:dyDescent="0.2">
      <c r="A522">
        <v>10768</v>
      </c>
      <c r="B522" t="s">
        <v>275</v>
      </c>
      <c r="C522">
        <v>3</v>
      </c>
      <c r="D522" s="6">
        <v>35772</v>
      </c>
      <c r="E522" s="6">
        <v>35800</v>
      </c>
      <c r="F522" s="6">
        <v>35779</v>
      </c>
      <c r="G522">
        <v>2</v>
      </c>
      <c r="H522">
        <v>146.32</v>
      </c>
      <c r="I522" t="s">
        <v>173</v>
      </c>
    </row>
    <row r="523" spans="1:9" x14ac:dyDescent="0.2">
      <c r="A523">
        <v>10769</v>
      </c>
      <c r="B523" t="s">
        <v>301</v>
      </c>
      <c r="C523">
        <v>3</v>
      </c>
      <c r="D523" s="6">
        <v>35772</v>
      </c>
      <c r="E523" s="6">
        <v>35800</v>
      </c>
      <c r="F523" s="6">
        <v>35776</v>
      </c>
      <c r="G523">
        <v>1</v>
      </c>
      <c r="H523">
        <v>65.06</v>
      </c>
      <c r="I523" t="s">
        <v>262</v>
      </c>
    </row>
    <row r="524" spans="1:9" x14ac:dyDescent="0.2">
      <c r="A524">
        <v>10770</v>
      </c>
      <c r="B524" t="s">
        <v>25</v>
      </c>
      <c r="C524">
        <v>8</v>
      </c>
      <c r="D524" s="6">
        <v>35773</v>
      </c>
      <c r="E524" s="6">
        <v>35801</v>
      </c>
      <c r="F524" s="6">
        <v>35781</v>
      </c>
      <c r="G524">
        <v>3</v>
      </c>
      <c r="H524">
        <v>5.32</v>
      </c>
      <c r="I524" t="s">
        <v>31</v>
      </c>
    </row>
    <row r="525" spans="1:9" x14ac:dyDescent="0.2">
      <c r="A525">
        <v>10771</v>
      </c>
      <c r="B525" t="s">
        <v>63</v>
      </c>
      <c r="C525">
        <v>9</v>
      </c>
      <c r="D525" s="6">
        <v>35774</v>
      </c>
      <c r="E525" s="6">
        <v>35802</v>
      </c>
      <c r="F525" s="6">
        <v>35797</v>
      </c>
      <c r="G525">
        <v>2</v>
      </c>
      <c r="H525">
        <v>11.19</v>
      </c>
      <c r="I525" t="s">
        <v>67</v>
      </c>
    </row>
    <row r="526" spans="1:9" x14ac:dyDescent="0.2">
      <c r="A526">
        <v>10772</v>
      </c>
      <c r="B526" t="s">
        <v>146</v>
      </c>
      <c r="C526">
        <v>3</v>
      </c>
      <c r="D526" s="6">
        <v>35774</v>
      </c>
      <c r="E526" s="6">
        <v>35802</v>
      </c>
      <c r="F526" s="6">
        <v>35783</v>
      </c>
      <c r="G526">
        <v>2</v>
      </c>
      <c r="H526">
        <v>91.28</v>
      </c>
      <c r="I526" t="s">
        <v>24</v>
      </c>
    </row>
    <row r="527" spans="1:9" x14ac:dyDescent="0.2">
      <c r="A527">
        <v>10773</v>
      </c>
      <c r="B527" t="s">
        <v>63</v>
      </c>
      <c r="C527">
        <v>1</v>
      </c>
      <c r="D527" s="6">
        <v>35775</v>
      </c>
      <c r="E527" s="6">
        <v>35803</v>
      </c>
      <c r="F527" s="6">
        <v>35780</v>
      </c>
      <c r="G527">
        <v>3</v>
      </c>
      <c r="H527">
        <v>96.43</v>
      </c>
      <c r="I527" t="s">
        <v>67</v>
      </c>
    </row>
    <row r="528" spans="1:9" x14ac:dyDescent="0.2">
      <c r="A528">
        <v>10774</v>
      </c>
      <c r="B528" t="s">
        <v>88</v>
      </c>
      <c r="C528">
        <v>4</v>
      </c>
      <c r="D528" s="6">
        <v>35775</v>
      </c>
      <c r="E528" s="6">
        <v>35789</v>
      </c>
      <c r="F528" s="6">
        <v>35776</v>
      </c>
      <c r="G528">
        <v>1</v>
      </c>
      <c r="H528">
        <v>48.2</v>
      </c>
      <c r="I528" t="s">
        <v>93</v>
      </c>
    </row>
    <row r="529" spans="1:9" x14ac:dyDescent="0.2">
      <c r="A529">
        <v>10775</v>
      </c>
      <c r="B529" t="s">
        <v>402</v>
      </c>
      <c r="C529">
        <v>7</v>
      </c>
      <c r="D529" s="6">
        <v>35776</v>
      </c>
      <c r="E529" s="6">
        <v>35804</v>
      </c>
      <c r="F529" s="6">
        <v>35790</v>
      </c>
      <c r="G529">
        <v>1</v>
      </c>
      <c r="H529">
        <v>20.25</v>
      </c>
      <c r="I529" t="s">
        <v>87</v>
      </c>
    </row>
    <row r="530" spans="1:9" x14ac:dyDescent="0.2">
      <c r="A530">
        <v>10776</v>
      </c>
      <c r="B530" t="s">
        <v>63</v>
      </c>
      <c r="C530">
        <v>1</v>
      </c>
      <c r="D530" s="6">
        <v>35779</v>
      </c>
      <c r="E530" s="6">
        <v>35807</v>
      </c>
      <c r="F530" s="6">
        <v>35782</v>
      </c>
      <c r="G530">
        <v>3</v>
      </c>
      <c r="H530">
        <v>351.53</v>
      </c>
      <c r="I530" t="s">
        <v>67</v>
      </c>
    </row>
    <row r="531" spans="1:9" x14ac:dyDescent="0.2">
      <c r="A531">
        <v>10777</v>
      </c>
      <c r="B531" t="s">
        <v>348</v>
      </c>
      <c r="C531">
        <v>7</v>
      </c>
      <c r="D531" s="6">
        <v>35779</v>
      </c>
      <c r="E531" s="6">
        <v>35793</v>
      </c>
      <c r="F531" s="6">
        <v>35816</v>
      </c>
      <c r="G531">
        <v>2</v>
      </c>
      <c r="H531">
        <v>3.01</v>
      </c>
      <c r="I531" t="s">
        <v>31</v>
      </c>
    </row>
    <row r="532" spans="1:9" x14ac:dyDescent="0.2">
      <c r="A532">
        <v>10778</v>
      </c>
      <c r="B532" t="s">
        <v>141</v>
      </c>
      <c r="C532">
        <v>3</v>
      </c>
      <c r="D532" s="6">
        <v>35780</v>
      </c>
      <c r="E532" s="6">
        <v>35808</v>
      </c>
      <c r="F532" s="6">
        <v>35788</v>
      </c>
      <c r="G532">
        <v>1</v>
      </c>
      <c r="H532">
        <v>6.79</v>
      </c>
      <c r="I532" t="s">
        <v>93</v>
      </c>
    </row>
    <row r="533" spans="1:9" x14ac:dyDescent="0.2">
      <c r="A533">
        <v>10779</v>
      </c>
      <c r="B533" t="s">
        <v>136</v>
      </c>
      <c r="C533">
        <v>3</v>
      </c>
      <c r="D533" s="6">
        <v>35780</v>
      </c>
      <c r="E533" s="6">
        <v>35808</v>
      </c>
      <c r="F533" s="6">
        <v>35809</v>
      </c>
      <c r="G533">
        <v>2</v>
      </c>
      <c r="H533">
        <v>58.13</v>
      </c>
      <c r="I533" t="s">
        <v>24</v>
      </c>
    </row>
    <row r="534" spans="1:9" x14ac:dyDescent="0.2">
      <c r="A534">
        <v>10780</v>
      </c>
      <c r="B534" t="s">
        <v>155</v>
      </c>
      <c r="C534">
        <v>2</v>
      </c>
      <c r="D534" s="6">
        <v>35780</v>
      </c>
      <c r="E534" s="6">
        <v>35794</v>
      </c>
      <c r="F534" s="6">
        <v>35789</v>
      </c>
      <c r="G534">
        <v>1</v>
      </c>
      <c r="H534">
        <v>42.13</v>
      </c>
      <c r="I534" t="s">
        <v>62</v>
      </c>
    </row>
    <row r="535" spans="1:9" x14ac:dyDescent="0.2">
      <c r="A535">
        <v>10781</v>
      </c>
      <c r="B535" t="s">
        <v>98</v>
      </c>
      <c r="C535">
        <v>2</v>
      </c>
      <c r="D535" s="6">
        <v>35781</v>
      </c>
      <c r="E535" s="6">
        <v>35809</v>
      </c>
      <c r="F535" s="6">
        <v>35783</v>
      </c>
      <c r="G535">
        <v>3</v>
      </c>
      <c r="H535">
        <v>73.16</v>
      </c>
      <c r="I535" t="s">
        <v>102</v>
      </c>
    </row>
    <row r="536" spans="1:9" x14ac:dyDescent="0.2">
      <c r="A536">
        <v>10782</v>
      </c>
      <c r="B536" t="s">
        <v>377</v>
      </c>
      <c r="C536">
        <v>9</v>
      </c>
      <c r="D536" s="6">
        <v>35781</v>
      </c>
      <c r="E536" s="6">
        <v>35809</v>
      </c>
      <c r="F536" s="6">
        <v>35786</v>
      </c>
      <c r="G536">
        <v>3</v>
      </c>
      <c r="H536">
        <v>1.1000000000000001</v>
      </c>
      <c r="I536" t="s">
        <v>343</v>
      </c>
    </row>
    <row r="537" spans="1:9" x14ac:dyDescent="0.2">
      <c r="A537">
        <v>10783</v>
      </c>
      <c r="B537" t="s">
        <v>25</v>
      </c>
      <c r="C537">
        <v>4</v>
      </c>
      <c r="D537" s="6">
        <v>35782</v>
      </c>
      <c r="E537" s="6">
        <v>35810</v>
      </c>
      <c r="F537" s="6">
        <v>35783</v>
      </c>
      <c r="G537">
        <v>2</v>
      </c>
      <c r="H537">
        <v>124.98</v>
      </c>
      <c r="I537" t="s">
        <v>31</v>
      </c>
    </row>
    <row r="538" spans="1:9" x14ac:dyDescent="0.2">
      <c r="A538">
        <v>10784</v>
      </c>
      <c r="B538" t="s">
        <v>127</v>
      </c>
      <c r="C538">
        <v>4</v>
      </c>
      <c r="D538" s="6">
        <v>35782</v>
      </c>
      <c r="E538" s="6">
        <v>35810</v>
      </c>
      <c r="F538" s="6">
        <v>35786</v>
      </c>
      <c r="G538">
        <v>3</v>
      </c>
      <c r="H538">
        <v>70.09</v>
      </c>
      <c r="I538" t="s">
        <v>131</v>
      </c>
    </row>
    <row r="539" spans="1:9" x14ac:dyDescent="0.2">
      <c r="A539">
        <v>10785</v>
      </c>
      <c r="B539" t="s">
        <v>107</v>
      </c>
      <c r="C539">
        <v>1</v>
      </c>
      <c r="D539" s="6">
        <v>35782</v>
      </c>
      <c r="E539" s="6">
        <v>35810</v>
      </c>
      <c r="F539" s="6">
        <v>35788</v>
      </c>
      <c r="G539">
        <v>3</v>
      </c>
      <c r="H539">
        <v>1.51</v>
      </c>
      <c r="I539" t="s">
        <v>62</v>
      </c>
    </row>
    <row r="540" spans="1:9" x14ac:dyDescent="0.2">
      <c r="A540">
        <v>10786</v>
      </c>
      <c r="B540" t="s">
        <v>305</v>
      </c>
      <c r="C540">
        <v>8</v>
      </c>
      <c r="D540" s="6">
        <v>35783</v>
      </c>
      <c r="E540" s="6">
        <v>35811</v>
      </c>
      <c r="F540" s="6">
        <v>35787</v>
      </c>
      <c r="G540">
        <v>1</v>
      </c>
      <c r="H540">
        <v>110.87</v>
      </c>
      <c r="I540" t="s">
        <v>31</v>
      </c>
    </row>
    <row r="541" spans="1:9" x14ac:dyDescent="0.2">
      <c r="A541">
        <v>10787</v>
      </c>
      <c r="B541" t="s">
        <v>267</v>
      </c>
      <c r="C541">
        <v>2</v>
      </c>
      <c r="D541" s="6">
        <v>35783</v>
      </c>
      <c r="E541" s="6">
        <v>35797</v>
      </c>
      <c r="F541" s="6">
        <v>35790</v>
      </c>
      <c r="G541">
        <v>1</v>
      </c>
      <c r="H541">
        <v>249.93</v>
      </c>
      <c r="I541" t="s">
        <v>19</v>
      </c>
    </row>
    <row r="542" spans="1:9" x14ac:dyDescent="0.2">
      <c r="A542">
        <v>10788</v>
      </c>
      <c r="B542" t="s">
        <v>122</v>
      </c>
      <c r="C542">
        <v>1</v>
      </c>
      <c r="D542" s="6">
        <v>35786</v>
      </c>
      <c r="E542" s="6">
        <v>35814</v>
      </c>
      <c r="F542" s="6">
        <v>35814</v>
      </c>
      <c r="G542">
        <v>2</v>
      </c>
      <c r="H542">
        <v>42.7</v>
      </c>
      <c r="I542" t="s">
        <v>24</v>
      </c>
    </row>
    <row r="543" spans="1:9" x14ac:dyDescent="0.2">
      <c r="A543">
        <v>10789</v>
      </c>
      <c r="B543" t="s">
        <v>335</v>
      </c>
      <c r="C543">
        <v>1</v>
      </c>
      <c r="D543" s="6">
        <v>35786</v>
      </c>
      <c r="E543" s="6">
        <v>35814</v>
      </c>
      <c r="F543" s="6">
        <v>35795</v>
      </c>
      <c r="G543">
        <v>2</v>
      </c>
      <c r="H543">
        <v>100.6</v>
      </c>
      <c r="I543" t="s">
        <v>19</v>
      </c>
    </row>
    <row r="544" spans="1:9" x14ac:dyDescent="0.2">
      <c r="A544">
        <v>10790</v>
      </c>
      <c r="B544" t="s">
        <v>348</v>
      </c>
      <c r="C544">
        <v>6</v>
      </c>
      <c r="D544" s="6">
        <v>35786</v>
      </c>
      <c r="E544" s="6">
        <v>35814</v>
      </c>
      <c r="F544" s="6">
        <v>35790</v>
      </c>
      <c r="G544">
        <v>1</v>
      </c>
      <c r="H544">
        <v>28.23</v>
      </c>
      <c r="I544" t="s">
        <v>31</v>
      </c>
    </row>
    <row r="545" spans="1:9" x14ac:dyDescent="0.2">
      <c r="A545">
        <v>10791</v>
      </c>
      <c r="B545" t="s">
        <v>103</v>
      </c>
      <c r="C545">
        <v>6</v>
      </c>
      <c r="D545" s="6">
        <v>35787</v>
      </c>
      <c r="E545" s="6">
        <v>35815</v>
      </c>
      <c r="F545" s="6">
        <v>35796</v>
      </c>
      <c r="G545">
        <v>2</v>
      </c>
      <c r="H545">
        <v>16.850000000000001</v>
      </c>
      <c r="I545" t="s">
        <v>24</v>
      </c>
    </row>
    <row r="546" spans="1:9" x14ac:dyDescent="0.2">
      <c r="A546">
        <v>10792</v>
      </c>
      <c r="B546" t="s">
        <v>309</v>
      </c>
      <c r="C546">
        <v>1</v>
      </c>
      <c r="D546" s="6">
        <v>35787</v>
      </c>
      <c r="E546" s="6">
        <v>35815</v>
      </c>
      <c r="F546" s="6">
        <v>35795</v>
      </c>
      <c r="G546">
        <v>3</v>
      </c>
      <c r="H546">
        <v>23.79</v>
      </c>
      <c r="I546" t="s">
        <v>314</v>
      </c>
    </row>
    <row r="547" spans="1:9" x14ac:dyDescent="0.2">
      <c r="A547">
        <v>10793</v>
      </c>
      <c r="B547" t="s">
        <v>275</v>
      </c>
      <c r="C547">
        <v>3</v>
      </c>
      <c r="D547" s="6">
        <v>35788</v>
      </c>
      <c r="E547" s="6">
        <v>35816</v>
      </c>
      <c r="F547" s="6">
        <v>35803</v>
      </c>
      <c r="G547">
        <v>3</v>
      </c>
      <c r="H547">
        <v>4.5199999999999996</v>
      </c>
      <c r="I547" t="s">
        <v>173</v>
      </c>
    </row>
    <row r="548" spans="1:9" x14ac:dyDescent="0.2">
      <c r="A548">
        <v>10794</v>
      </c>
      <c r="B548" t="s">
        <v>78</v>
      </c>
      <c r="C548">
        <v>6</v>
      </c>
      <c r="D548" s="6">
        <v>35788</v>
      </c>
      <c r="E548" s="6">
        <v>35816</v>
      </c>
      <c r="F548" s="6">
        <v>35797</v>
      </c>
      <c r="G548">
        <v>1</v>
      </c>
      <c r="H548">
        <v>21.49</v>
      </c>
      <c r="I548" t="s">
        <v>31</v>
      </c>
    </row>
    <row r="549" spans="1:9" x14ac:dyDescent="0.2">
      <c r="A549">
        <v>10795</v>
      </c>
      <c r="B549" t="s">
        <v>63</v>
      </c>
      <c r="C549">
        <v>8</v>
      </c>
      <c r="D549" s="6">
        <v>35788</v>
      </c>
      <c r="E549" s="6">
        <v>35816</v>
      </c>
      <c r="F549" s="6">
        <v>35815</v>
      </c>
      <c r="G549">
        <v>2</v>
      </c>
      <c r="H549">
        <v>126.66</v>
      </c>
      <c r="I549" t="s">
        <v>67</v>
      </c>
    </row>
    <row r="550" spans="1:9" x14ac:dyDescent="0.2">
      <c r="A550">
        <v>10796</v>
      </c>
      <c r="B550" t="s">
        <v>57</v>
      </c>
      <c r="C550">
        <v>3</v>
      </c>
      <c r="D550" s="6">
        <v>35789</v>
      </c>
      <c r="E550" s="6">
        <v>35817</v>
      </c>
      <c r="F550" s="6">
        <v>35809</v>
      </c>
      <c r="G550">
        <v>1</v>
      </c>
      <c r="H550">
        <v>26.52</v>
      </c>
      <c r="I550" t="s">
        <v>62</v>
      </c>
    </row>
    <row r="551" spans="1:9" x14ac:dyDescent="0.2">
      <c r="A551">
        <v>10797</v>
      </c>
      <c r="B551" t="s">
        <v>285</v>
      </c>
      <c r="C551">
        <v>7</v>
      </c>
      <c r="D551" s="6">
        <v>35789</v>
      </c>
      <c r="E551" s="6">
        <v>35817</v>
      </c>
      <c r="F551" s="6">
        <v>35800</v>
      </c>
      <c r="G551">
        <v>2</v>
      </c>
      <c r="H551">
        <v>33.35</v>
      </c>
      <c r="I551" t="s">
        <v>24</v>
      </c>
    </row>
    <row r="552" spans="1:9" x14ac:dyDescent="0.2">
      <c r="A552">
        <v>10798</v>
      </c>
      <c r="B552" t="s">
        <v>218</v>
      </c>
      <c r="C552">
        <v>2</v>
      </c>
      <c r="D552" s="6">
        <v>35790</v>
      </c>
      <c r="E552" s="6">
        <v>35818</v>
      </c>
      <c r="F552" s="6">
        <v>35800</v>
      </c>
      <c r="G552">
        <v>1</v>
      </c>
      <c r="H552">
        <v>2.33</v>
      </c>
      <c r="I552" t="s">
        <v>173</v>
      </c>
    </row>
    <row r="553" spans="1:9" x14ac:dyDescent="0.2">
      <c r="A553">
        <v>10799</v>
      </c>
      <c r="B553" t="s">
        <v>227</v>
      </c>
      <c r="C553">
        <v>9</v>
      </c>
      <c r="D553" s="6">
        <v>35790</v>
      </c>
      <c r="E553" s="6">
        <v>35832</v>
      </c>
      <c r="F553" s="6">
        <v>35800</v>
      </c>
      <c r="G553">
        <v>3</v>
      </c>
      <c r="H553">
        <v>30.76</v>
      </c>
      <c r="I553" t="s">
        <v>24</v>
      </c>
    </row>
    <row r="554" spans="1:9" x14ac:dyDescent="0.2">
      <c r="A554">
        <v>10800</v>
      </c>
      <c r="B554" t="s">
        <v>281</v>
      </c>
      <c r="C554">
        <v>1</v>
      </c>
      <c r="D554" s="6">
        <v>35790</v>
      </c>
      <c r="E554" s="6">
        <v>35818</v>
      </c>
      <c r="F554" s="6">
        <v>35800</v>
      </c>
      <c r="G554">
        <v>3</v>
      </c>
      <c r="H554">
        <v>137.44</v>
      </c>
      <c r="I554" t="s">
        <v>173</v>
      </c>
    </row>
    <row r="555" spans="1:9" x14ac:dyDescent="0.2">
      <c r="A555">
        <v>10801</v>
      </c>
      <c r="B555" t="s">
        <v>236</v>
      </c>
      <c r="C555">
        <v>4</v>
      </c>
      <c r="D555" s="6">
        <v>35793</v>
      </c>
      <c r="E555" s="6">
        <v>35821</v>
      </c>
      <c r="F555" s="6">
        <v>35795</v>
      </c>
      <c r="G555">
        <v>2</v>
      </c>
      <c r="H555">
        <v>97.09</v>
      </c>
      <c r="I555" t="s">
        <v>154</v>
      </c>
    </row>
    <row r="556" spans="1:9" x14ac:dyDescent="0.2">
      <c r="A556">
        <v>10802</v>
      </c>
      <c r="B556" t="s">
        <v>258</v>
      </c>
      <c r="C556">
        <v>4</v>
      </c>
      <c r="D556" s="6">
        <v>35793</v>
      </c>
      <c r="E556" s="6">
        <v>35821</v>
      </c>
      <c r="F556" s="6">
        <v>35797</v>
      </c>
      <c r="G556">
        <v>2</v>
      </c>
      <c r="H556">
        <v>257.26</v>
      </c>
      <c r="I556" t="s">
        <v>262</v>
      </c>
    </row>
    <row r="557" spans="1:9" x14ac:dyDescent="0.2">
      <c r="A557">
        <v>10803</v>
      </c>
      <c r="B557" t="s">
        <v>51</v>
      </c>
      <c r="C557">
        <v>4</v>
      </c>
      <c r="D557" s="6">
        <v>35794</v>
      </c>
      <c r="E557" s="6">
        <v>35822</v>
      </c>
      <c r="F557" s="6">
        <v>35801</v>
      </c>
      <c r="G557">
        <v>1</v>
      </c>
      <c r="H557">
        <v>55.23</v>
      </c>
      <c r="I557" t="s">
        <v>31</v>
      </c>
    </row>
    <row r="558" spans="1:9" x14ac:dyDescent="0.2">
      <c r="A558">
        <v>10804</v>
      </c>
      <c r="B558" t="s">
        <v>281</v>
      </c>
      <c r="C558">
        <v>6</v>
      </c>
      <c r="D558" s="6">
        <v>35794</v>
      </c>
      <c r="E558" s="6">
        <v>35822</v>
      </c>
      <c r="F558" s="6">
        <v>35802</v>
      </c>
      <c r="G558">
        <v>2</v>
      </c>
      <c r="H558">
        <v>27.33</v>
      </c>
      <c r="I558" t="s">
        <v>173</v>
      </c>
    </row>
    <row r="559" spans="1:9" x14ac:dyDescent="0.2">
      <c r="A559">
        <v>10805</v>
      </c>
      <c r="B559" t="s">
        <v>211</v>
      </c>
      <c r="C559">
        <v>2</v>
      </c>
      <c r="D559" s="6">
        <v>35794</v>
      </c>
      <c r="E559" s="6">
        <v>35822</v>
      </c>
      <c r="F559" s="6">
        <v>35804</v>
      </c>
      <c r="G559">
        <v>3</v>
      </c>
      <c r="H559">
        <v>237.34</v>
      </c>
      <c r="I559" t="s">
        <v>87</v>
      </c>
    </row>
    <row r="560" spans="1:9" x14ac:dyDescent="0.2">
      <c r="A560">
        <v>10806</v>
      </c>
      <c r="B560" t="s">
        <v>32</v>
      </c>
      <c r="C560">
        <v>3</v>
      </c>
      <c r="D560" s="6">
        <v>35795</v>
      </c>
      <c r="E560" s="6">
        <v>35823</v>
      </c>
      <c r="F560" s="6">
        <v>35800</v>
      </c>
      <c r="G560">
        <v>2</v>
      </c>
      <c r="H560">
        <v>22.11</v>
      </c>
      <c r="I560" t="s">
        <v>19</v>
      </c>
    </row>
    <row r="561" spans="1:9" x14ac:dyDescent="0.2">
      <c r="A561">
        <v>10807</v>
      </c>
      <c r="B561" t="s">
        <v>344</v>
      </c>
      <c r="C561">
        <v>4</v>
      </c>
      <c r="D561" s="6">
        <v>35795</v>
      </c>
      <c r="E561" s="6">
        <v>35823</v>
      </c>
      <c r="F561" s="6">
        <v>35825</v>
      </c>
      <c r="G561">
        <v>1</v>
      </c>
      <c r="H561">
        <v>1.36</v>
      </c>
      <c r="I561" t="s">
        <v>131</v>
      </c>
    </row>
    <row r="562" spans="1:9" x14ac:dyDescent="0.2">
      <c r="A562">
        <v>10808</v>
      </c>
      <c r="B562" t="s">
        <v>197</v>
      </c>
      <c r="C562">
        <v>2</v>
      </c>
      <c r="D562" s="6">
        <v>35796</v>
      </c>
      <c r="E562" s="6">
        <v>35824</v>
      </c>
      <c r="F562" s="6">
        <v>35804</v>
      </c>
      <c r="G562">
        <v>3</v>
      </c>
      <c r="H562">
        <v>45.53</v>
      </c>
      <c r="I562" t="s">
        <v>87</v>
      </c>
    </row>
    <row r="563" spans="1:9" x14ac:dyDescent="0.2">
      <c r="A563">
        <v>10809</v>
      </c>
      <c r="B563" t="s">
        <v>51</v>
      </c>
      <c r="C563">
        <v>7</v>
      </c>
      <c r="D563" s="6">
        <v>35796</v>
      </c>
      <c r="E563" s="6">
        <v>35824</v>
      </c>
      <c r="F563" s="6">
        <v>35802</v>
      </c>
      <c r="G563">
        <v>1</v>
      </c>
      <c r="H563">
        <v>4.87</v>
      </c>
      <c r="I563" t="s">
        <v>31</v>
      </c>
    </row>
    <row r="564" spans="1:9" x14ac:dyDescent="0.2">
      <c r="A564">
        <v>10810</v>
      </c>
      <c r="B564" t="s">
        <v>364</v>
      </c>
      <c r="C564">
        <v>2</v>
      </c>
      <c r="D564" s="6">
        <v>35796</v>
      </c>
      <c r="E564" s="6">
        <v>35824</v>
      </c>
      <c r="F564" s="6">
        <v>35802</v>
      </c>
      <c r="G564">
        <v>3</v>
      </c>
      <c r="H564">
        <v>4.33</v>
      </c>
      <c r="I564" t="s">
        <v>254</v>
      </c>
    </row>
    <row r="565" spans="1:9" x14ac:dyDescent="0.2">
      <c r="A565">
        <v>10811</v>
      </c>
      <c r="B565" t="s">
        <v>330</v>
      </c>
      <c r="C565">
        <v>8</v>
      </c>
      <c r="D565" s="6">
        <v>35797</v>
      </c>
      <c r="E565" s="6">
        <v>35825</v>
      </c>
      <c r="F565" s="6">
        <v>35803</v>
      </c>
      <c r="G565">
        <v>1</v>
      </c>
      <c r="H565">
        <v>31.22</v>
      </c>
      <c r="I565" t="s">
        <v>62</v>
      </c>
    </row>
    <row r="566" spans="1:9" x14ac:dyDescent="0.2">
      <c r="A566">
        <v>10812</v>
      </c>
      <c r="B566" t="s">
        <v>164</v>
      </c>
      <c r="C566">
        <v>5</v>
      </c>
      <c r="D566" s="6">
        <v>35797</v>
      </c>
      <c r="E566" s="6">
        <v>35825</v>
      </c>
      <c r="F566" s="6">
        <v>35807</v>
      </c>
      <c r="G566">
        <v>1</v>
      </c>
      <c r="H566">
        <v>59.78</v>
      </c>
      <c r="I566" t="s">
        <v>131</v>
      </c>
    </row>
    <row r="567" spans="1:9" x14ac:dyDescent="0.2">
      <c r="A567">
        <v>10813</v>
      </c>
      <c r="B567" t="s">
        <v>160</v>
      </c>
      <c r="C567">
        <v>1</v>
      </c>
      <c r="D567" s="6">
        <v>35800</v>
      </c>
      <c r="E567" s="6">
        <v>35828</v>
      </c>
      <c r="F567" s="6">
        <v>35804</v>
      </c>
      <c r="G567">
        <v>1</v>
      </c>
      <c r="H567">
        <v>47.38</v>
      </c>
      <c r="I567" t="s">
        <v>31</v>
      </c>
    </row>
    <row r="568" spans="1:9" x14ac:dyDescent="0.2">
      <c r="A568">
        <v>10814</v>
      </c>
      <c r="B568" t="s">
        <v>32</v>
      </c>
      <c r="C568">
        <v>3</v>
      </c>
      <c r="D568" s="6">
        <v>35800</v>
      </c>
      <c r="E568" s="6">
        <v>35828</v>
      </c>
      <c r="F568" s="6">
        <v>35809</v>
      </c>
      <c r="G568">
        <v>3</v>
      </c>
      <c r="H568">
        <v>130.94</v>
      </c>
      <c r="I568" t="s">
        <v>19</v>
      </c>
    </row>
    <row r="569" spans="1:9" x14ac:dyDescent="0.2">
      <c r="A569">
        <v>10815</v>
      </c>
      <c r="B569" t="s">
        <v>231</v>
      </c>
      <c r="C569">
        <v>2</v>
      </c>
      <c r="D569" s="6">
        <v>35800</v>
      </c>
      <c r="E569" s="6">
        <v>35828</v>
      </c>
      <c r="F569" s="6">
        <v>35809</v>
      </c>
      <c r="G569">
        <v>3</v>
      </c>
      <c r="H569">
        <v>14.62</v>
      </c>
      <c r="I569" t="s">
        <v>87</v>
      </c>
    </row>
    <row r="570" spans="1:9" x14ac:dyDescent="0.2">
      <c r="A570">
        <v>10816</v>
      </c>
      <c r="B570" t="s">
        <v>380</v>
      </c>
      <c r="C570">
        <v>4</v>
      </c>
      <c r="D570" s="6">
        <v>35801</v>
      </c>
      <c r="E570" s="6">
        <v>35829</v>
      </c>
      <c r="F570" s="6">
        <v>35830</v>
      </c>
      <c r="G570">
        <v>2</v>
      </c>
      <c r="H570">
        <v>719.78</v>
      </c>
      <c r="I570" t="s">
        <v>87</v>
      </c>
    </row>
    <row r="571" spans="1:9" x14ac:dyDescent="0.2">
      <c r="A571">
        <v>10817</v>
      </c>
      <c r="B571" t="s">
        <v>227</v>
      </c>
      <c r="C571">
        <v>3</v>
      </c>
      <c r="D571" s="6">
        <v>35801</v>
      </c>
      <c r="E571" s="6">
        <v>35815</v>
      </c>
      <c r="F571" s="6">
        <v>35808</v>
      </c>
      <c r="G571">
        <v>2</v>
      </c>
      <c r="H571">
        <v>306.07</v>
      </c>
      <c r="I571" t="s">
        <v>24</v>
      </c>
    </row>
    <row r="572" spans="1:9" x14ac:dyDescent="0.2">
      <c r="A572">
        <v>10818</v>
      </c>
      <c r="B572" t="s">
        <v>127</v>
      </c>
      <c r="C572">
        <v>7</v>
      </c>
      <c r="D572" s="6">
        <v>35802</v>
      </c>
      <c r="E572" s="6">
        <v>35830</v>
      </c>
      <c r="F572" s="6">
        <v>35807</v>
      </c>
      <c r="G572">
        <v>3</v>
      </c>
      <c r="H572">
        <v>65.48</v>
      </c>
      <c r="I572" t="s">
        <v>131</v>
      </c>
    </row>
    <row r="573" spans="1:9" x14ac:dyDescent="0.2">
      <c r="A573">
        <v>10819</v>
      </c>
      <c r="B573" t="s">
        <v>377</v>
      </c>
      <c r="C573">
        <v>2</v>
      </c>
      <c r="D573" s="6">
        <v>35802</v>
      </c>
      <c r="E573" s="6">
        <v>35830</v>
      </c>
      <c r="F573" s="6">
        <v>35811</v>
      </c>
      <c r="G573">
        <v>3</v>
      </c>
      <c r="H573">
        <v>19.760000000000002</v>
      </c>
      <c r="I573" t="s">
        <v>343</v>
      </c>
    </row>
    <row r="574" spans="1:9" x14ac:dyDescent="0.2">
      <c r="A574">
        <v>10820</v>
      </c>
      <c r="B574" t="s">
        <v>82</v>
      </c>
      <c r="C574">
        <v>3</v>
      </c>
      <c r="D574" s="6">
        <v>35802</v>
      </c>
      <c r="E574" s="6">
        <v>35830</v>
      </c>
      <c r="F574" s="6">
        <v>35808</v>
      </c>
      <c r="G574">
        <v>2</v>
      </c>
      <c r="H574">
        <v>37.520000000000003</v>
      </c>
      <c r="I574" t="s">
        <v>87</v>
      </c>
    </row>
    <row r="575" spans="1:9" x14ac:dyDescent="0.2">
      <c r="A575">
        <v>10821</v>
      </c>
      <c r="B575" t="s">
        <v>117</v>
      </c>
      <c r="C575">
        <v>1</v>
      </c>
      <c r="D575" s="6">
        <v>35803</v>
      </c>
      <c r="E575" s="6">
        <v>35831</v>
      </c>
      <c r="F575" s="6">
        <v>35810</v>
      </c>
      <c r="G575">
        <v>1</v>
      </c>
      <c r="H575">
        <v>36.68</v>
      </c>
      <c r="I575" t="s">
        <v>87</v>
      </c>
    </row>
    <row r="576" spans="1:9" x14ac:dyDescent="0.2">
      <c r="A576">
        <v>10822</v>
      </c>
      <c r="B576" t="s">
        <v>389</v>
      </c>
      <c r="C576">
        <v>6</v>
      </c>
      <c r="D576" s="6">
        <v>35803</v>
      </c>
      <c r="E576" s="6">
        <v>35831</v>
      </c>
      <c r="F576" s="6">
        <v>35811</v>
      </c>
      <c r="G576">
        <v>3</v>
      </c>
      <c r="H576">
        <v>7</v>
      </c>
      <c r="I576" t="s">
        <v>87</v>
      </c>
    </row>
    <row r="577" spans="1:9" x14ac:dyDescent="0.2">
      <c r="A577">
        <v>10823</v>
      </c>
      <c r="B577" t="s">
        <v>155</v>
      </c>
      <c r="C577">
        <v>5</v>
      </c>
      <c r="D577" s="6">
        <v>35804</v>
      </c>
      <c r="E577" s="6">
        <v>35832</v>
      </c>
      <c r="F577" s="6">
        <v>35808</v>
      </c>
      <c r="G577">
        <v>2</v>
      </c>
      <c r="H577">
        <v>163.97</v>
      </c>
      <c r="I577" t="s">
        <v>62</v>
      </c>
    </row>
    <row r="578" spans="1:9" x14ac:dyDescent="0.2">
      <c r="A578">
        <v>10824</v>
      </c>
      <c r="B578" t="s">
        <v>88</v>
      </c>
      <c r="C578">
        <v>8</v>
      </c>
      <c r="D578" s="6">
        <v>35804</v>
      </c>
      <c r="E578" s="6">
        <v>35832</v>
      </c>
      <c r="F578" s="6">
        <v>35825</v>
      </c>
      <c r="G578">
        <v>1</v>
      </c>
      <c r="H578">
        <v>1.23</v>
      </c>
      <c r="I578" t="s">
        <v>93</v>
      </c>
    </row>
    <row r="579" spans="1:9" x14ac:dyDescent="0.2">
      <c r="A579">
        <v>10825</v>
      </c>
      <c r="B579" t="s">
        <v>285</v>
      </c>
      <c r="C579">
        <v>1</v>
      </c>
      <c r="D579" s="6">
        <v>35804</v>
      </c>
      <c r="E579" s="6">
        <v>35832</v>
      </c>
      <c r="F579" s="6">
        <v>35809</v>
      </c>
      <c r="G579">
        <v>1</v>
      </c>
      <c r="H579">
        <v>79.25</v>
      </c>
      <c r="I579" t="s">
        <v>24</v>
      </c>
    </row>
    <row r="580" spans="1:9" x14ac:dyDescent="0.2">
      <c r="A580">
        <v>10826</v>
      </c>
      <c r="B580" t="s">
        <v>94</v>
      </c>
      <c r="C580">
        <v>6</v>
      </c>
      <c r="D580" s="6">
        <v>35807</v>
      </c>
      <c r="E580" s="6">
        <v>35835</v>
      </c>
      <c r="F580" s="6">
        <v>35832</v>
      </c>
      <c r="G580">
        <v>1</v>
      </c>
      <c r="H580">
        <v>7.09</v>
      </c>
      <c r="I580" t="s">
        <v>19</v>
      </c>
    </row>
    <row r="581" spans="1:9" x14ac:dyDescent="0.2">
      <c r="A581">
        <v>10827</v>
      </c>
      <c r="B581" t="s">
        <v>244</v>
      </c>
      <c r="C581">
        <v>1</v>
      </c>
      <c r="D581" s="6">
        <v>35807</v>
      </c>
      <c r="E581" s="6">
        <v>35821</v>
      </c>
      <c r="F581" s="6">
        <v>35832</v>
      </c>
      <c r="G581">
        <v>2</v>
      </c>
      <c r="H581">
        <v>63.54</v>
      </c>
      <c r="I581" t="s">
        <v>19</v>
      </c>
    </row>
    <row r="582" spans="1:9" x14ac:dyDescent="0.2">
      <c r="A582">
        <v>10828</v>
      </c>
      <c r="B582" t="s">
        <v>357</v>
      </c>
      <c r="C582">
        <v>9</v>
      </c>
      <c r="D582" s="6">
        <v>35808</v>
      </c>
      <c r="E582" s="6">
        <v>35822</v>
      </c>
      <c r="F582" s="6">
        <v>35830</v>
      </c>
      <c r="G582">
        <v>1</v>
      </c>
      <c r="H582">
        <v>90.85</v>
      </c>
      <c r="I582" t="s">
        <v>343</v>
      </c>
    </row>
    <row r="583" spans="1:9" x14ac:dyDescent="0.2">
      <c r="A583">
        <v>10829</v>
      </c>
      <c r="B583" t="s">
        <v>218</v>
      </c>
      <c r="C583">
        <v>9</v>
      </c>
      <c r="D583" s="6">
        <v>35808</v>
      </c>
      <c r="E583" s="6">
        <v>35836</v>
      </c>
      <c r="F583" s="6">
        <v>35818</v>
      </c>
      <c r="G583">
        <v>1</v>
      </c>
      <c r="H583">
        <v>154.72</v>
      </c>
      <c r="I583" t="s">
        <v>173</v>
      </c>
    </row>
    <row r="584" spans="1:9" x14ac:dyDescent="0.2">
      <c r="A584">
        <v>10830</v>
      </c>
      <c r="B584" t="s">
        <v>179</v>
      </c>
      <c r="C584">
        <v>4</v>
      </c>
      <c r="D584" s="6">
        <v>35808</v>
      </c>
      <c r="E584" s="6">
        <v>35850</v>
      </c>
      <c r="F584" s="6">
        <v>35816</v>
      </c>
      <c r="G584">
        <v>2</v>
      </c>
      <c r="H584">
        <v>81.83</v>
      </c>
      <c r="I584" t="s">
        <v>31</v>
      </c>
    </row>
    <row r="585" spans="1:9" x14ac:dyDescent="0.2">
      <c r="A585">
        <v>10831</v>
      </c>
      <c r="B585" t="s">
        <v>319</v>
      </c>
      <c r="C585">
        <v>3</v>
      </c>
      <c r="D585" s="6">
        <v>35809</v>
      </c>
      <c r="E585" s="6">
        <v>35837</v>
      </c>
      <c r="F585" s="6">
        <v>35818</v>
      </c>
      <c r="G585">
        <v>2</v>
      </c>
      <c r="H585">
        <v>72.19</v>
      </c>
      <c r="I585" t="s">
        <v>323</v>
      </c>
    </row>
    <row r="586" spans="1:9" x14ac:dyDescent="0.2">
      <c r="A586">
        <v>10832</v>
      </c>
      <c r="B586" t="s">
        <v>267</v>
      </c>
      <c r="C586">
        <v>2</v>
      </c>
      <c r="D586" s="6">
        <v>35809</v>
      </c>
      <c r="E586" s="6">
        <v>35837</v>
      </c>
      <c r="F586" s="6">
        <v>35814</v>
      </c>
      <c r="G586">
        <v>2</v>
      </c>
      <c r="H586">
        <v>43.26</v>
      </c>
      <c r="I586" t="s">
        <v>19</v>
      </c>
    </row>
    <row r="587" spans="1:9" x14ac:dyDescent="0.2">
      <c r="A587">
        <v>10833</v>
      </c>
      <c r="B587" t="s">
        <v>74</v>
      </c>
      <c r="C587">
        <v>6</v>
      </c>
      <c r="D587" s="6">
        <v>35810</v>
      </c>
      <c r="E587" s="6">
        <v>35838</v>
      </c>
      <c r="F587" s="6">
        <v>35818</v>
      </c>
      <c r="G587">
        <v>2</v>
      </c>
      <c r="H587">
        <v>71.489999999999995</v>
      </c>
      <c r="I587" t="s">
        <v>24</v>
      </c>
    </row>
    <row r="588" spans="1:9" x14ac:dyDescent="0.2">
      <c r="A588">
        <v>10834</v>
      </c>
      <c r="B588" t="s">
        <v>179</v>
      </c>
      <c r="C588">
        <v>1</v>
      </c>
      <c r="D588" s="6">
        <v>35810</v>
      </c>
      <c r="E588" s="6">
        <v>35838</v>
      </c>
      <c r="F588" s="6">
        <v>35814</v>
      </c>
      <c r="G588">
        <v>3</v>
      </c>
      <c r="H588">
        <v>29.78</v>
      </c>
      <c r="I588" t="s">
        <v>31</v>
      </c>
    </row>
    <row r="589" spans="1:9" x14ac:dyDescent="0.2">
      <c r="A589">
        <v>10835</v>
      </c>
      <c r="B589" t="s">
        <v>407</v>
      </c>
      <c r="C589">
        <v>1</v>
      </c>
      <c r="D589" s="6">
        <v>35810</v>
      </c>
      <c r="E589" s="6">
        <v>35838</v>
      </c>
      <c r="F589" s="6">
        <v>35816</v>
      </c>
      <c r="G589">
        <v>3</v>
      </c>
      <c r="H589">
        <v>69.53</v>
      </c>
      <c r="I589" t="s">
        <v>24</v>
      </c>
    </row>
    <row r="590" spans="1:9" x14ac:dyDescent="0.2">
      <c r="A590">
        <v>10836</v>
      </c>
      <c r="B590" t="s">
        <v>63</v>
      </c>
      <c r="C590">
        <v>7</v>
      </c>
      <c r="D590" s="6">
        <v>35811</v>
      </c>
      <c r="E590" s="6">
        <v>35839</v>
      </c>
      <c r="F590" s="6">
        <v>35816</v>
      </c>
      <c r="G590">
        <v>1</v>
      </c>
      <c r="H590">
        <v>411.88</v>
      </c>
      <c r="I590" t="s">
        <v>67</v>
      </c>
    </row>
    <row r="591" spans="1:9" x14ac:dyDescent="0.2">
      <c r="A591">
        <v>10837</v>
      </c>
      <c r="B591" t="s">
        <v>141</v>
      </c>
      <c r="C591">
        <v>9</v>
      </c>
      <c r="D591" s="6">
        <v>35811</v>
      </c>
      <c r="E591" s="6">
        <v>35839</v>
      </c>
      <c r="F591" s="6">
        <v>35818</v>
      </c>
      <c r="G591">
        <v>3</v>
      </c>
      <c r="H591">
        <v>13.32</v>
      </c>
      <c r="I591" t="s">
        <v>93</v>
      </c>
    </row>
    <row r="592" spans="1:9" x14ac:dyDescent="0.2">
      <c r="A592">
        <v>10838</v>
      </c>
      <c r="B592" t="s">
        <v>330</v>
      </c>
      <c r="C592">
        <v>3</v>
      </c>
      <c r="D592" s="6">
        <v>35814</v>
      </c>
      <c r="E592" s="6">
        <v>35842</v>
      </c>
      <c r="F592" s="6">
        <v>35818</v>
      </c>
      <c r="G592">
        <v>3</v>
      </c>
      <c r="H592">
        <v>59.28</v>
      </c>
      <c r="I592" t="s">
        <v>62</v>
      </c>
    </row>
    <row r="593" spans="1:9" x14ac:dyDescent="0.2">
      <c r="A593">
        <v>10839</v>
      </c>
      <c r="B593" t="s">
        <v>179</v>
      </c>
      <c r="C593">
        <v>3</v>
      </c>
      <c r="D593" s="6">
        <v>35814</v>
      </c>
      <c r="E593" s="6">
        <v>35842</v>
      </c>
      <c r="F593" s="6">
        <v>35817</v>
      </c>
      <c r="G593">
        <v>3</v>
      </c>
      <c r="H593">
        <v>35.43</v>
      </c>
      <c r="I593" t="s">
        <v>31</v>
      </c>
    </row>
    <row r="594" spans="1:9" x14ac:dyDescent="0.2">
      <c r="A594">
        <v>10840</v>
      </c>
      <c r="B594" t="s">
        <v>330</v>
      </c>
      <c r="C594">
        <v>4</v>
      </c>
      <c r="D594" s="6">
        <v>35814</v>
      </c>
      <c r="E594" s="6">
        <v>35856</v>
      </c>
      <c r="F594" s="6">
        <v>35842</v>
      </c>
      <c r="G594">
        <v>2</v>
      </c>
      <c r="H594">
        <v>2.71</v>
      </c>
      <c r="I594" t="s">
        <v>62</v>
      </c>
    </row>
    <row r="595" spans="1:9" x14ac:dyDescent="0.2">
      <c r="A595">
        <v>10841</v>
      </c>
      <c r="B595" t="s">
        <v>36</v>
      </c>
      <c r="C595">
        <v>5</v>
      </c>
      <c r="D595" s="6">
        <v>35815</v>
      </c>
      <c r="E595" s="6">
        <v>35843</v>
      </c>
      <c r="F595" s="6">
        <v>35824</v>
      </c>
      <c r="G595">
        <v>2</v>
      </c>
      <c r="H595">
        <v>424.3</v>
      </c>
      <c r="I595" t="s">
        <v>41</v>
      </c>
    </row>
    <row r="596" spans="1:9" x14ac:dyDescent="0.2">
      <c r="A596">
        <v>10842</v>
      </c>
      <c r="B596" t="s">
        <v>132</v>
      </c>
      <c r="C596">
        <v>1</v>
      </c>
      <c r="D596" s="6">
        <v>35815</v>
      </c>
      <c r="E596" s="6">
        <v>35843</v>
      </c>
      <c r="F596" s="6">
        <v>35824</v>
      </c>
      <c r="G596">
        <v>3</v>
      </c>
      <c r="H596">
        <v>54.42</v>
      </c>
      <c r="I596" t="s">
        <v>73</v>
      </c>
    </row>
    <row r="597" spans="1:9" x14ac:dyDescent="0.2">
      <c r="A597">
        <v>10843</v>
      </c>
      <c r="B597" t="s">
        <v>32</v>
      </c>
      <c r="C597">
        <v>4</v>
      </c>
      <c r="D597" s="6">
        <v>35816</v>
      </c>
      <c r="E597" s="6">
        <v>35844</v>
      </c>
      <c r="F597" s="6">
        <v>35821</v>
      </c>
      <c r="G597">
        <v>2</v>
      </c>
      <c r="H597">
        <v>9.26</v>
      </c>
      <c r="I597" t="s">
        <v>19</v>
      </c>
    </row>
    <row r="598" spans="1:9" x14ac:dyDescent="0.2">
      <c r="A598">
        <v>10844</v>
      </c>
      <c r="B598" t="s">
        <v>271</v>
      </c>
      <c r="C598">
        <v>8</v>
      </c>
      <c r="D598" s="6">
        <v>35816</v>
      </c>
      <c r="E598" s="6">
        <v>35844</v>
      </c>
      <c r="F598" s="6">
        <v>35821</v>
      </c>
      <c r="G598">
        <v>2</v>
      </c>
      <c r="H598">
        <v>25.22</v>
      </c>
      <c r="I598" t="s">
        <v>67</v>
      </c>
    </row>
    <row r="599" spans="1:9" x14ac:dyDescent="0.2">
      <c r="A599">
        <v>10845</v>
      </c>
      <c r="B599" t="s">
        <v>122</v>
      </c>
      <c r="C599">
        <v>8</v>
      </c>
      <c r="D599" s="6">
        <v>35816</v>
      </c>
      <c r="E599" s="6">
        <v>35830</v>
      </c>
      <c r="F599" s="6">
        <v>35825</v>
      </c>
      <c r="G599">
        <v>1</v>
      </c>
      <c r="H599">
        <v>212.98</v>
      </c>
      <c r="I599" t="s">
        <v>24</v>
      </c>
    </row>
    <row r="600" spans="1:9" x14ac:dyDescent="0.2">
      <c r="A600">
        <v>10846</v>
      </c>
      <c r="B600" t="s">
        <v>36</v>
      </c>
      <c r="C600">
        <v>2</v>
      </c>
      <c r="D600" s="6">
        <v>35817</v>
      </c>
      <c r="E600" s="6">
        <v>35859</v>
      </c>
      <c r="F600" s="6">
        <v>35818</v>
      </c>
      <c r="G600">
        <v>3</v>
      </c>
      <c r="H600">
        <v>56.46</v>
      </c>
      <c r="I600" t="s">
        <v>41</v>
      </c>
    </row>
    <row r="601" spans="1:9" x14ac:dyDescent="0.2">
      <c r="A601">
        <v>10847</v>
      </c>
      <c r="B601" t="s">
        <v>231</v>
      </c>
      <c r="C601">
        <v>4</v>
      </c>
      <c r="D601" s="6">
        <v>35817</v>
      </c>
      <c r="E601" s="6">
        <v>35831</v>
      </c>
      <c r="F601" s="6">
        <v>35836</v>
      </c>
      <c r="G601">
        <v>3</v>
      </c>
      <c r="H601">
        <v>487.57</v>
      </c>
      <c r="I601" t="s">
        <v>87</v>
      </c>
    </row>
    <row r="602" spans="1:9" x14ac:dyDescent="0.2">
      <c r="A602">
        <v>10848</v>
      </c>
      <c r="B602" t="s">
        <v>353</v>
      </c>
      <c r="C602">
        <v>7</v>
      </c>
      <c r="D602" s="6">
        <v>35818</v>
      </c>
      <c r="E602" s="6">
        <v>35846</v>
      </c>
      <c r="F602" s="6">
        <v>35824</v>
      </c>
      <c r="G602">
        <v>2</v>
      </c>
      <c r="H602">
        <v>38.24</v>
      </c>
      <c r="I602" t="s">
        <v>173</v>
      </c>
    </row>
    <row r="603" spans="1:9" x14ac:dyDescent="0.2">
      <c r="A603">
        <v>10849</v>
      </c>
      <c r="B603" t="s">
        <v>227</v>
      </c>
      <c r="C603">
        <v>9</v>
      </c>
      <c r="D603" s="6">
        <v>35818</v>
      </c>
      <c r="E603" s="6">
        <v>35846</v>
      </c>
      <c r="F603" s="6">
        <v>35825</v>
      </c>
      <c r="G603">
        <v>2</v>
      </c>
      <c r="H603">
        <v>0.56000000000000005</v>
      </c>
      <c r="I603" t="s">
        <v>24</v>
      </c>
    </row>
    <row r="604" spans="1:9" x14ac:dyDescent="0.2">
      <c r="A604">
        <v>10850</v>
      </c>
      <c r="B604" t="s">
        <v>32</v>
      </c>
      <c r="C604">
        <v>1</v>
      </c>
      <c r="D604" s="6">
        <v>35818</v>
      </c>
      <c r="E604" s="6">
        <v>35860</v>
      </c>
      <c r="F604" s="6">
        <v>35825</v>
      </c>
      <c r="G604">
        <v>1</v>
      </c>
      <c r="H604">
        <v>49.19</v>
      </c>
      <c r="I604" t="s">
        <v>19</v>
      </c>
    </row>
    <row r="605" spans="1:9" x14ac:dyDescent="0.2">
      <c r="A605">
        <v>10851</v>
      </c>
      <c r="B605" t="s">
        <v>160</v>
      </c>
      <c r="C605">
        <v>5</v>
      </c>
      <c r="D605" s="6">
        <v>35821</v>
      </c>
      <c r="E605" s="6">
        <v>35849</v>
      </c>
      <c r="F605" s="6">
        <v>35828</v>
      </c>
      <c r="G605">
        <v>1</v>
      </c>
      <c r="H605">
        <v>160.55000000000001</v>
      </c>
      <c r="I605" t="s">
        <v>31</v>
      </c>
    </row>
    <row r="606" spans="1:9" x14ac:dyDescent="0.2">
      <c r="A606">
        <v>10852</v>
      </c>
      <c r="B606" t="s">
        <v>82</v>
      </c>
      <c r="C606">
        <v>8</v>
      </c>
      <c r="D606" s="6">
        <v>35821</v>
      </c>
      <c r="E606" s="6">
        <v>35835</v>
      </c>
      <c r="F606" s="6">
        <v>35825</v>
      </c>
      <c r="G606">
        <v>1</v>
      </c>
      <c r="H606">
        <v>174.05</v>
      </c>
      <c r="I606" t="s">
        <v>87</v>
      </c>
    </row>
    <row r="607" spans="1:9" x14ac:dyDescent="0.2">
      <c r="A607">
        <v>10853</v>
      </c>
      <c r="B607" t="s">
        <v>369</v>
      </c>
      <c r="C607">
        <v>9</v>
      </c>
      <c r="D607" s="6">
        <v>35822</v>
      </c>
      <c r="E607" s="6">
        <v>35850</v>
      </c>
      <c r="F607" s="6">
        <v>35829</v>
      </c>
      <c r="G607">
        <v>2</v>
      </c>
      <c r="H607">
        <v>53.83</v>
      </c>
      <c r="I607" t="s">
        <v>24</v>
      </c>
    </row>
    <row r="608" spans="1:9" x14ac:dyDescent="0.2">
      <c r="A608">
        <v>10854</v>
      </c>
      <c r="B608" t="s">
        <v>63</v>
      </c>
      <c r="C608">
        <v>3</v>
      </c>
      <c r="D608" s="6">
        <v>35822</v>
      </c>
      <c r="E608" s="6">
        <v>35850</v>
      </c>
      <c r="F608" s="6">
        <v>35831</v>
      </c>
      <c r="G608">
        <v>2</v>
      </c>
      <c r="H608">
        <v>100.22</v>
      </c>
      <c r="I608" t="s">
        <v>67</v>
      </c>
    </row>
    <row r="609" spans="1:9" x14ac:dyDescent="0.2">
      <c r="A609">
        <v>10855</v>
      </c>
      <c r="B609" t="s">
        <v>197</v>
      </c>
      <c r="C609">
        <v>3</v>
      </c>
      <c r="D609" s="6">
        <v>35822</v>
      </c>
      <c r="E609" s="6">
        <v>35850</v>
      </c>
      <c r="F609" s="6">
        <v>35830</v>
      </c>
      <c r="G609">
        <v>1</v>
      </c>
      <c r="H609">
        <v>170.97</v>
      </c>
      <c r="I609" t="s">
        <v>87</v>
      </c>
    </row>
    <row r="610" spans="1:9" x14ac:dyDescent="0.2">
      <c r="A610">
        <v>10856</v>
      </c>
      <c r="B610" t="s">
        <v>293</v>
      </c>
      <c r="C610">
        <v>3</v>
      </c>
      <c r="D610" s="6">
        <v>35823</v>
      </c>
      <c r="E610" s="6">
        <v>35851</v>
      </c>
      <c r="F610" s="6">
        <v>35836</v>
      </c>
      <c r="G610">
        <v>2</v>
      </c>
      <c r="H610">
        <v>58.43</v>
      </c>
      <c r="I610" t="s">
        <v>73</v>
      </c>
    </row>
    <row r="611" spans="1:9" x14ac:dyDescent="0.2">
      <c r="A611">
        <v>10857</v>
      </c>
      <c r="B611" t="s">
        <v>141</v>
      </c>
      <c r="C611">
        <v>8</v>
      </c>
      <c r="D611" s="6">
        <v>35823</v>
      </c>
      <c r="E611" s="6">
        <v>35851</v>
      </c>
      <c r="F611" s="6">
        <v>35832</v>
      </c>
      <c r="G611">
        <v>2</v>
      </c>
      <c r="H611">
        <v>188.85</v>
      </c>
      <c r="I611" t="s">
        <v>93</v>
      </c>
    </row>
    <row r="612" spans="1:9" x14ac:dyDescent="0.2">
      <c r="A612">
        <v>10858</v>
      </c>
      <c r="B612" t="s">
        <v>419</v>
      </c>
      <c r="C612">
        <v>2</v>
      </c>
      <c r="D612" s="6">
        <v>35824</v>
      </c>
      <c r="E612" s="6">
        <v>35852</v>
      </c>
      <c r="F612" s="6">
        <v>35829</v>
      </c>
      <c r="G612">
        <v>1</v>
      </c>
      <c r="H612">
        <v>52.51</v>
      </c>
      <c r="I612" t="s">
        <v>19</v>
      </c>
    </row>
    <row r="613" spans="1:9" x14ac:dyDescent="0.2">
      <c r="A613">
        <v>10859</v>
      </c>
      <c r="B613" t="s">
        <v>103</v>
      </c>
      <c r="C613">
        <v>1</v>
      </c>
      <c r="D613" s="6">
        <v>35824</v>
      </c>
      <c r="E613" s="6">
        <v>35852</v>
      </c>
      <c r="F613" s="6">
        <v>35828</v>
      </c>
      <c r="G613">
        <v>2</v>
      </c>
      <c r="H613">
        <v>76.099999999999994</v>
      </c>
      <c r="I613" t="s">
        <v>24</v>
      </c>
    </row>
    <row r="614" spans="1:9" x14ac:dyDescent="0.2">
      <c r="A614">
        <v>10860</v>
      </c>
      <c r="B614" t="s">
        <v>411</v>
      </c>
      <c r="C614">
        <v>3</v>
      </c>
      <c r="D614" s="6">
        <v>35824</v>
      </c>
      <c r="E614" s="6">
        <v>35852</v>
      </c>
      <c r="F614" s="6">
        <v>35830</v>
      </c>
      <c r="G614">
        <v>3</v>
      </c>
      <c r="H614">
        <v>19.260000000000002</v>
      </c>
      <c r="I614" t="s">
        <v>19</v>
      </c>
    </row>
    <row r="615" spans="1:9" x14ac:dyDescent="0.2">
      <c r="A615">
        <v>10861</v>
      </c>
      <c r="B615" t="s">
        <v>112</v>
      </c>
      <c r="C615">
        <v>4</v>
      </c>
      <c r="D615" s="6">
        <v>35825</v>
      </c>
      <c r="E615" s="6">
        <v>35853</v>
      </c>
      <c r="F615" s="6">
        <v>35843</v>
      </c>
      <c r="G615">
        <v>2</v>
      </c>
      <c r="H615">
        <v>14.93</v>
      </c>
      <c r="I615" t="s">
        <v>87</v>
      </c>
    </row>
    <row r="616" spans="1:9" x14ac:dyDescent="0.2">
      <c r="A616">
        <v>10862</v>
      </c>
      <c r="B616" t="s">
        <v>146</v>
      </c>
      <c r="C616">
        <v>8</v>
      </c>
      <c r="D616" s="6">
        <v>35825</v>
      </c>
      <c r="E616" s="6">
        <v>35867</v>
      </c>
      <c r="F616" s="6">
        <v>35828</v>
      </c>
      <c r="G616">
        <v>2</v>
      </c>
      <c r="H616">
        <v>53.23</v>
      </c>
      <c r="I616" t="s">
        <v>24</v>
      </c>
    </row>
    <row r="617" spans="1:9" x14ac:dyDescent="0.2">
      <c r="A617">
        <v>10863</v>
      </c>
      <c r="B617" t="s">
        <v>57</v>
      </c>
      <c r="C617">
        <v>4</v>
      </c>
      <c r="D617" s="6">
        <v>35828</v>
      </c>
      <c r="E617" s="6">
        <v>35856</v>
      </c>
      <c r="F617" s="6">
        <v>35843</v>
      </c>
      <c r="G617">
        <v>2</v>
      </c>
      <c r="H617">
        <v>30.26</v>
      </c>
      <c r="I617" t="s">
        <v>62</v>
      </c>
    </row>
    <row r="618" spans="1:9" x14ac:dyDescent="0.2">
      <c r="A618">
        <v>10864</v>
      </c>
      <c r="B618" t="s">
        <v>275</v>
      </c>
      <c r="C618">
        <v>4</v>
      </c>
      <c r="D618" s="6">
        <v>35828</v>
      </c>
      <c r="E618" s="6">
        <v>35856</v>
      </c>
      <c r="F618" s="6">
        <v>35835</v>
      </c>
      <c r="G618">
        <v>2</v>
      </c>
      <c r="H618">
        <v>3.04</v>
      </c>
      <c r="I618" t="s">
        <v>173</v>
      </c>
    </row>
    <row r="619" spans="1:9" x14ac:dyDescent="0.2">
      <c r="A619">
        <v>10865</v>
      </c>
      <c r="B619" t="s">
        <v>122</v>
      </c>
      <c r="C619">
        <v>2</v>
      </c>
      <c r="D619" s="6">
        <v>35828</v>
      </c>
      <c r="E619" s="6">
        <v>35842</v>
      </c>
      <c r="F619" s="6">
        <v>35838</v>
      </c>
      <c r="G619">
        <v>1</v>
      </c>
      <c r="H619">
        <v>348.14</v>
      </c>
      <c r="I619" t="s">
        <v>24</v>
      </c>
    </row>
    <row r="620" spans="1:9" x14ac:dyDescent="0.2">
      <c r="A620">
        <v>10866</v>
      </c>
      <c r="B620" t="s">
        <v>141</v>
      </c>
      <c r="C620">
        <v>5</v>
      </c>
      <c r="D620" s="6">
        <v>35829</v>
      </c>
      <c r="E620" s="6">
        <v>35857</v>
      </c>
      <c r="F620" s="6">
        <v>35838</v>
      </c>
      <c r="G620">
        <v>1</v>
      </c>
      <c r="H620">
        <v>109.11</v>
      </c>
      <c r="I620" t="s">
        <v>93</v>
      </c>
    </row>
    <row r="621" spans="1:9" x14ac:dyDescent="0.2">
      <c r="A621">
        <v>10867</v>
      </c>
      <c r="B621" t="s">
        <v>202</v>
      </c>
      <c r="C621">
        <v>6</v>
      </c>
      <c r="D621" s="6">
        <v>35829</v>
      </c>
      <c r="E621" s="6">
        <v>35871</v>
      </c>
      <c r="F621" s="6">
        <v>35837</v>
      </c>
      <c r="G621">
        <v>1</v>
      </c>
      <c r="H621">
        <v>1.93</v>
      </c>
      <c r="I621" t="s">
        <v>87</v>
      </c>
    </row>
    <row r="622" spans="1:9" x14ac:dyDescent="0.2">
      <c r="A622">
        <v>10868</v>
      </c>
      <c r="B622" t="s">
        <v>305</v>
      </c>
      <c r="C622">
        <v>7</v>
      </c>
      <c r="D622" s="6">
        <v>35830</v>
      </c>
      <c r="E622" s="6">
        <v>35858</v>
      </c>
      <c r="F622" s="6">
        <v>35849</v>
      </c>
      <c r="G622">
        <v>2</v>
      </c>
      <c r="H622">
        <v>191.27</v>
      </c>
      <c r="I622" t="s">
        <v>31</v>
      </c>
    </row>
    <row r="623" spans="1:9" x14ac:dyDescent="0.2">
      <c r="A623">
        <v>10869</v>
      </c>
      <c r="B623" t="s">
        <v>281</v>
      </c>
      <c r="C623">
        <v>5</v>
      </c>
      <c r="D623" s="6">
        <v>35830</v>
      </c>
      <c r="E623" s="6">
        <v>35858</v>
      </c>
      <c r="F623" s="6">
        <v>35835</v>
      </c>
      <c r="G623">
        <v>1</v>
      </c>
      <c r="H623">
        <v>143.28</v>
      </c>
      <c r="I623" t="s">
        <v>173</v>
      </c>
    </row>
    <row r="624" spans="1:9" x14ac:dyDescent="0.2">
      <c r="A624">
        <v>10870</v>
      </c>
      <c r="B624" t="s">
        <v>309</v>
      </c>
      <c r="C624">
        <v>5</v>
      </c>
      <c r="D624" s="6">
        <v>35830</v>
      </c>
      <c r="E624" s="6">
        <v>35858</v>
      </c>
      <c r="F624" s="6">
        <v>35839</v>
      </c>
      <c r="G624">
        <v>3</v>
      </c>
      <c r="H624">
        <v>12.04</v>
      </c>
      <c r="I624" t="s">
        <v>314</v>
      </c>
    </row>
    <row r="625" spans="1:9" x14ac:dyDescent="0.2">
      <c r="A625">
        <v>10871</v>
      </c>
      <c r="B625" t="s">
        <v>244</v>
      </c>
      <c r="C625">
        <v>9</v>
      </c>
      <c r="D625" s="6">
        <v>35831</v>
      </c>
      <c r="E625" s="6">
        <v>35859</v>
      </c>
      <c r="F625" s="6">
        <v>35836</v>
      </c>
      <c r="G625">
        <v>2</v>
      </c>
      <c r="H625">
        <v>112.27</v>
      </c>
      <c r="I625" t="s">
        <v>19</v>
      </c>
    </row>
    <row r="626" spans="1:9" x14ac:dyDescent="0.2">
      <c r="A626">
        <v>10872</v>
      </c>
      <c r="B626" t="s">
        <v>193</v>
      </c>
      <c r="C626">
        <v>5</v>
      </c>
      <c r="D626" s="6">
        <v>35831</v>
      </c>
      <c r="E626" s="6">
        <v>35859</v>
      </c>
      <c r="F626" s="6">
        <v>35835</v>
      </c>
      <c r="G626">
        <v>2</v>
      </c>
      <c r="H626">
        <v>175.32</v>
      </c>
      <c r="I626" t="s">
        <v>154</v>
      </c>
    </row>
    <row r="627" spans="1:9" x14ac:dyDescent="0.2">
      <c r="A627">
        <v>10873</v>
      </c>
      <c r="B627" t="s">
        <v>398</v>
      </c>
      <c r="C627">
        <v>4</v>
      </c>
      <c r="D627" s="6">
        <v>35832</v>
      </c>
      <c r="E627" s="6">
        <v>35860</v>
      </c>
      <c r="F627" s="6">
        <v>35835</v>
      </c>
      <c r="G627">
        <v>1</v>
      </c>
      <c r="H627">
        <v>0.82</v>
      </c>
      <c r="I627" t="s">
        <v>102</v>
      </c>
    </row>
    <row r="628" spans="1:9" x14ac:dyDescent="0.2">
      <c r="A628">
        <v>10874</v>
      </c>
      <c r="B628" t="s">
        <v>193</v>
      </c>
      <c r="C628">
        <v>5</v>
      </c>
      <c r="D628" s="6">
        <v>35832</v>
      </c>
      <c r="E628" s="6">
        <v>35860</v>
      </c>
      <c r="F628" s="6">
        <v>35837</v>
      </c>
      <c r="G628">
        <v>2</v>
      </c>
      <c r="H628">
        <v>19.579999999999998</v>
      </c>
      <c r="I628" t="s">
        <v>154</v>
      </c>
    </row>
    <row r="629" spans="1:9" x14ac:dyDescent="0.2">
      <c r="A629">
        <v>10875</v>
      </c>
      <c r="B629" t="s">
        <v>141</v>
      </c>
      <c r="C629">
        <v>4</v>
      </c>
      <c r="D629" s="6">
        <v>35832</v>
      </c>
      <c r="E629" s="6">
        <v>35860</v>
      </c>
      <c r="F629" s="6">
        <v>35857</v>
      </c>
      <c r="G629">
        <v>2</v>
      </c>
      <c r="H629">
        <v>32.369999999999997</v>
      </c>
      <c r="I629" t="s">
        <v>93</v>
      </c>
    </row>
    <row r="630" spans="1:9" x14ac:dyDescent="0.2">
      <c r="A630">
        <v>10876</v>
      </c>
      <c r="B630" t="s">
        <v>244</v>
      </c>
      <c r="C630">
        <v>7</v>
      </c>
      <c r="D630" s="6">
        <v>35835</v>
      </c>
      <c r="E630" s="6">
        <v>35863</v>
      </c>
      <c r="F630" s="6">
        <v>35838</v>
      </c>
      <c r="G630">
        <v>3</v>
      </c>
      <c r="H630">
        <v>60.42</v>
      </c>
      <c r="I630" t="s">
        <v>19</v>
      </c>
    </row>
    <row r="631" spans="1:9" x14ac:dyDescent="0.2">
      <c r="A631">
        <v>10877</v>
      </c>
      <c r="B631" t="s">
        <v>160</v>
      </c>
      <c r="C631">
        <v>1</v>
      </c>
      <c r="D631" s="6">
        <v>35835</v>
      </c>
      <c r="E631" s="6">
        <v>35863</v>
      </c>
      <c r="F631" s="6">
        <v>35845</v>
      </c>
      <c r="G631">
        <v>1</v>
      </c>
      <c r="H631">
        <v>38.06</v>
      </c>
      <c r="I631" t="s">
        <v>31</v>
      </c>
    </row>
    <row r="632" spans="1:9" x14ac:dyDescent="0.2">
      <c r="A632">
        <v>10878</v>
      </c>
      <c r="B632" t="s">
        <v>122</v>
      </c>
      <c r="C632">
        <v>4</v>
      </c>
      <c r="D632" s="6">
        <v>35836</v>
      </c>
      <c r="E632" s="6">
        <v>35864</v>
      </c>
      <c r="F632" s="6">
        <v>35838</v>
      </c>
      <c r="G632">
        <v>1</v>
      </c>
      <c r="H632">
        <v>46.69</v>
      </c>
      <c r="I632" t="s">
        <v>24</v>
      </c>
    </row>
    <row r="633" spans="1:9" x14ac:dyDescent="0.2">
      <c r="A633">
        <v>10879</v>
      </c>
      <c r="B633" t="s">
        <v>398</v>
      </c>
      <c r="C633">
        <v>3</v>
      </c>
      <c r="D633" s="6">
        <v>35836</v>
      </c>
      <c r="E633" s="6">
        <v>35864</v>
      </c>
      <c r="F633" s="6">
        <v>35838</v>
      </c>
      <c r="G633">
        <v>3</v>
      </c>
      <c r="H633">
        <v>8.5</v>
      </c>
      <c r="I633" t="s">
        <v>102</v>
      </c>
    </row>
    <row r="634" spans="1:9" x14ac:dyDescent="0.2">
      <c r="A634">
        <v>10880</v>
      </c>
      <c r="B634" t="s">
        <v>88</v>
      </c>
      <c r="C634">
        <v>7</v>
      </c>
      <c r="D634" s="6">
        <v>35836</v>
      </c>
      <c r="E634" s="6">
        <v>35878</v>
      </c>
      <c r="F634" s="6">
        <v>35844</v>
      </c>
      <c r="G634">
        <v>1</v>
      </c>
      <c r="H634">
        <v>88.01</v>
      </c>
      <c r="I634" t="s">
        <v>93</v>
      </c>
    </row>
    <row r="635" spans="1:9" x14ac:dyDescent="0.2">
      <c r="A635">
        <v>10881</v>
      </c>
      <c r="B635" t="s">
        <v>377</v>
      </c>
      <c r="C635">
        <v>4</v>
      </c>
      <c r="D635" s="6">
        <v>35837</v>
      </c>
      <c r="E635" s="6">
        <v>35865</v>
      </c>
      <c r="F635" s="6">
        <v>35844</v>
      </c>
      <c r="G635">
        <v>1</v>
      </c>
      <c r="H635">
        <v>2.84</v>
      </c>
      <c r="I635" t="s">
        <v>343</v>
      </c>
    </row>
    <row r="636" spans="1:9" x14ac:dyDescent="0.2">
      <c r="A636">
        <v>10882</v>
      </c>
      <c r="B636" t="s">
        <v>231</v>
      </c>
      <c r="C636">
        <v>4</v>
      </c>
      <c r="D636" s="6">
        <v>35837</v>
      </c>
      <c r="E636" s="6">
        <v>35865</v>
      </c>
      <c r="F636" s="6">
        <v>35846</v>
      </c>
      <c r="G636">
        <v>3</v>
      </c>
      <c r="H636">
        <v>23.1</v>
      </c>
      <c r="I636" t="s">
        <v>87</v>
      </c>
    </row>
    <row r="637" spans="1:9" x14ac:dyDescent="0.2">
      <c r="A637">
        <v>10883</v>
      </c>
      <c r="B637" t="s">
        <v>202</v>
      </c>
      <c r="C637">
        <v>8</v>
      </c>
      <c r="D637" s="6">
        <v>35838</v>
      </c>
      <c r="E637" s="6">
        <v>35866</v>
      </c>
      <c r="F637" s="6">
        <v>35846</v>
      </c>
      <c r="G637">
        <v>3</v>
      </c>
      <c r="H637">
        <v>0.53</v>
      </c>
      <c r="I637" t="s">
        <v>87</v>
      </c>
    </row>
    <row r="638" spans="1:9" x14ac:dyDescent="0.2">
      <c r="A638">
        <v>10884</v>
      </c>
      <c r="B638" t="s">
        <v>393</v>
      </c>
      <c r="C638">
        <v>4</v>
      </c>
      <c r="D638" s="6">
        <v>35838</v>
      </c>
      <c r="E638" s="6">
        <v>35866</v>
      </c>
      <c r="F638" s="6">
        <v>35839</v>
      </c>
      <c r="G638">
        <v>2</v>
      </c>
      <c r="H638">
        <v>90.97</v>
      </c>
      <c r="I638" t="s">
        <v>87</v>
      </c>
    </row>
    <row r="639" spans="1:9" x14ac:dyDescent="0.2">
      <c r="A639">
        <v>10885</v>
      </c>
      <c r="B639" t="s">
        <v>36</v>
      </c>
      <c r="C639">
        <v>6</v>
      </c>
      <c r="D639" s="6">
        <v>35838</v>
      </c>
      <c r="E639" s="6">
        <v>35866</v>
      </c>
      <c r="F639" s="6">
        <v>35844</v>
      </c>
      <c r="G639">
        <v>3</v>
      </c>
      <c r="H639">
        <v>5.64</v>
      </c>
      <c r="I639" t="s">
        <v>41</v>
      </c>
    </row>
    <row r="640" spans="1:9" x14ac:dyDescent="0.2">
      <c r="A640">
        <v>10886</v>
      </c>
      <c r="B640" t="s">
        <v>25</v>
      </c>
      <c r="C640">
        <v>1</v>
      </c>
      <c r="D640" s="6">
        <v>35839</v>
      </c>
      <c r="E640" s="6">
        <v>35867</v>
      </c>
      <c r="F640" s="6">
        <v>35856</v>
      </c>
      <c r="G640">
        <v>1</v>
      </c>
      <c r="H640">
        <v>4.99</v>
      </c>
      <c r="I640" t="s">
        <v>31</v>
      </c>
    </row>
    <row r="641" spans="1:9" x14ac:dyDescent="0.2">
      <c r="A641">
        <v>10887</v>
      </c>
      <c r="B641" t="s">
        <v>297</v>
      </c>
      <c r="C641">
        <v>8</v>
      </c>
      <c r="D641" s="6">
        <v>35839</v>
      </c>
      <c r="E641" s="6">
        <v>35867</v>
      </c>
      <c r="F641" s="6">
        <v>35842</v>
      </c>
      <c r="G641">
        <v>3</v>
      </c>
      <c r="H641">
        <v>1.25</v>
      </c>
      <c r="I641" t="s">
        <v>154</v>
      </c>
    </row>
    <row r="642" spans="1:9" x14ac:dyDescent="0.2">
      <c r="A642">
        <v>10888</v>
      </c>
      <c r="B642" t="s">
        <v>193</v>
      </c>
      <c r="C642">
        <v>1</v>
      </c>
      <c r="D642" s="6">
        <v>35842</v>
      </c>
      <c r="E642" s="6">
        <v>35870</v>
      </c>
      <c r="F642" s="6">
        <v>35849</v>
      </c>
      <c r="G642">
        <v>2</v>
      </c>
      <c r="H642">
        <v>51.87</v>
      </c>
      <c r="I642" t="s">
        <v>154</v>
      </c>
    </row>
    <row r="643" spans="1:9" x14ac:dyDescent="0.2">
      <c r="A643">
        <v>10889</v>
      </c>
      <c r="B643" t="s">
        <v>82</v>
      </c>
      <c r="C643">
        <v>9</v>
      </c>
      <c r="D643" s="6">
        <v>35842</v>
      </c>
      <c r="E643" s="6">
        <v>35870</v>
      </c>
      <c r="F643" s="6">
        <v>35849</v>
      </c>
      <c r="G643">
        <v>3</v>
      </c>
      <c r="H643">
        <v>280.61</v>
      </c>
      <c r="I643" t="s">
        <v>87</v>
      </c>
    </row>
    <row r="644" spans="1:9" x14ac:dyDescent="0.2">
      <c r="A644">
        <v>10890</v>
      </c>
      <c r="B644" t="s">
        <v>214</v>
      </c>
      <c r="C644">
        <v>7</v>
      </c>
      <c r="D644" s="6">
        <v>35842</v>
      </c>
      <c r="E644" s="6">
        <v>35870</v>
      </c>
      <c r="F644" s="6">
        <v>35844</v>
      </c>
      <c r="G644">
        <v>1</v>
      </c>
      <c r="H644">
        <v>32.76</v>
      </c>
      <c r="I644" t="s">
        <v>19</v>
      </c>
    </row>
    <row r="645" spans="1:9" x14ac:dyDescent="0.2">
      <c r="A645">
        <v>10891</v>
      </c>
      <c r="B645" t="s">
        <v>146</v>
      </c>
      <c r="C645">
        <v>7</v>
      </c>
      <c r="D645" s="6">
        <v>35843</v>
      </c>
      <c r="E645" s="6">
        <v>35871</v>
      </c>
      <c r="F645" s="6">
        <v>35845</v>
      </c>
      <c r="G645">
        <v>2</v>
      </c>
      <c r="H645">
        <v>20.37</v>
      </c>
      <c r="I645" t="s">
        <v>24</v>
      </c>
    </row>
    <row r="646" spans="1:9" x14ac:dyDescent="0.2">
      <c r="A646">
        <v>10892</v>
      </c>
      <c r="B646" t="s">
        <v>384</v>
      </c>
      <c r="C646">
        <v>4</v>
      </c>
      <c r="D646" s="6">
        <v>35843</v>
      </c>
      <c r="E646" s="6">
        <v>35871</v>
      </c>
      <c r="F646" s="6">
        <v>35845</v>
      </c>
      <c r="G646">
        <v>2</v>
      </c>
      <c r="H646">
        <v>120.27</v>
      </c>
      <c r="I646" t="s">
        <v>41</v>
      </c>
    </row>
    <row r="647" spans="1:9" x14ac:dyDescent="0.2">
      <c r="A647">
        <v>10893</v>
      </c>
      <c r="B647" t="s">
        <v>227</v>
      </c>
      <c r="C647">
        <v>9</v>
      </c>
      <c r="D647" s="6">
        <v>35844</v>
      </c>
      <c r="E647" s="6">
        <v>35872</v>
      </c>
      <c r="F647" s="6">
        <v>35846</v>
      </c>
      <c r="G647">
        <v>2</v>
      </c>
      <c r="H647">
        <v>77.78</v>
      </c>
      <c r="I647" t="s">
        <v>24</v>
      </c>
    </row>
    <row r="648" spans="1:9" x14ac:dyDescent="0.2">
      <c r="A648">
        <v>10894</v>
      </c>
      <c r="B648" t="s">
        <v>231</v>
      </c>
      <c r="C648">
        <v>1</v>
      </c>
      <c r="D648" s="6">
        <v>35844</v>
      </c>
      <c r="E648" s="6">
        <v>35872</v>
      </c>
      <c r="F648" s="6">
        <v>35846</v>
      </c>
      <c r="G648">
        <v>1</v>
      </c>
      <c r="H648">
        <v>116.13</v>
      </c>
      <c r="I648" t="s">
        <v>87</v>
      </c>
    </row>
    <row r="649" spans="1:9" x14ac:dyDescent="0.2">
      <c r="A649">
        <v>10895</v>
      </c>
      <c r="B649" t="s">
        <v>63</v>
      </c>
      <c r="C649">
        <v>3</v>
      </c>
      <c r="D649" s="6">
        <v>35844</v>
      </c>
      <c r="E649" s="6">
        <v>35872</v>
      </c>
      <c r="F649" s="6">
        <v>35849</v>
      </c>
      <c r="G649">
        <v>1</v>
      </c>
      <c r="H649">
        <v>162.75</v>
      </c>
      <c r="I649" t="s">
        <v>67</v>
      </c>
    </row>
    <row r="650" spans="1:9" x14ac:dyDescent="0.2">
      <c r="A650">
        <v>10896</v>
      </c>
      <c r="B650" t="s">
        <v>384</v>
      </c>
      <c r="C650">
        <v>7</v>
      </c>
      <c r="D650" s="6">
        <v>35845</v>
      </c>
      <c r="E650" s="6">
        <v>35873</v>
      </c>
      <c r="F650" s="6">
        <v>35853</v>
      </c>
      <c r="G650">
        <v>3</v>
      </c>
      <c r="H650">
        <v>32.450000000000003</v>
      </c>
      <c r="I650" t="s">
        <v>41</v>
      </c>
    </row>
    <row r="651" spans="1:9" x14ac:dyDescent="0.2">
      <c r="A651">
        <v>10897</v>
      </c>
      <c r="B651" t="s">
        <v>183</v>
      </c>
      <c r="C651">
        <v>3</v>
      </c>
      <c r="D651" s="6">
        <v>35845</v>
      </c>
      <c r="E651" s="6">
        <v>35873</v>
      </c>
      <c r="F651" s="6">
        <v>35851</v>
      </c>
      <c r="G651">
        <v>2</v>
      </c>
      <c r="H651">
        <v>603.54</v>
      </c>
      <c r="I651" t="s">
        <v>188</v>
      </c>
    </row>
    <row r="652" spans="1:9" x14ac:dyDescent="0.2">
      <c r="A652">
        <v>10898</v>
      </c>
      <c r="B652" t="s">
        <v>339</v>
      </c>
      <c r="C652">
        <v>4</v>
      </c>
      <c r="D652" s="6">
        <v>35846</v>
      </c>
      <c r="E652" s="6">
        <v>35874</v>
      </c>
      <c r="F652" s="6">
        <v>35860</v>
      </c>
      <c r="G652">
        <v>2</v>
      </c>
      <c r="H652">
        <v>1.27</v>
      </c>
      <c r="I652" t="s">
        <v>343</v>
      </c>
    </row>
    <row r="653" spans="1:9" x14ac:dyDescent="0.2">
      <c r="A653">
        <v>10899</v>
      </c>
      <c r="B653" t="s">
        <v>155</v>
      </c>
      <c r="C653">
        <v>5</v>
      </c>
      <c r="D653" s="6">
        <v>35846</v>
      </c>
      <c r="E653" s="6">
        <v>35874</v>
      </c>
      <c r="F653" s="6">
        <v>35852</v>
      </c>
      <c r="G653">
        <v>3</v>
      </c>
      <c r="H653">
        <v>1.21</v>
      </c>
      <c r="I653" t="s">
        <v>62</v>
      </c>
    </row>
    <row r="654" spans="1:9" x14ac:dyDescent="0.2">
      <c r="A654">
        <v>10900</v>
      </c>
      <c r="B654" t="s">
        <v>51</v>
      </c>
      <c r="C654">
        <v>1</v>
      </c>
      <c r="D654" s="6">
        <v>35846</v>
      </c>
      <c r="E654" s="6">
        <v>35874</v>
      </c>
      <c r="F654" s="6">
        <v>35858</v>
      </c>
      <c r="G654">
        <v>2</v>
      </c>
      <c r="H654">
        <v>1.66</v>
      </c>
      <c r="I654" t="s">
        <v>31</v>
      </c>
    </row>
    <row r="655" spans="1:9" x14ac:dyDescent="0.2">
      <c r="A655">
        <v>10901</v>
      </c>
      <c r="B655" t="s">
        <v>57</v>
      </c>
      <c r="C655">
        <v>4</v>
      </c>
      <c r="D655" s="6">
        <v>35849</v>
      </c>
      <c r="E655" s="6">
        <v>35877</v>
      </c>
      <c r="F655" s="6">
        <v>35852</v>
      </c>
      <c r="G655">
        <v>1</v>
      </c>
      <c r="H655">
        <v>62.09</v>
      </c>
      <c r="I655" t="s">
        <v>62</v>
      </c>
    </row>
    <row r="656" spans="1:9" x14ac:dyDescent="0.2">
      <c r="A656">
        <v>10902</v>
      </c>
      <c r="B656" t="s">
        <v>88</v>
      </c>
      <c r="C656">
        <v>1</v>
      </c>
      <c r="D656" s="6">
        <v>35849</v>
      </c>
      <c r="E656" s="6">
        <v>35877</v>
      </c>
      <c r="F656" s="6">
        <v>35857</v>
      </c>
      <c r="G656">
        <v>1</v>
      </c>
      <c r="H656">
        <v>44.15</v>
      </c>
      <c r="I656" t="s">
        <v>93</v>
      </c>
    </row>
    <row r="657" spans="1:9" x14ac:dyDescent="0.2">
      <c r="A657">
        <v>10903</v>
      </c>
      <c r="B657" t="s">
        <v>25</v>
      </c>
      <c r="C657">
        <v>3</v>
      </c>
      <c r="D657" s="6">
        <v>35850</v>
      </c>
      <c r="E657" s="6">
        <v>35878</v>
      </c>
      <c r="F657" s="6">
        <v>35858</v>
      </c>
      <c r="G657">
        <v>3</v>
      </c>
      <c r="H657">
        <v>36.71</v>
      </c>
      <c r="I657" t="s">
        <v>31</v>
      </c>
    </row>
    <row r="658" spans="1:9" x14ac:dyDescent="0.2">
      <c r="A658">
        <v>10904</v>
      </c>
      <c r="B658" t="s">
        <v>112</v>
      </c>
      <c r="C658">
        <v>3</v>
      </c>
      <c r="D658" s="6">
        <v>35850</v>
      </c>
      <c r="E658" s="6">
        <v>35878</v>
      </c>
      <c r="F658" s="6">
        <v>35853</v>
      </c>
      <c r="G658">
        <v>3</v>
      </c>
      <c r="H658">
        <v>162.94999999999999</v>
      </c>
      <c r="I658" t="s">
        <v>87</v>
      </c>
    </row>
    <row r="659" spans="1:9" x14ac:dyDescent="0.2">
      <c r="A659">
        <v>10905</v>
      </c>
      <c r="B659" t="s">
        <v>51</v>
      </c>
      <c r="C659">
        <v>9</v>
      </c>
      <c r="D659" s="6">
        <v>35850</v>
      </c>
      <c r="E659" s="6">
        <v>35878</v>
      </c>
      <c r="F659" s="6">
        <v>35860</v>
      </c>
      <c r="G659">
        <v>2</v>
      </c>
      <c r="H659">
        <v>13.72</v>
      </c>
      <c r="I659" t="s">
        <v>31</v>
      </c>
    </row>
    <row r="660" spans="1:9" x14ac:dyDescent="0.2">
      <c r="A660">
        <v>10906</v>
      </c>
      <c r="B660" t="s">
        <v>309</v>
      </c>
      <c r="C660">
        <v>4</v>
      </c>
      <c r="D660" s="6">
        <v>35851</v>
      </c>
      <c r="E660" s="6">
        <v>35865</v>
      </c>
      <c r="F660" s="6">
        <v>35857</v>
      </c>
      <c r="G660">
        <v>3</v>
      </c>
      <c r="H660">
        <v>26.29</v>
      </c>
      <c r="I660" t="s">
        <v>314</v>
      </c>
    </row>
    <row r="661" spans="1:9" x14ac:dyDescent="0.2">
      <c r="A661">
        <v>10907</v>
      </c>
      <c r="B661" t="s">
        <v>415</v>
      </c>
      <c r="C661">
        <v>6</v>
      </c>
      <c r="D661" s="6">
        <v>35851</v>
      </c>
      <c r="E661" s="6">
        <v>35879</v>
      </c>
      <c r="F661" s="6">
        <v>35853</v>
      </c>
      <c r="G661">
        <v>3</v>
      </c>
      <c r="H661">
        <v>9.19</v>
      </c>
      <c r="I661" t="s">
        <v>19</v>
      </c>
    </row>
    <row r="662" spans="1:9" x14ac:dyDescent="0.2">
      <c r="A662">
        <v>10908</v>
      </c>
      <c r="B662" t="s">
        <v>164</v>
      </c>
      <c r="C662">
        <v>4</v>
      </c>
      <c r="D662" s="6">
        <v>35852</v>
      </c>
      <c r="E662" s="6">
        <v>35880</v>
      </c>
      <c r="F662" s="6">
        <v>35860</v>
      </c>
      <c r="G662">
        <v>2</v>
      </c>
      <c r="H662">
        <v>32.96</v>
      </c>
      <c r="I662" t="s">
        <v>131</v>
      </c>
    </row>
    <row r="663" spans="1:9" x14ac:dyDescent="0.2">
      <c r="A663">
        <v>10909</v>
      </c>
      <c r="B663" t="s">
        <v>319</v>
      </c>
      <c r="C663">
        <v>1</v>
      </c>
      <c r="D663" s="6">
        <v>35852</v>
      </c>
      <c r="E663" s="6">
        <v>35880</v>
      </c>
      <c r="F663" s="6">
        <v>35864</v>
      </c>
      <c r="G663">
        <v>2</v>
      </c>
      <c r="H663">
        <v>53.05</v>
      </c>
      <c r="I663" t="s">
        <v>323</v>
      </c>
    </row>
    <row r="664" spans="1:9" x14ac:dyDescent="0.2">
      <c r="A664">
        <v>10910</v>
      </c>
      <c r="B664" t="s">
        <v>398</v>
      </c>
      <c r="C664">
        <v>1</v>
      </c>
      <c r="D664" s="6">
        <v>35852</v>
      </c>
      <c r="E664" s="6">
        <v>35880</v>
      </c>
      <c r="F664" s="6">
        <v>35858</v>
      </c>
      <c r="G664">
        <v>3</v>
      </c>
      <c r="H664">
        <v>38.11</v>
      </c>
      <c r="I664" t="s">
        <v>102</v>
      </c>
    </row>
    <row r="665" spans="1:9" x14ac:dyDescent="0.2">
      <c r="A665">
        <v>10911</v>
      </c>
      <c r="B665" t="s">
        <v>193</v>
      </c>
      <c r="C665">
        <v>3</v>
      </c>
      <c r="D665" s="6">
        <v>35852</v>
      </c>
      <c r="E665" s="6">
        <v>35880</v>
      </c>
      <c r="F665" s="6">
        <v>35859</v>
      </c>
      <c r="G665">
        <v>1</v>
      </c>
      <c r="H665">
        <v>38.19</v>
      </c>
      <c r="I665" t="s">
        <v>154</v>
      </c>
    </row>
    <row r="666" spans="1:9" x14ac:dyDescent="0.2">
      <c r="A666">
        <v>10912</v>
      </c>
      <c r="B666" t="s">
        <v>183</v>
      </c>
      <c r="C666">
        <v>2</v>
      </c>
      <c r="D666" s="6">
        <v>35852</v>
      </c>
      <c r="E666" s="6">
        <v>35880</v>
      </c>
      <c r="F666" s="6">
        <v>35872</v>
      </c>
      <c r="G666">
        <v>2</v>
      </c>
      <c r="H666">
        <v>580.91</v>
      </c>
      <c r="I666" t="s">
        <v>188</v>
      </c>
    </row>
    <row r="667" spans="1:9" x14ac:dyDescent="0.2">
      <c r="A667">
        <v>10913</v>
      </c>
      <c r="B667" t="s">
        <v>305</v>
      </c>
      <c r="C667">
        <v>4</v>
      </c>
      <c r="D667" s="6">
        <v>35852</v>
      </c>
      <c r="E667" s="6">
        <v>35880</v>
      </c>
      <c r="F667" s="6">
        <v>35858</v>
      </c>
      <c r="G667">
        <v>1</v>
      </c>
      <c r="H667">
        <v>33.049999999999997</v>
      </c>
      <c r="I667" t="s">
        <v>31</v>
      </c>
    </row>
    <row r="668" spans="1:9" x14ac:dyDescent="0.2">
      <c r="A668">
        <v>10914</v>
      </c>
      <c r="B668" t="s">
        <v>305</v>
      </c>
      <c r="C668">
        <v>6</v>
      </c>
      <c r="D668" s="6">
        <v>35853</v>
      </c>
      <c r="E668" s="6">
        <v>35881</v>
      </c>
      <c r="F668" s="6">
        <v>35856</v>
      </c>
      <c r="G668">
        <v>1</v>
      </c>
      <c r="H668">
        <v>21.19</v>
      </c>
      <c r="I668" t="s">
        <v>31</v>
      </c>
    </row>
    <row r="669" spans="1:9" x14ac:dyDescent="0.2">
      <c r="A669">
        <v>10915</v>
      </c>
      <c r="B669" t="s">
        <v>132</v>
      </c>
      <c r="C669">
        <v>2</v>
      </c>
      <c r="D669" s="6">
        <v>35853</v>
      </c>
      <c r="E669" s="6">
        <v>35881</v>
      </c>
      <c r="F669" s="6">
        <v>35856</v>
      </c>
      <c r="G669">
        <v>2</v>
      </c>
      <c r="H669">
        <v>3.51</v>
      </c>
      <c r="I669" t="s">
        <v>73</v>
      </c>
    </row>
    <row r="670" spans="1:9" x14ac:dyDescent="0.2">
      <c r="A670">
        <v>10916</v>
      </c>
      <c r="B670" t="s">
        <v>357</v>
      </c>
      <c r="C670">
        <v>1</v>
      </c>
      <c r="D670" s="6">
        <v>35853</v>
      </c>
      <c r="E670" s="6">
        <v>35881</v>
      </c>
      <c r="F670" s="6">
        <v>35863</v>
      </c>
      <c r="G670">
        <v>2</v>
      </c>
      <c r="H670">
        <v>63.77</v>
      </c>
      <c r="I670" t="s">
        <v>343</v>
      </c>
    </row>
    <row r="671" spans="1:9" x14ac:dyDescent="0.2">
      <c r="A671">
        <v>10917</v>
      </c>
      <c r="B671" t="s">
        <v>150</v>
      </c>
      <c r="C671">
        <v>4</v>
      </c>
      <c r="D671" s="6">
        <v>35856</v>
      </c>
      <c r="E671" s="6">
        <v>35884</v>
      </c>
      <c r="F671" s="6">
        <v>35865</v>
      </c>
      <c r="G671">
        <v>2</v>
      </c>
      <c r="H671">
        <v>8.2899999999999991</v>
      </c>
      <c r="I671" t="s">
        <v>154</v>
      </c>
    </row>
    <row r="672" spans="1:9" x14ac:dyDescent="0.2">
      <c r="A672">
        <v>10918</v>
      </c>
      <c r="B672" t="s">
        <v>324</v>
      </c>
      <c r="C672">
        <v>3</v>
      </c>
      <c r="D672" s="6">
        <v>35856</v>
      </c>
      <c r="E672" s="6">
        <v>35884</v>
      </c>
      <c r="F672" s="6">
        <v>35865</v>
      </c>
      <c r="G672">
        <v>3</v>
      </c>
      <c r="H672">
        <v>48.83</v>
      </c>
      <c r="I672" t="s">
        <v>254</v>
      </c>
    </row>
    <row r="673" spans="1:9" x14ac:dyDescent="0.2">
      <c r="A673">
        <v>10919</v>
      </c>
      <c r="B673" t="s">
        <v>330</v>
      </c>
      <c r="C673">
        <v>2</v>
      </c>
      <c r="D673" s="6">
        <v>35856</v>
      </c>
      <c r="E673" s="6">
        <v>35884</v>
      </c>
      <c r="F673" s="6">
        <v>35858</v>
      </c>
      <c r="G673">
        <v>2</v>
      </c>
      <c r="H673">
        <v>19.8</v>
      </c>
      <c r="I673" t="s">
        <v>62</v>
      </c>
    </row>
    <row r="674" spans="1:9" x14ac:dyDescent="0.2">
      <c r="A674">
        <v>10920</v>
      </c>
      <c r="B674" t="s">
        <v>275</v>
      </c>
      <c r="C674">
        <v>4</v>
      </c>
      <c r="D674" s="6">
        <v>35857</v>
      </c>
      <c r="E674" s="6">
        <v>35885</v>
      </c>
      <c r="F674" s="6">
        <v>35863</v>
      </c>
      <c r="G674">
        <v>2</v>
      </c>
      <c r="H674">
        <v>29.61</v>
      </c>
      <c r="I674" t="s">
        <v>173</v>
      </c>
    </row>
    <row r="675" spans="1:9" x14ac:dyDescent="0.2">
      <c r="A675">
        <v>10921</v>
      </c>
      <c r="B675" t="s">
        <v>301</v>
      </c>
      <c r="C675">
        <v>1</v>
      </c>
      <c r="D675" s="6">
        <v>35857</v>
      </c>
      <c r="E675" s="6">
        <v>35899</v>
      </c>
      <c r="F675" s="6">
        <v>35863</v>
      </c>
      <c r="G675">
        <v>1</v>
      </c>
      <c r="H675">
        <v>176.48</v>
      </c>
      <c r="I675" t="s">
        <v>262</v>
      </c>
    </row>
    <row r="676" spans="1:9" x14ac:dyDescent="0.2">
      <c r="A676">
        <v>10922</v>
      </c>
      <c r="B676" t="s">
        <v>25</v>
      </c>
      <c r="C676">
        <v>5</v>
      </c>
      <c r="D676" s="6">
        <v>35857</v>
      </c>
      <c r="E676" s="6">
        <v>35885</v>
      </c>
      <c r="F676" s="6">
        <v>35859</v>
      </c>
      <c r="G676">
        <v>3</v>
      </c>
      <c r="H676">
        <v>62.74</v>
      </c>
      <c r="I676" t="s">
        <v>31</v>
      </c>
    </row>
    <row r="677" spans="1:9" x14ac:dyDescent="0.2">
      <c r="A677">
        <v>10923</v>
      </c>
      <c r="B677" t="s">
        <v>267</v>
      </c>
      <c r="C677">
        <v>7</v>
      </c>
      <c r="D677" s="6">
        <v>35857</v>
      </c>
      <c r="E677" s="6">
        <v>35899</v>
      </c>
      <c r="F677" s="6">
        <v>35867</v>
      </c>
      <c r="G677">
        <v>3</v>
      </c>
      <c r="H677">
        <v>68.260000000000005</v>
      </c>
      <c r="I677" t="s">
        <v>19</v>
      </c>
    </row>
    <row r="678" spans="1:9" x14ac:dyDescent="0.2">
      <c r="A678">
        <v>10924</v>
      </c>
      <c r="B678" t="s">
        <v>141</v>
      </c>
      <c r="C678">
        <v>3</v>
      </c>
      <c r="D678" s="6">
        <v>35858</v>
      </c>
      <c r="E678" s="6">
        <v>35886</v>
      </c>
      <c r="F678" s="6">
        <v>35893</v>
      </c>
      <c r="G678">
        <v>2</v>
      </c>
      <c r="H678">
        <v>151.52000000000001</v>
      </c>
      <c r="I678" t="s">
        <v>93</v>
      </c>
    </row>
    <row r="679" spans="1:9" x14ac:dyDescent="0.2">
      <c r="A679">
        <v>10925</v>
      </c>
      <c r="B679" t="s">
        <v>25</v>
      </c>
      <c r="C679">
        <v>3</v>
      </c>
      <c r="D679" s="6">
        <v>35858</v>
      </c>
      <c r="E679" s="6">
        <v>35886</v>
      </c>
      <c r="F679" s="6">
        <v>35867</v>
      </c>
      <c r="G679">
        <v>1</v>
      </c>
      <c r="H679">
        <v>2.27</v>
      </c>
      <c r="I679" t="s">
        <v>31</v>
      </c>
    </row>
    <row r="680" spans="1:9" x14ac:dyDescent="0.2">
      <c r="A680">
        <v>10926</v>
      </c>
      <c r="B680" t="s">
        <v>207</v>
      </c>
      <c r="C680">
        <v>4</v>
      </c>
      <c r="D680" s="6">
        <v>35858</v>
      </c>
      <c r="E680" s="6">
        <v>35886</v>
      </c>
      <c r="F680" s="6">
        <v>35865</v>
      </c>
      <c r="G680">
        <v>3</v>
      </c>
      <c r="H680">
        <v>39.92</v>
      </c>
      <c r="I680" t="s">
        <v>73</v>
      </c>
    </row>
    <row r="681" spans="1:9" x14ac:dyDescent="0.2">
      <c r="A681">
        <v>10927</v>
      </c>
      <c r="B681" t="s">
        <v>419</v>
      </c>
      <c r="C681">
        <v>4</v>
      </c>
      <c r="D681" s="6">
        <v>35859</v>
      </c>
      <c r="E681" s="6">
        <v>35887</v>
      </c>
      <c r="F681" s="6">
        <v>35893</v>
      </c>
      <c r="G681">
        <v>1</v>
      </c>
      <c r="H681">
        <v>19.79</v>
      </c>
      <c r="I681" t="s">
        <v>19</v>
      </c>
    </row>
    <row r="682" spans="1:9" x14ac:dyDescent="0.2">
      <c r="A682">
        <v>10928</v>
      </c>
      <c r="B682" t="s">
        <v>297</v>
      </c>
      <c r="C682">
        <v>1</v>
      </c>
      <c r="D682" s="6">
        <v>35859</v>
      </c>
      <c r="E682" s="6">
        <v>35887</v>
      </c>
      <c r="F682" s="6">
        <v>35872</v>
      </c>
      <c r="G682">
        <v>1</v>
      </c>
      <c r="H682">
        <v>1.36</v>
      </c>
      <c r="I682" t="s">
        <v>154</v>
      </c>
    </row>
    <row r="683" spans="1:9" x14ac:dyDescent="0.2">
      <c r="A683">
        <v>10929</v>
      </c>
      <c r="B683" t="s">
        <v>103</v>
      </c>
      <c r="C683">
        <v>6</v>
      </c>
      <c r="D683" s="6">
        <v>35859</v>
      </c>
      <c r="E683" s="6">
        <v>35887</v>
      </c>
      <c r="F683" s="6">
        <v>35866</v>
      </c>
      <c r="G683">
        <v>1</v>
      </c>
      <c r="H683">
        <v>33.93</v>
      </c>
      <c r="I683" t="s">
        <v>24</v>
      </c>
    </row>
    <row r="684" spans="1:9" x14ac:dyDescent="0.2">
      <c r="A684">
        <v>10930</v>
      </c>
      <c r="B684" t="s">
        <v>36</v>
      </c>
      <c r="C684">
        <v>4</v>
      </c>
      <c r="D684" s="6">
        <v>35860</v>
      </c>
      <c r="E684" s="6">
        <v>35902</v>
      </c>
      <c r="F684" s="6">
        <v>35872</v>
      </c>
      <c r="G684">
        <v>3</v>
      </c>
      <c r="H684">
        <v>15.55</v>
      </c>
      <c r="I684" t="s">
        <v>41</v>
      </c>
    </row>
    <row r="685" spans="1:9" x14ac:dyDescent="0.2">
      <c r="A685">
        <v>10931</v>
      </c>
      <c r="B685" t="s">
        <v>47</v>
      </c>
      <c r="C685">
        <v>4</v>
      </c>
      <c r="D685" s="6">
        <v>35860</v>
      </c>
      <c r="E685" s="6">
        <v>35874</v>
      </c>
      <c r="F685" s="6">
        <v>35873</v>
      </c>
      <c r="G685">
        <v>2</v>
      </c>
      <c r="H685">
        <v>13.6</v>
      </c>
      <c r="I685" t="s">
        <v>46</v>
      </c>
    </row>
    <row r="686" spans="1:9" x14ac:dyDescent="0.2">
      <c r="A686">
        <v>10932</v>
      </c>
      <c r="B686" t="s">
        <v>244</v>
      </c>
      <c r="C686">
        <v>8</v>
      </c>
      <c r="D686" s="6">
        <v>35860</v>
      </c>
      <c r="E686" s="6">
        <v>35888</v>
      </c>
      <c r="F686" s="6">
        <v>35878</v>
      </c>
      <c r="G686">
        <v>1</v>
      </c>
      <c r="H686">
        <v>134.63999999999999</v>
      </c>
      <c r="I686" t="s">
        <v>19</v>
      </c>
    </row>
    <row r="687" spans="1:9" x14ac:dyDescent="0.2">
      <c r="A687">
        <v>10933</v>
      </c>
      <c r="B687" t="s">
        <v>218</v>
      </c>
      <c r="C687">
        <v>6</v>
      </c>
      <c r="D687" s="6">
        <v>35860</v>
      </c>
      <c r="E687" s="6">
        <v>35888</v>
      </c>
      <c r="F687" s="6">
        <v>35870</v>
      </c>
      <c r="G687">
        <v>3</v>
      </c>
      <c r="H687">
        <v>54.15</v>
      </c>
      <c r="I687" t="s">
        <v>173</v>
      </c>
    </row>
    <row r="688" spans="1:9" x14ac:dyDescent="0.2">
      <c r="A688">
        <v>10934</v>
      </c>
      <c r="B688" t="s">
        <v>146</v>
      </c>
      <c r="C688">
        <v>3</v>
      </c>
      <c r="D688" s="6">
        <v>35863</v>
      </c>
      <c r="E688" s="6">
        <v>35891</v>
      </c>
      <c r="F688" s="6">
        <v>35866</v>
      </c>
      <c r="G688">
        <v>3</v>
      </c>
      <c r="H688">
        <v>32.01</v>
      </c>
      <c r="I688" t="s">
        <v>24</v>
      </c>
    </row>
    <row r="689" spans="1:9" x14ac:dyDescent="0.2">
      <c r="A689">
        <v>10935</v>
      </c>
      <c r="B689" t="s">
        <v>51</v>
      </c>
      <c r="C689">
        <v>4</v>
      </c>
      <c r="D689" s="6">
        <v>35863</v>
      </c>
      <c r="E689" s="6">
        <v>35891</v>
      </c>
      <c r="F689" s="6">
        <v>35872</v>
      </c>
      <c r="G689">
        <v>3</v>
      </c>
      <c r="H689">
        <v>47.59</v>
      </c>
      <c r="I689" t="s">
        <v>31</v>
      </c>
    </row>
    <row r="690" spans="1:9" x14ac:dyDescent="0.2">
      <c r="A690">
        <v>10936</v>
      </c>
      <c r="B690" t="s">
        <v>380</v>
      </c>
      <c r="C690">
        <v>3</v>
      </c>
      <c r="D690" s="6">
        <v>35863</v>
      </c>
      <c r="E690" s="6">
        <v>35891</v>
      </c>
      <c r="F690" s="6">
        <v>35872</v>
      </c>
      <c r="G690">
        <v>2</v>
      </c>
      <c r="H690">
        <v>33.68</v>
      </c>
      <c r="I690" t="s">
        <v>87</v>
      </c>
    </row>
    <row r="691" spans="1:9" x14ac:dyDescent="0.2">
      <c r="A691">
        <v>10937</v>
      </c>
      <c r="B691" t="s">
        <v>377</v>
      </c>
      <c r="C691">
        <v>7</v>
      </c>
      <c r="D691" s="6">
        <v>35864</v>
      </c>
      <c r="E691" s="6">
        <v>35878</v>
      </c>
      <c r="F691" s="6">
        <v>35867</v>
      </c>
      <c r="G691">
        <v>3</v>
      </c>
      <c r="H691">
        <v>31.51</v>
      </c>
      <c r="I691" t="s">
        <v>343</v>
      </c>
    </row>
    <row r="692" spans="1:9" x14ac:dyDescent="0.2">
      <c r="A692">
        <v>10938</v>
      </c>
      <c r="B692" t="s">
        <v>122</v>
      </c>
      <c r="C692">
        <v>3</v>
      </c>
      <c r="D692" s="6">
        <v>35864</v>
      </c>
      <c r="E692" s="6">
        <v>35892</v>
      </c>
      <c r="F692" s="6">
        <v>35870</v>
      </c>
      <c r="G692">
        <v>2</v>
      </c>
      <c r="H692">
        <v>31.89</v>
      </c>
      <c r="I692" t="s">
        <v>24</v>
      </c>
    </row>
    <row r="693" spans="1:9" x14ac:dyDescent="0.2">
      <c r="A693">
        <v>10939</v>
      </c>
      <c r="B693" t="s">
        <v>127</v>
      </c>
      <c r="C693">
        <v>2</v>
      </c>
      <c r="D693" s="6">
        <v>35864</v>
      </c>
      <c r="E693" s="6">
        <v>35892</v>
      </c>
      <c r="F693" s="6">
        <v>35867</v>
      </c>
      <c r="G693">
        <v>2</v>
      </c>
      <c r="H693">
        <v>76.33</v>
      </c>
      <c r="I693" t="s">
        <v>131</v>
      </c>
    </row>
    <row r="694" spans="1:9" x14ac:dyDescent="0.2">
      <c r="A694">
        <v>10940</v>
      </c>
      <c r="B694" t="s">
        <v>244</v>
      </c>
      <c r="C694">
        <v>8</v>
      </c>
      <c r="D694" s="6">
        <v>35865</v>
      </c>
      <c r="E694" s="6">
        <v>35893</v>
      </c>
      <c r="F694" s="6">
        <v>35877</v>
      </c>
      <c r="G694">
        <v>3</v>
      </c>
      <c r="H694">
        <v>19.77</v>
      </c>
      <c r="I694" t="s">
        <v>19</v>
      </c>
    </row>
    <row r="695" spans="1:9" x14ac:dyDescent="0.2">
      <c r="A695">
        <v>10941</v>
      </c>
      <c r="B695" t="s">
        <v>231</v>
      </c>
      <c r="C695">
        <v>7</v>
      </c>
      <c r="D695" s="6">
        <v>35865</v>
      </c>
      <c r="E695" s="6">
        <v>35893</v>
      </c>
      <c r="F695" s="6">
        <v>35874</v>
      </c>
      <c r="G695">
        <v>2</v>
      </c>
      <c r="H695">
        <v>400.81</v>
      </c>
      <c r="I695" t="s">
        <v>87</v>
      </c>
    </row>
    <row r="696" spans="1:9" x14ac:dyDescent="0.2">
      <c r="A696">
        <v>10942</v>
      </c>
      <c r="B696" t="s">
        <v>164</v>
      </c>
      <c r="C696">
        <v>9</v>
      </c>
      <c r="D696" s="6">
        <v>35865</v>
      </c>
      <c r="E696" s="6">
        <v>35893</v>
      </c>
      <c r="F696" s="6">
        <v>35872</v>
      </c>
      <c r="G696">
        <v>3</v>
      </c>
      <c r="H696">
        <v>17.95</v>
      </c>
      <c r="I696" t="s">
        <v>131</v>
      </c>
    </row>
    <row r="697" spans="1:9" x14ac:dyDescent="0.2">
      <c r="A697">
        <v>10943</v>
      </c>
      <c r="B697" t="s">
        <v>168</v>
      </c>
      <c r="C697">
        <v>4</v>
      </c>
      <c r="D697" s="6">
        <v>35865</v>
      </c>
      <c r="E697" s="6">
        <v>35893</v>
      </c>
      <c r="F697" s="6">
        <v>35873</v>
      </c>
      <c r="G697">
        <v>2</v>
      </c>
      <c r="H697">
        <v>2.17</v>
      </c>
      <c r="I697" t="s">
        <v>173</v>
      </c>
    </row>
    <row r="698" spans="1:9" x14ac:dyDescent="0.2">
      <c r="A698">
        <v>10944</v>
      </c>
      <c r="B698" t="s">
        <v>324</v>
      </c>
      <c r="C698">
        <v>6</v>
      </c>
      <c r="D698" s="6">
        <v>35866</v>
      </c>
      <c r="E698" s="6">
        <v>35880</v>
      </c>
      <c r="F698" s="6">
        <v>35867</v>
      </c>
      <c r="G698">
        <v>3</v>
      </c>
      <c r="H698">
        <v>52.92</v>
      </c>
      <c r="I698" t="s">
        <v>254</v>
      </c>
    </row>
    <row r="699" spans="1:9" x14ac:dyDescent="0.2">
      <c r="A699">
        <v>10945</v>
      </c>
      <c r="B699" t="s">
        <v>136</v>
      </c>
      <c r="C699">
        <v>4</v>
      </c>
      <c r="D699" s="6">
        <v>35866</v>
      </c>
      <c r="E699" s="6">
        <v>35894</v>
      </c>
      <c r="F699" s="6">
        <v>35872</v>
      </c>
      <c r="G699">
        <v>1</v>
      </c>
      <c r="H699">
        <v>10.220000000000001</v>
      </c>
      <c r="I699" t="s">
        <v>24</v>
      </c>
    </row>
    <row r="700" spans="1:9" x14ac:dyDescent="0.2">
      <c r="A700">
        <v>10946</v>
      </c>
      <c r="B700" t="s">
        <v>301</v>
      </c>
      <c r="C700">
        <v>1</v>
      </c>
      <c r="D700" s="6">
        <v>35866</v>
      </c>
      <c r="E700" s="6">
        <v>35894</v>
      </c>
      <c r="F700" s="6">
        <v>35873</v>
      </c>
      <c r="G700">
        <v>2</v>
      </c>
      <c r="H700">
        <v>27.2</v>
      </c>
      <c r="I700" t="s">
        <v>262</v>
      </c>
    </row>
    <row r="701" spans="1:9" x14ac:dyDescent="0.2">
      <c r="A701">
        <v>10947</v>
      </c>
      <c r="B701" t="s">
        <v>168</v>
      </c>
      <c r="C701">
        <v>3</v>
      </c>
      <c r="D701" s="6">
        <v>35867</v>
      </c>
      <c r="E701" s="6">
        <v>35895</v>
      </c>
      <c r="F701" s="6">
        <v>35870</v>
      </c>
      <c r="G701">
        <v>2</v>
      </c>
      <c r="H701">
        <v>3.26</v>
      </c>
      <c r="I701" t="s">
        <v>173</v>
      </c>
    </row>
    <row r="702" spans="1:9" x14ac:dyDescent="0.2">
      <c r="A702">
        <v>10948</v>
      </c>
      <c r="B702" t="s">
        <v>193</v>
      </c>
      <c r="C702">
        <v>3</v>
      </c>
      <c r="D702" s="6">
        <v>35867</v>
      </c>
      <c r="E702" s="6">
        <v>35895</v>
      </c>
      <c r="F702" s="6">
        <v>35873</v>
      </c>
      <c r="G702">
        <v>3</v>
      </c>
      <c r="H702">
        <v>23.39</v>
      </c>
      <c r="I702" t="s">
        <v>154</v>
      </c>
    </row>
    <row r="703" spans="1:9" x14ac:dyDescent="0.2">
      <c r="A703">
        <v>10949</v>
      </c>
      <c r="B703" t="s">
        <v>324</v>
      </c>
      <c r="C703">
        <v>2</v>
      </c>
      <c r="D703" s="6">
        <v>35867</v>
      </c>
      <c r="E703" s="6">
        <v>35895</v>
      </c>
      <c r="F703" s="6">
        <v>35871</v>
      </c>
      <c r="G703">
        <v>3</v>
      </c>
      <c r="H703">
        <v>74.44</v>
      </c>
      <c r="I703" t="s">
        <v>254</v>
      </c>
    </row>
    <row r="704" spans="1:9" x14ac:dyDescent="0.2">
      <c r="A704">
        <v>10950</v>
      </c>
      <c r="B704" t="s">
        <v>127</v>
      </c>
      <c r="C704">
        <v>1</v>
      </c>
      <c r="D704" s="6">
        <v>35870</v>
      </c>
      <c r="E704" s="6">
        <v>35898</v>
      </c>
      <c r="F704" s="6">
        <v>35877</v>
      </c>
      <c r="G704">
        <v>2</v>
      </c>
      <c r="H704">
        <v>2.5</v>
      </c>
      <c r="I704" t="s">
        <v>131</v>
      </c>
    </row>
    <row r="705" spans="1:9" x14ac:dyDescent="0.2">
      <c r="A705">
        <v>10951</v>
      </c>
      <c r="B705" t="s">
        <v>47</v>
      </c>
      <c r="C705">
        <v>9</v>
      </c>
      <c r="D705" s="6">
        <v>35870</v>
      </c>
      <c r="E705" s="6">
        <v>35912</v>
      </c>
      <c r="F705" s="6">
        <v>35892</v>
      </c>
      <c r="G705">
        <v>2</v>
      </c>
      <c r="H705">
        <v>30.85</v>
      </c>
      <c r="I705" t="s">
        <v>46</v>
      </c>
    </row>
    <row r="706" spans="1:9" x14ac:dyDescent="0.2">
      <c r="A706">
        <v>10952</v>
      </c>
      <c r="B706" t="s">
        <v>407</v>
      </c>
      <c r="C706">
        <v>1</v>
      </c>
      <c r="D706" s="6">
        <v>35870</v>
      </c>
      <c r="E706" s="6">
        <v>35912</v>
      </c>
      <c r="F706" s="6">
        <v>35878</v>
      </c>
      <c r="G706">
        <v>1</v>
      </c>
      <c r="H706">
        <v>40.42</v>
      </c>
      <c r="I706" t="s">
        <v>24</v>
      </c>
    </row>
    <row r="707" spans="1:9" x14ac:dyDescent="0.2">
      <c r="A707">
        <v>10953</v>
      </c>
      <c r="B707" t="s">
        <v>275</v>
      </c>
      <c r="C707">
        <v>9</v>
      </c>
      <c r="D707" s="6">
        <v>35870</v>
      </c>
      <c r="E707" s="6">
        <v>35884</v>
      </c>
      <c r="F707" s="6">
        <v>35879</v>
      </c>
      <c r="G707">
        <v>2</v>
      </c>
      <c r="H707">
        <v>23.72</v>
      </c>
      <c r="I707" t="s">
        <v>173</v>
      </c>
    </row>
    <row r="708" spans="1:9" x14ac:dyDescent="0.2">
      <c r="A708">
        <v>10954</v>
      </c>
      <c r="B708" t="s">
        <v>330</v>
      </c>
      <c r="C708">
        <v>5</v>
      </c>
      <c r="D708" s="6">
        <v>35871</v>
      </c>
      <c r="E708" s="6">
        <v>35913</v>
      </c>
      <c r="F708" s="6">
        <v>35874</v>
      </c>
      <c r="G708">
        <v>1</v>
      </c>
      <c r="H708">
        <v>27.91</v>
      </c>
      <c r="I708" t="s">
        <v>62</v>
      </c>
    </row>
    <row r="709" spans="1:9" x14ac:dyDescent="0.2">
      <c r="A709">
        <v>10955</v>
      </c>
      <c r="B709" t="s">
        <v>88</v>
      </c>
      <c r="C709">
        <v>8</v>
      </c>
      <c r="D709" s="6">
        <v>35871</v>
      </c>
      <c r="E709" s="6">
        <v>35899</v>
      </c>
      <c r="F709" s="6">
        <v>35874</v>
      </c>
      <c r="G709">
        <v>2</v>
      </c>
      <c r="H709">
        <v>3.26</v>
      </c>
      <c r="I709" t="s">
        <v>93</v>
      </c>
    </row>
    <row r="710" spans="1:9" x14ac:dyDescent="0.2">
      <c r="A710">
        <v>10956</v>
      </c>
      <c r="B710" t="s">
        <v>369</v>
      </c>
      <c r="C710">
        <v>6</v>
      </c>
      <c r="D710" s="6">
        <v>35871</v>
      </c>
      <c r="E710" s="6">
        <v>35913</v>
      </c>
      <c r="F710" s="6">
        <v>35874</v>
      </c>
      <c r="G710">
        <v>2</v>
      </c>
      <c r="H710">
        <v>44.65</v>
      </c>
      <c r="I710" t="s">
        <v>24</v>
      </c>
    </row>
    <row r="711" spans="1:9" x14ac:dyDescent="0.2">
      <c r="A711">
        <v>10957</v>
      </c>
      <c r="B711" t="s">
        <v>57</v>
      </c>
      <c r="C711">
        <v>8</v>
      </c>
      <c r="D711" s="6">
        <v>35872</v>
      </c>
      <c r="E711" s="6">
        <v>35900</v>
      </c>
      <c r="F711" s="6">
        <v>35881</v>
      </c>
      <c r="G711">
        <v>3</v>
      </c>
      <c r="H711">
        <v>105.36</v>
      </c>
      <c r="I711" t="s">
        <v>62</v>
      </c>
    </row>
    <row r="712" spans="1:9" x14ac:dyDescent="0.2">
      <c r="A712">
        <v>10958</v>
      </c>
      <c r="B712" t="s">
        <v>339</v>
      </c>
      <c r="C712">
        <v>7</v>
      </c>
      <c r="D712" s="6">
        <v>35872</v>
      </c>
      <c r="E712" s="6">
        <v>35900</v>
      </c>
      <c r="F712" s="6">
        <v>35881</v>
      </c>
      <c r="G712">
        <v>2</v>
      </c>
      <c r="H712">
        <v>49.56</v>
      </c>
      <c r="I712" t="s">
        <v>343</v>
      </c>
    </row>
    <row r="713" spans="1:9" x14ac:dyDescent="0.2">
      <c r="A713">
        <v>10959</v>
      </c>
      <c r="B713" t="s">
        <v>348</v>
      </c>
      <c r="C713">
        <v>6</v>
      </c>
      <c r="D713" s="6">
        <v>35872</v>
      </c>
      <c r="E713" s="6">
        <v>35914</v>
      </c>
      <c r="F713" s="6">
        <v>35877</v>
      </c>
      <c r="G713">
        <v>2</v>
      </c>
      <c r="H713">
        <v>4.9800000000000004</v>
      </c>
      <c r="I713" t="s">
        <v>31</v>
      </c>
    </row>
    <row r="714" spans="1:9" x14ac:dyDescent="0.2">
      <c r="A714">
        <v>10960</v>
      </c>
      <c r="B714" t="s">
        <v>57</v>
      </c>
      <c r="C714">
        <v>3</v>
      </c>
      <c r="D714" s="6">
        <v>35873</v>
      </c>
      <c r="E714" s="6">
        <v>35887</v>
      </c>
      <c r="F714" s="6">
        <v>35893</v>
      </c>
      <c r="G714">
        <v>1</v>
      </c>
      <c r="H714">
        <v>2.08</v>
      </c>
      <c r="I714" t="s">
        <v>62</v>
      </c>
    </row>
    <row r="715" spans="1:9" x14ac:dyDescent="0.2">
      <c r="A715">
        <v>10961</v>
      </c>
      <c r="B715" t="s">
        <v>305</v>
      </c>
      <c r="C715">
        <v>8</v>
      </c>
      <c r="D715" s="6">
        <v>35873</v>
      </c>
      <c r="E715" s="6">
        <v>35901</v>
      </c>
      <c r="F715" s="6">
        <v>35884</v>
      </c>
      <c r="G715">
        <v>1</v>
      </c>
      <c r="H715">
        <v>104.47</v>
      </c>
      <c r="I715" t="s">
        <v>31</v>
      </c>
    </row>
    <row r="716" spans="1:9" x14ac:dyDescent="0.2">
      <c r="A716">
        <v>10962</v>
      </c>
      <c r="B716" t="s">
        <v>122</v>
      </c>
      <c r="C716">
        <v>8</v>
      </c>
      <c r="D716" s="6">
        <v>35873</v>
      </c>
      <c r="E716" s="6">
        <v>35901</v>
      </c>
      <c r="F716" s="6">
        <v>35877</v>
      </c>
      <c r="G716">
        <v>2</v>
      </c>
      <c r="H716">
        <v>275.79000000000002</v>
      </c>
      <c r="I716" t="s">
        <v>24</v>
      </c>
    </row>
    <row r="717" spans="1:9" x14ac:dyDescent="0.2">
      <c r="A717">
        <v>10963</v>
      </c>
      <c r="B717" t="s">
        <v>239</v>
      </c>
      <c r="C717">
        <v>9</v>
      </c>
      <c r="D717" s="6">
        <v>35873</v>
      </c>
      <c r="E717" s="6">
        <v>35901</v>
      </c>
      <c r="F717" s="6">
        <v>35880</v>
      </c>
      <c r="G717">
        <v>3</v>
      </c>
      <c r="H717">
        <v>2.7</v>
      </c>
      <c r="I717" t="s">
        <v>243</v>
      </c>
    </row>
    <row r="718" spans="1:9" x14ac:dyDescent="0.2">
      <c r="A718">
        <v>10964</v>
      </c>
      <c r="B718" t="s">
        <v>415</v>
      </c>
      <c r="C718">
        <v>3</v>
      </c>
      <c r="D718" s="6">
        <v>35874</v>
      </c>
      <c r="E718" s="6">
        <v>35902</v>
      </c>
      <c r="F718" s="6">
        <v>35878</v>
      </c>
      <c r="G718">
        <v>2</v>
      </c>
      <c r="H718">
        <v>87.38</v>
      </c>
      <c r="I718" t="s">
        <v>19</v>
      </c>
    </row>
    <row r="719" spans="1:9" x14ac:dyDescent="0.2">
      <c r="A719">
        <v>10965</v>
      </c>
      <c r="B719" t="s">
        <v>197</v>
      </c>
      <c r="C719">
        <v>6</v>
      </c>
      <c r="D719" s="6">
        <v>35874</v>
      </c>
      <c r="E719" s="6">
        <v>35902</v>
      </c>
      <c r="F719" s="6">
        <v>35884</v>
      </c>
      <c r="G719">
        <v>3</v>
      </c>
      <c r="H719">
        <v>144.38</v>
      </c>
      <c r="I719" t="s">
        <v>87</v>
      </c>
    </row>
    <row r="720" spans="1:9" x14ac:dyDescent="0.2">
      <c r="A720">
        <v>10966</v>
      </c>
      <c r="B720" t="s">
        <v>42</v>
      </c>
      <c r="C720">
        <v>4</v>
      </c>
      <c r="D720" s="6">
        <v>35874</v>
      </c>
      <c r="E720" s="6">
        <v>35902</v>
      </c>
      <c r="F720" s="6">
        <v>35893</v>
      </c>
      <c r="G720">
        <v>1</v>
      </c>
      <c r="H720">
        <v>27.19</v>
      </c>
      <c r="I720" t="s">
        <v>46</v>
      </c>
    </row>
    <row r="721" spans="1:9" x14ac:dyDescent="0.2">
      <c r="A721">
        <v>10967</v>
      </c>
      <c r="B721" t="s">
        <v>20</v>
      </c>
      <c r="C721">
        <v>2</v>
      </c>
      <c r="D721" s="6">
        <v>35877</v>
      </c>
      <c r="E721" s="6">
        <v>35905</v>
      </c>
      <c r="F721" s="6">
        <v>35887</v>
      </c>
      <c r="G721">
        <v>2</v>
      </c>
      <c r="H721">
        <v>62.22</v>
      </c>
      <c r="I721" t="s">
        <v>24</v>
      </c>
    </row>
    <row r="722" spans="1:9" x14ac:dyDescent="0.2">
      <c r="A722">
        <v>10968</v>
      </c>
      <c r="B722" t="s">
        <v>63</v>
      </c>
      <c r="C722">
        <v>1</v>
      </c>
      <c r="D722" s="6">
        <v>35877</v>
      </c>
      <c r="E722" s="6">
        <v>35905</v>
      </c>
      <c r="F722" s="6">
        <v>35886</v>
      </c>
      <c r="G722">
        <v>3</v>
      </c>
      <c r="H722">
        <v>74.599999999999994</v>
      </c>
      <c r="I722" t="s">
        <v>67</v>
      </c>
    </row>
    <row r="723" spans="1:9" x14ac:dyDescent="0.2">
      <c r="A723">
        <v>10969</v>
      </c>
      <c r="B723" t="s">
        <v>174</v>
      </c>
      <c r="C723">
        <v>1</v>
      </c>
      <c r="D723" s="6">
        <v>35877</v>
      </c>
      <c r="E723" s="6">
        <v>35905</v>
      </c>
      <c r="F723" s="6">
        <v>35884</v>
      </c>
      <c r="G723">
        <v>2</v>
      </c>
      <c r="H723">
        <v>0.21</v>
      </c>
      <c r="I723" t="s">
        <v>31</v>
      </c>
    </row>
    <row r="724" spans="1:9" x14ac:dyDescent="0.2">
      <c r="A724">
        <v>10970</v>
      </c>
      <c r="B724" t="s">
        <v>236</v>
      </c>
      <c r="C724">
        <v>9</v>
      </c>
      <c r="D724" s="6">
        <v>35878</v>
      </c>
      <c r="E724" s="6">
        <v>35892</v>
      </c>
      <c r="F724" s="6">
        <v>35909</v>
      </c>
      <c r="G724">
        <v>1</v>
      </c>
      <c r="H724">
        <v>16.16</v>
      </c>
      <c r="I724" t="s">
        <v>154</v>
      </c>
    </row>
    <row r="725" spans="1:9" x14ac:dyDescent="0.2">
      <c r="A725">
        <v>10971</v>
      </c>
      <c r="B725" t="s">
        <v>411</v>
      </c>
      <c r="C725">
        <v>2</v>
      </c>
      <c r="D725" s="6">
        <v>35878</v>
      </c>
      <c r="E725" s="6">
        <v>35906</v>
      </c>
      <c r="F725" s="6">
        <v>35887</v>
      </c>
      <c r="G725">
        <v>2</v>
      </c>
      <c r="H725">
        <v>121.82</v>
      </c>
      <c r="I725" t="s">
        <v>19</v>
      </c>
    </row>
    <row r="726" spans="1:9" x14ac:dyDescent="0.2">
      <c r="A726">
        <v>10972</v>
      </c>
      <c r="B726" t="s">
        <v>419</v>
      </c>
      <c r="C726">
        <v>4</v>
      </c>
      <c r="D726" s="6">
        <v>35878</v>
      </c>
      <c r="E726" s="6">
        <v>35906</v>
      </c>
      <c r="F726" s="6">
        <v>35880</v>
      </c>
      <c r="G726">
        <v>2</v>
      </c>
      <c r="H726">
        <v>0.02</v>
      </c>
      <c r="I726" t="s">
        <v>19</v>
      </c>
    </row>
    <row r="727" spans="1:9" x14ac:dyDescent="0.2">
      <c r="A727">
        <v>10973</v>
      </c>
      <c r="B727" t="s">
        <v>419</v>
      </c>
      <c r="C727">
        <v>6</v>
      </c>
      <c r="D727" s="6">
        <v>35878</v>
      </c>
      <c r="E727" s="6">
        <v>35906</v>
      </c>
      <c r="F727" s="6">
        <v>35881</v>
      </c>
      <c r="G727">
        <v>2</v>
      </c>
      <c r="H727">
        <v>15.17</v>
      </c>
      <c r="I727" t="s">
        <v>19</v>
      </c>
    </row>
    <row r="728" spans="1:9" x14ac:dyDescent="0.2">
      <c r="A728">
        <v>10974</v>
      </c>
      <c r="B728" t="s">
        <v>117</v>
      </c>
      <c r="C728">
        <v>3</v>
      </c>
      <c r="D728" s="6">
        <v>35879</v>
      </c>
      <c r="E728" s="6">
        <v>35893</v>
      </c>
      <c r="F728" s="6">
        <v>35888</v>
      </c>
      <c r="G728">
        <v>3</v>
      </c>
      <c r="H728">
        <v>12.96</v>
      </c>
      <c r="I728" t="s">
        <v>87</v>
      </c>
    </row>
    <row r="729" spans="1:9" x14ac:dyDescent="0.2">
      <c r="A729">
        <v>10975</v>
      </c>
      <c r="B729" t="s">
        <v>324</v>
      </c>
      <c r="C729">
        <v>1</v>
      </c>
      <c r="D729" s="6">
        <v>35879</v>
      </c>
      <c r="E729" s="6">
        <v>35907</v>
      </c>
      <c r="F729" s="6">
        <v>35881</v>
      </c>
      <c r="G729">
        <v>3</v>
      </c>
      <c r="H729">
        <v>32.270000000000003</v>
      </c>
      <c r="I729" t="s">
        <v>254</v>
      </c>
    </row>
    <row r="730" spans="1:9" x14ac:dyDescent="0.2">
      <c r="A730">
        <v>10976</v>
      </c>
      <c r="B730" t="s">
        <v>57</v>
      </c>
      <c r="C730">
        <v>1</v>
      </c>
      <c r="D730" s="6">
        <v>35879</v>
      </c>
      <c r="E730" s="6">
        <v>35921</v>
      </c>
      <c r="F730" s="6">
        <v>35888</v>
      </c>
      <c r="G730">
        <v>1</v>
      </c>
      <c r="H730">
        <v>37.97</v>
      </c>
      <c r="I730" t="s">
        <v>62</v>
      </c>
    </row>
    <row r="731" spans="1:9" x14ac:dyDescent="0.2">
      <c r="A731">
        <v>10977</v>
      </c>
      <c r="B731" t="s">
        <v>88</v>
      </c>
      <c r="C731">
        <v>8</v>
      </c>
      <c r="D731" s="6">
        <v>35880</v>
      </c>
      <c r="E731" s="6">
        <v>35908</v>
      </c>
      <c r="F731" s="6">
        <v>35895</v>
      </c>
      <c r="G731">
        <v>3</v>
      </c>
      <c r="H731">
        <v>208.5</v>
      </c>
      <c r="I731" t="s">
        <v>93</v>
      </c>
    </row>
    <row r="732" spans="1:9" x14ac:dyDescent="0.2">
      <c r="A732">
        <v>10978</v>
      </c>
      <c r="B732" t="s">
        <v>384</v>
      </c>
      <c r="C732">
        <v>9</v>
      </c>
      <c r="D732" s="6">
        <v>35880</v>
      </c>
      <c r="E732" s="6">
        <v>35908</v>
      </c>
      <c r="F732" s="6">
        <v>35908</v>
      </c>
      <c r="G732">
        <v>2</v>
      </c>
      <c r="H732">
        <v>32.82</v>
      </c>
      <c r="I732" t="s">
        <v>41</v>
      </c>
    </row>
    <row r="733" spans="1:9" x14ac:dyDescent="0.2">
      <c r="A733">
        <v>10979</v>
      </c>
      <c r="B733" t="s">
        <v>63</v>
      </c>
      <c r="C733">
        <v>8</v>
      </c>
      <c r="D733" s="6">
        <v>35880</v>
      </c>
      <c r="E733" s="6">
        <v>35908</v>
      </c>
      <c r="F733" s="6">
        <v>35885</v>
      </c>
      <c r="G733">
        <v>2</v>
      </c>
      <c r="H733">
        <v>353.07</v>
      </c>
      <c r="I733" t="s">
        <v>67</v>
      </c>
    </row>
    <row r="734" spans="1:9" x14ac:dyDescent="0.2">
      <c r="A734">
        <v>10980</v>
      </c>
      <c r="B734" t="s">
        <v>88</v>
      </c>
      <c r="C734">
        <v>4</v>
      </c>
      <c r="D734" s="6">
        <v>35881</v>
      </c>
      <c r="E734" s="6">
        <v>35923</v>
      </c>
      <c r="F734" s="6">
        <v>35902</v>
      </c>
      <c r="G734">
        <v>1</v>
      </c>
      <c r="H734">
        <v>1.26</v>
      </c>
      <c r="I734" t="s">
        <v>93</v>
      </c>
    </row>
    <row r="735" spans="1:9" x14ac:dyDescent="0.2">
      <c r="A735">
        <v>10981</v>
      </c>
      <c r="B735" t="s">
        <v>25</v>
      </c>
      <c r="C735">
        <v>1</v>
      </c>
      <c r="D735" s="6">
        <v>35881</v>
      </c>
      <c r="E735" s="6">
        <v>35909</v>
      </c>
      <c r="F735" s="6">
        <v>35887</v>
      </c>
      <c r="G735">
        <v>2</v>
      </c>
      <c r="H735">
        <v>193.37</v>
      </c>
      <c r="I735" t="s">
        <v>31</v>
      </c>
    </row>
    <row r="736" spans="1:9" x14ac:dyDescent="0.2">
      <c r="A736">
        <v>10982</v>
      </c>
      <c r="B736" t="s">
        <v>324</v>
      </c>
      <c r="C736">
        <v>2</v>
      </c>
      <c r="D736" s="6">
        <v>35881</v>
      </c>
      <c r="E736" s="6">
        <v>35909</v>
      </c>
      <c r="F736" s="6">
        <v>35893</v>
      </c>
      <c r="G736">
        <v>1</v>
      </c>
      <c r="H736">
        <v>14.01</v>
      </c>
      <c r="I736" t="s">
        <v>254</v>
      </c>
    </row>
    <row r="737" spans="1:9" x14ac:dyDescent="0.2">
      <c r="A737">
        <v>10983</v>
      </c>
      <c r="B737" t="s">
        <v>231</v>
      </c>
      <c r="C737">
        <v>2</v>
      </c>
      <c r="D737" s="6">
        <v>35881</v>
      </c>
      <c r="E737" s="6">
        <v>35909</v>
      </c>
      <c r="F737" s="6">
        <v>35891</v>
      </c>
      <c r="G737">
        <v>2</v>
      </c>
      <c r="H737">
        <v>657.54</v>
      </c>
      <c r="I737" t="s">
        <v>87</v>
      </c>
    </row>
    <row r="738" spans="1:9" x14ac:dyDescent="0.2">
      <c r="A738">
        <v>10984</v>
      </c>
      <c r="B738" t="s">
        <v>231</v>
      </c>
      <c r="C738">
        <v>1</v>
      </c>
      <c r="D738" s="6">
        <v>35884</v>
      </c>
      <c r="E738" s="6">
        <v>35912</v>
      </c>
      <c r="F738" s="6">
        <v>35888</v>
      </c>
      <c r="G738">
        <v>3</v>
      </c>
      <c r="H738">
        <v>211.22</v>
      </c>
      <c r="I738" t="s">
        <v>87</v>
      </c>
    </row>
    <row r="739" spans="1:9" x14ac:dyDescent="0.2">
      <c r="A739">
        <v>10985</v>
      </c>
      <c r="B739" t="s">
        <v>183</v>
      </c>
      <c r="C739">
        <v>2</v>
      </c>
      <c r="D739" s="6">
        <v>35884</v>
      </c>
      <c r="E739" s="6">
        <v>35912</v>
      </c>
      <c r="F739" s="6">
        <v>35887</v>
      </c>
      <c r="G739">
        <v>1</v>
      </c>
      <c r="H739">
        <v>91.51</v>
      </c>
      <c r="I739" t="s">
        <v>188</v>
      </c>
    </row>
    <row r="740" spans="1:9" x14ac:dyDescent="0.2">
      <c r="A740">
        <v>10986</v>
      </c>
      <c r="B740" t="s">
        <v>339</v>
      </c>
      <c r="C740">
        <v>8</v>
      </c>
      <c r="D740" s="6">
        <v>35884</v>
      </c>
      <c r="E740" s="6">
        <v>35912</v>
      </c>
      <c r="F740" s="6">
        <v>35906</v>
      </c>
      <c r="G740">
        <v>2</v>
      </c>
      <c r="H740">
        <v>217.86</v>
      </c>
      <c r="I740" t="s">
        <v>343</v>
      </c>
    </row>
    <row r="741" spans="1:9" x14ac:dyDescent="0.2">
      <c r="A741">
        <v>10987</v>
      </c>
      <c r="B741" t="s">
        <v>289</v>
      </c>
      <c r="C741">
        <v>8</v>
      </c>
      <c r="D741" s="6">
        <v>35885</v>
      </c>
      <c r="E741" s="6">
        <v>35913</v>
      </c>
      <c r="F741" s="6">
        <v>35891</v>
      </c>
      <c r="G741">
        <v>1</v>
      </c>
      <c r="H741">
        <v>185.48</v>
      </c>
      <c r="I741" t="s">
        <v>173</v>
      </c>
    </row>
    <row r="742" spans="1:9" x14ac:dyDescent="0.2">
      <c r="A742">
        <v>10988</v>
      </c>
      <c r="B742" t="s">
        <v>82</v>
      </c>
      <c r="C742">
        <v>3</v>
      </c>
      <c r="D742" s="6">
        <v>35885</v>
      </c>
      <c r="E742" s="6">
        <v>35913</v>
      </c>
      <c r="F742" s="6">
        <v>35895</v>
      </c>
      <c r="G742">
        <v>2</v>
      </c>
      <c r="H742">
        <v>61.14</v>
      </c>
      <c r="I742" t="s">
        <v>87</v>
      </c>
    </row>
    <row r="743" spans="1:9" x14ac:dyDescent="0.2">
      <c r="A743">
        <v>10989</v>
      </c>
      <c r="B743" t="s">
        <v>78</v>
      </c>
      <c r="C743">
        <v>2</v>
      </c>
      <c r="D743" s="6">
        <v>35885</v>
      </c>
      <c r="E743" s="6">
        <v>35913</v>
      </c>
      <c r="F743" s="6">
        <v>35887</v>
      </c>
      <c r="G743">
        <v>1</v>
      </c>
      <c r="H743">
        <v>34.76</v>
      </c>
      <c r="I743" t="s">
        <v>31</v>
      </c>
    </row>
    <row r="744" spans="1:9" x14ac:dyDescent="0.2">
      <c r="A744">
        <v>10990</v>
      </c>
      <c r="B744" t="s">
        <v>63</v>
      </c>
      <c r="C744">
        <v>2</v>
      </c>
      <c r="D744" s="6">
        <v>35886</v>
      </c>
      <c r="E744" s="6">
        <v>35928</v>
      </c>
      <c r="F744" s="6">
        <v>35892</v>
      </c>
      <c r="G744">
        <v>3</v>
      </c>
      <c r="H744">
        <v>117.61</v>
      </c>
      <c r="I744" t="s">
        <v>67</v>
      </c>
    </row>
    <row r="745" spans="1:9" x14ac:dyDescent="0.2">
      <c r="A745">
        <v>10991</v>
      </c>
      <c r="B745" t="s">
        <v>122</v>
      </c>
      <c r="C745">
        <v>1</v>
      </c>
      <c r="D745" s="6">
        <v>35886</v>
      </c>
      <c r="E745" s="6">
        <v>35914</v>
      </c>
      <c r="F745" s="6">
        <v>35892</v>
      </c>
      <c r="G745">
        <v>1</v>
      </c>
      <c r="H745">
        <v>38.51</v>
      </c>
      <c r="I745" t="s">
        <v>24</v>
      </c>
    </row>
    <row r="746" spans="1:9" x14ac:dyDescent="0.2">
      <c r="A746">
        <v>10992</v>
      </c>
      <c r="B746" t="s">
        <v>211</v>
      </c>
      <c r="C746">
        <v>1</v>
      </c>
      <c r="D746" s="6">
        <v>35886</v>
      </c>
      <c r="E746" s="6">
        <v>35914</v>
      </c>
      <c r="F746" s="6">
        <v>35888</v>
      </c>
      <c r="G746">
        <v>3</v>
      </c>
      <c r="H746">
        <v>4.2699999999999996</v>
      </c>
      <c r="I746" t="s">
        <v>87</v>
      </c>
    </row>
    <row r="747" spans="1:9" x14ac:dyDescent="0.2">
      <c r="A747">
        <v>10993</v>
      </c>
      <c r="B747" t="s">
        <v>88</v>
      </c>
      <c r="C747">
        <v>7</v>
      </c>
      <c r="D747" s="6">
        <v>35886</v>
      </c>
      <c r="E747" s="6">
        <v>35914</v>
      </c>
      <c r="F747" s="6">
        <v>35895</v>
      </c>
      <c r="G747">
        <v>3</v>
      </c>
      <c r="H747">
        <v>8.81</v>
      </c>
      <c r="I747" t="s">
        <v>93</v>
      </c>
    </row>
    <row r="748" spans="1:9" x14ac:dyDescent="0.2">
      <c r="A748">
        <v>10994</v>
      </c>
      <c r="B748" t="s">
        <v>301</v>
      </c>
      <c r="C748">
        <v>2</v>
      </c>
      <c r="D748" s="6">
        <v>35887</v>
      </c>
      <c r="E748" s="6">
        <v>35901</v>
      </c>
      <c r="F748" s="6">
        <v>35894</v>
      </c>
      <c r="G748">
        <v>3</v>
      </c>
      <c r="H748">
        <v>65.53</v>
      </c>
      <c r="I748" t="s">
        <v>262</v>
      </c>
    </row>
    <row r="749" spans="1:9" x14ac:dyDescent="0.2">
      <c r="A749">
        <v>10995</v>
      </c>
      <c r="B749" t="s">
        <v>224</v>
      </c>
      <c r="C749">
        <v>1</v>
      </c>
      <c r="D749" s="6">
        <v>35887</v>
      </c>
      <c r="E749" s="6">
        <v>35915</v>
      </c>
      <c r="F749" s="6">
        <v>35891</v>
      </c>
      <c r="G749">
        <v>3</v>
      </c>
      <c r="H749">
        <v>46</v>
      </c>
      <c r="I749" t="s">
        <v>73</v>
      </c>
    </row>
    <row r="750" spans="1:9" x14ac:dyDescent="0.2">
      <c r="A750">
        <v>10996</v>
      </c>
      <c r="B750" t="s">
        <v>122</v>
      </c>
      <c r="C750">
        <v>4</v>
      </c>
      <c r="D750" s="6">
        <v>35887</v>
      </c>
      <c r="E750" s="6">
        <v>35915</v>
      </c>
      <c r="F750" s="6">
        <v>35895</v>
      </c>
      <c r="G750">
        <v>2</v>
      </c>
      <c r="H750">
        <v>1.1200000000000001</v>
      </c>
      <c r="I750" t="s">
        <v>24</v>
      </c>
    </row>
    <row r="751" spans="1:9" x14ac:dyDescent="0.2">
      <c r="A751">
        <v>10997</v>
      </c>
      <c r="B751" t="s">
        <v>155</v>
      </c>
      <c r="C751">
        <v>8</v>
      </c>
      <c r="D751" s="6">
        <v>35888</v>
      </c>
      <c r="E751" s="6">
        <v>35930</v>
      </c>
      <c r="F751" s="6">
        <v>35898</v>
      </c>
      <c r="G751">
        <v>2</v>
      </c>
      <c r="H751">
        <v>73.91</v>
      </c>
      <c r="I751" t="s">
        <v>62</v>
      </c>
    </row>
    <row r="752" spans="1:9" x14ac:dyDescent="0.2">
      <c r="A752">
        <v>10998</v>
      </c>
      <c r="B752" t="s">
        <v>309</v>
      </c>
      <c r="C752">
        <v>8</v>
      </c>
      <c r="D752" s="6">
        <v>35888</v>
      </c>
      <c r="E752" s="6">
        <v>35902</v>
      </c>
      <c r="F752" s="6">
        <v>35902</v>
      </c>
      <c r="G752">
        <v>2</v>
      </c>
      <c r="H752">
        <v>20.309999999999999</v>
      </c>
      <c r="I752" t="s">
        <v>314</v>
      </c>
    </row>
    <row r="753" spans="1:9" x14ac:dyDescent="0.2">
      <c r="A753">
        <v>10999</v>
      </c>
      <c r="B753" t="s">
        <v>74</v>
      </c>
      <c r="C753">
        <v>6</v>
      </c>
      <c r="D753" s="6">
        <v>35888</v>
      </c>
      <c r="E753" s="6">
        <v>35916</v>
      </c>
      <c r="F753" s="6">
        <v>35895</v>
      </c>
      <c r="G753">
        <v>2</v>
      </c>
      <c r="H753">
        <v>96.35</v>
      </c>
      <c r="I753" t="s">
        <v>24</v>
      </c>
    </row>
    <row r="754" spans="1:9" x14ac:dyDescent="0.2">
      <c r="A754">
        <v>11000</v>
      </c>
      <c r="B754" t="s">
        <v>82</v>
      </c>
      <c r="C754">
        <v>2</v>
      </c>
      <c r="D754" s="6">
        <v>35891</v>
      </c>
      <c r="E754" s="6">
        <v>35919</v>
      </c>
      <c r="F754" s="6">
        <v>35899</v>
      </c>
      <c r="G754">
        <v>3</v>
      </c>
      <c r="H754">
        <v>55.12</v>
      </c>
      <c r="I754" t="s">
        <v>87</v>
      </c>
    </row>
    <row r="755" spans="1:9" x14ac:dyDescent="0.2">
      <c r="A755">
        <v>11001</v>
      </c>
      <c r="B755" t="s">
        <v>88</v>
      </c>
      <c r="C755">
        <v>2</v>
      </c>
      <c r="D755" s="6">
        <v>35891</v>
      </c>
      <c r="E755" s="6">
        <v>35919</v>
      </c>
      <c r="F755" s="6">
        <v>35899</v>
      </c>
      <c r="G755">
        <v>2</v>
      </c>
      <c r="H755">
        <v>197.3</v>
      </c>
      <c r="I755" t="s">
        <v>93</v>
      </c>
    </row>
    <row r="756" spans="1:9" x14ac:dyDescent="0.2">
      <c r="A756">
        <v>11002</v>
      </c>
      <c r="B756" t="s">
        <v>231</v>
      </c>
      <c r="C756">
        <v>4</v>
      </c>
      <c r="D756" s="6">
        <v>35891</v>
      </c>
      <c r="E756" s="6">
        <v>35919</v>
      </c>
      <c r="F756" s="6">
        <v>35901</v>
      </c>
      <c r="G756">
        <v>1</v>
      </c>
      <c r="H756">
        <v>141.16</v>
      </c>
      <c r="I756" t="s">
        <v>87</v>
      </c>
    </row>
    <row r="757" spans="1:9" x14ac:dyDescent="0.2">
      <c r="A757">
        <v>11003</v>
      </c>
      <c r="B757" t="s">
        <v>402</v>
      </c>
      <c r="C757">
        <v>3</v>
      </c>
      <c r="D757" s="6">
        <v>35891</v>
      </c>
      <c r="E757" s="6">
        <v>35919</v>
      </c>
      <c r="F757" s="6">
        <v>35893</v>
      </c>
      <c r="G757">
        <v>3</v>
      </c>
      <c r="H757">
        <v>14.91</v>
      </c>
      <c r="I757" t="s">
        <v>87</v>
      </c>
    </row>
    <row r="758" spans="1:9" x14ac:dyDescent="0.2">
      <c r="A758">
        <v>11004</v>
      </c>
      <c r="B758" t="s">
        <v>384</v>
      </c>
      <c r="C758">
        <v>3</v>
      </c>
      <c r="D758" s="6">
        <v>35892</v>
      </c>
      <c r="E758" s="6">
        <v>35920</v>
      </c>
      <c r="F758" s="6">
        <v>35905</v>
      </c>
      <c r="G758">
        <v>1</v>
      </c>
      <c r="H758">
        <v>44.84</v>
      </c>
      <c r="I758" t="s">
        <v>41</v>
      </c>
    </row>
    <row r="759" spans="1:9" x14ac:dyDescent="0.2">
      <c r="A759">
        <v>11005</v>
      </c>
      <c r="B759" t="s">
        <v>398</v>
      </c>
      <c r="C759">
        <v>2</v>
      </c>
      <c r="D759" s="6">
        <v>35892</v>
      </c>
      <c r="E759" s="6">
        <v>35920</v>
      </c>
      <c r="F759" s="6">
        <v>35895</v>
      </c>
      <c r="G759">
        <v>1</v>
      </c>
      <c r="H759">
        <v>0.75</v>
      </c>
      <c r="I759" t="s">
        <v>102</v>
      </c>
    </row>
    <row r="760" spans="1:9" x14ac:dyDescent="0.2">
      <c r="A760">
        <v>11006</v>
      </c>
      <c r="B760" t="s">
        <v>380</v>
      </c>
      <c r="C760">
        <v>3</v>
      </c>
      <c r="D760" s="6">
        <v>35892</v>
      </c>
      <c r="E760" s="6">
        <v>35920</v>
      </c>
      <c r="F760" s="6">
        <v>35900</v>
      </c>
      <c r="G760">
        <v>2</v>
      </c>
      <c r="H760">
        <v>25.19</v>
      </c>
      <c r="I760" t="s">
        <v>87</v>
      </c>
    </row>
    <row r="761" spans="1:9" x14ac:dyDescent="0.2">
      <c r="A761">
        <v>11007</v>
      </c>
      <c r="B761" t="s">
        <v>255</v>
      </c>
      <c r="C761">
        <v>8</v>
      </c>
      <c r="D761" s="6">
        <v>35893</v>
      </c>
      <c r="E761" s="6">
        <v>35921</v>
      </c>
      <c r="F761" s="6">
        <v>35898</v>
      </c>
      <c r="G761">
        <v>2</v>
      </c>
      <c r="H761">
        <v>202.24</v>
      </c>
      <c r="I761" t="s">
        <v>243</v>
      </c>
    </row>
    <row r="762" spans="1:9" x14ac:dyDescent="0.2">
      <c r="A762">
        <v>11008</v>
      </c>
      <c r="B762" t="s">
        <v>63</v>
      </c>
      <c r="C762">
        <v>7</v>
      </c>
      <c r="D762" s="6">
        <v>35893</v>
      </c>
      <c r="E762" s="6">
        <v>35921</v>
      </c>
      <c r="F762" s="6" t="s">
        <v>18</v>
      </c>
      <c r="G762">
        <v>3</v>
      </c>
      <c r="H762">
        <v>79.459999999999994</v>
      </c>
      <c r="I762" t="s">
        <v>67</v>
      </c>
    </row>
    <row r="763" spans="1:9" x14ac:dyDescent="0.2">
      <c r="A763">
        <v>11009</v>
      </c>
      <c r="B763" t="s">
        <v>193</v>
      </c>
      <c r="C763">
        <v>2</v>
      </c>
      <c r="D763" s="6">
        <v>35893</v>
      </c>
      <c r="E763" s="6">
        <v>35921</v>
      </c>
      <c r="F763" s="6">
        <v>35895</v>
      </c>
      <c r="G763">
        <v>1</v>
      </c>
      <c r="H763">
        <v>59.11</v>
      </c>
      <c r="I763" t="s">
        <v>154</v>
      </c>
    </row>
    <row r="764" spans="1:9" x14ac:dyDescent="0.2">
      <c r="A764">
        <v>11010</v>
      </c>
      <c r="B764" t="s">
        <v>164</v>
      </c>
      <c r="C764">
        <v>2</v>
      </c>
      <c r="D764" s="6">
        <v>35894</v>
      </c>
      <c r="E764" s="6">
        <v>35922</v>
      </c>
      <c r="F764" s="6">
        <v>35906</v>
      </c>
      <c r="G764">
        <v>2</v>
      </c>
      <c r="H764">
        <v>28.71</v>
      </c>
      <c r="I764" t="s">
        <v>131</v>
      </c>
    </row>
    <row r="765" spans="1:9" x14ac:dyDescent="0.2">
      <c r="A765">
        <v>11011</v>
      </c>
      <c r="B765" t="s">
        <v>407</v>
      </c>
      <c r="C765">
        <v>3</v>
      </c>
      <c r="D765" s="6">
        <v>35894</v>
      </c>
      <c r="E765" s="6">
        <v>35922</v>
      </c>
      <c r="F765" s="6">
        <v>35898</v>
      </c>
      <c r="G765">
        <v>1</v>
      </c>
      <c r="H765">
        <v>1.21</v>
      </c>
      <c r="I765" t="s">
        <v>24</v>
      </c>
    </row>
    <row r="766" spans="1:9" x14ac:dyDescent="0.2">
      <c r="A766">
        <v>11012</v>
      </c>
      <c r="B766" t="s">
        <v>103</v>
      </c>
      <c r="C766">
        <v>1</v>
      </c>
      <c r="D766" s="6">
        <v>35894</v>
      </c>
      <c r="E766" s="6">
        <v>35908</v>
      </c>
      <c r="F766" s="6">
        <v>35902</v>
      </c>
      <c r="G766">
        <v>3</v>
      </c>
      <c r="H766">
        <v>242.95</v>
      </c>
      <c r="I766" t="s">
        <v>24</v>
      </c>
    </row>
    <row r="767" spans="1:9" x14ac:dyDescent="0.2">
      <c r="A767">
        <v>11013</v>
      </c>
      <c r="B767" t="s">
        <v>150</v>
      </c>
      <c r="C767">
        <v>2</v>
      </c>
      <c r="D767" s="6">
        <v>35894</v>
      </c>
      <c r="E767" s="6">
        <v>35922</v>
      </c>
      <c r="F767" s="6">
        <v>35895</v>
      </c>
      <c r="G767">
        <v>1</v>
      </c>
      <c r="H767">
        <v>32.99</v>
      </c>
      <c r="I767" t="s">
        <v>154</v>
      </c>
    </row>
    <row r="768" spans="1:9" x14ac:dyDescent="0.2">
      <c r="A768">
        <v>11014</v>
      </c>
      <c r="B768" t="s">
        <v>330</v>
      </c>
      <c r="C768">
        <v>2</v>
      </c>
      <c r="D768" s="6">
        <v>35895</v>
      </c>
      <c r="E768" s="6">
        <v>35923</v>
      </c>
      <c r="F768" s="6">
        <v>35900</v>
      </c>
      <c r="G768">
        <v>3</v>
      </c>
      <c r="H768">
        <v>23.6</v>
      </c>
      <c r="I768" t="s">
        <v>62</v>
      </c>
    </row>
    <row r="769" spans="1:9" x14ac:dyDescent="0.2">
      <c r="A769">
        <v>11015</v>
      </c>
      <c r="B769" t="s">
        <v>319</v>
      </c>
      <c r="C769">
        <v>2</v>
      </c>
      <c r="D769" s="6">
        <v>35895</v>
      </c>
      <c r="E769" s="6">
        <v>35909</v>
      </c>
      <c r="F769" s="6">
        <v>35905</v>
      </c>
      <c r="G769">
        <v>2</v>
      </c>
      <c r="H769">
        <v>4.62</v>
      </c>
      <c r="I769" t="s">
        <v>323</v>
      </c>
    </row>
    <row r="770" spans="1:9" x14ac:dyDescent="0.2">
      <c r="A770">
        <v>11016</v>
      </c>
      <c r="B770" t="s">
        <v>275</v>
      </c>
      <c r="C770">
        <v>9</v>
      </c>
      <c r="D770" s="6">
        <v>35895</v>
      </c>
      <c r="E770" s="6">
        <v>35923</v>
      </c>
      <c r="F770" s="6">
        <v>35898</v>
      </c>
      <c r="G770">
        <v>2</v>
      </c>
      <c r="H770">
        <v>33.799999999999997</v>
      </c>
      <c r="I770" t="s">
        <v>173</v>
      </c>
    </row>
    <row r="771" spans="1:9" x14ac:dyDescent="0.2">
      <c r="A771">
        <v>11017</v>
      </c>
      <c r="B771" t="s">
        <v>63</v>
      </c>
      <c r="C771">
        <v>9</v>
      </c>
      <c r="D771" s="6">
        <v>35898</v>
      </c>
      <c r="E771" s="6">
        <v>35926</v>
      </c>
      <c r="F771" s="6">
        <v>35905</v>
      </c>
      <c r="G771">
        <v>2</v>
      </c>
      <c r="H771">
        <v>754.26</v>
      </c>
      <c r="I771" t="s">
        <v>67</v>
      </c>
    </row>
    <row r="772" spans="1:9" x14ac:dyDescent="0.2">
      <c r="A772">
        <v>11018</v>
      </c>
      <c r="B772" t="s">
        <v>202</v>
      </c>
      <c r="C772">
        <v>4</v>
      </c>
      <c r="D772" s="6">
        <v>35898</v>
      </c>
      <c r="E772" s="6">
        <v>35926</v>
      </c>
      <c r="F772" s="6">
        <v>35901</v>
      </c>
      <c r="G772">
        <v>2</v>
      </c>
      <c r="H772">
        <v>11.65</v>
      </c>
      <c r="I772" t="s">
        <v>87</v>
      </c>
    </row>
    <row r="773" spans="1:9" x14ac:dyDescent="0.2">
      <c r="A773">
        <v>11019</v>
      </c>
      <c r="B773" t="s">
        <v>357</v>
      </c>
      <c r="C773">
        <v>6</v>
      </c>
      <c r="D773" s="6">
        <v>35898</v>
      </c>
      <c r="E773" s="6">
        <v>35926</v>
      </c>
      <c r="F773" s="6" t="s">
        <v>18</v>
      </c>
      <c r="G773">
        <v>3</v>
      </c>
      <c r="H773">
        <v>3.17</v>
      </c>
      <c r="I773" t="s">
        <v>343</v>
      </c>
    </row>
    <row r="774" spans="1:9" x14ac:dyDescent="0.2">
      <c r="A774">
        <v>11020</v>
      </c>
      <c r="B774" t="s">
        <v>74</v>
      </c>
      <c r="C774">
        <v>2</v>
      </c>
      <c r="D774" s="6">
        <v>35899</v>
      </c>
      <c r="E774" s="6">
        <v>35927</v>
      </c>
      <c r="F774" s="6">
        <v>35901</v>
      </c>
      <c r="G774">
        <v>2</v>
      </c>
      <c r="H774">
        <v>43.3</v>
      </c>
      <c r="I774" t="s">
        <v>24</v>
      </c>
    </row>
    <row r="775" spans="1:9" x14ac:dyDescent="0.2">
      <c r="A775">
        <v>11021</v>
      </c>
      <c r="B775" t="s">
        <v>122</v>
      </c>
      <c r="C775">
        <v>3</v>
      </c>
      <c r="D775" s="6">
        <v>35899</v>
      </c>
      <c r="E775" s="6">
        <v>35927</v>
      </c>
      <c r="F775" s="6">
        <v>35906</v>
      </c>
      <c r="G775">
        <v>1</v>
      </c>
      <c r="H775">
        <v>297.18</v>
      </c>
      <c r="I775" t="s">
        <v>24</v>
      </c>
    </row>
    <row r="776" spans="1:9" x14ac:dyDescent="0.2">
      <c r="A776">
        <v>11022</v>
      </c>
      <c r="B776" t="s">
        <v>25</v>
      </c>
      <c r="C776">
        <v>9</v>
      </c>
      <c r="D776" s="6">
        <v>35899</v>
      </c>
      <c r="E776" s="6">
        <v>35927</v>
      </c>
      <c r="F776" s="6">
        <v>35919</v>
      </c>
      <c r="G776">
        <v>2</v>
      </c>
      <c r="H776">
        <v>6.27</v>
      </c>
      <c r="I776" t="s">
        <v>31</v>
      </c>
    </row>
    <row r="777" spans="1:9" x14ac:dyDescent="0.2">
      <c r="A777">
        <v>11023</v>
      </c>
      <c r="B777" t="s">
        <v>168</v>
      </c>
      <c r="C777">
        <v>1</v>
      </c>
      <c r="D777" s="6">
        <v>35899</v>
      </c>
      <c r="E777" s="6">
        <v>35913</v>
      </c>
      <c r="F777" s="6">
        <v>35909</v>
      </c>
      <c r="G777">
        <v>2</v>
      </c>
      <c r="H777">
        <v>123.83</v>
      </c>
      <c r="I777" t="s">
        <v>173</v>
      </c>
    </row>
    <row r="778" spans="1:9" x14ac:dyDescent="0.2">
      <c r="A778">
        <v>11024</v>
      </c>
      <c r="B778" t="s">
        <v>289</v>
      </c>
      <c r="C778">
        <v>4</v>
      </c>
      <c r="D778" s="6">
        <v>35900</v>
      </c>
      <c r="E778" s="6">
        <v>35928</v>
      </c>
      <c r="F778" s="6">
        <v>35905</v>
      </c>
      <c r="G778">
        <v>1</v>
      </c>
      <c r="H778">
        <v>74.36</v>
      </c>
      <c r="I778" t="s">
        <v>173</v>
      </c>
    </row>
    <row r="779" spans="1:9" x14ac:dyDescent="0.2">
      <c r="A779">
        <v>11025</v>
      </c>
      <c r="B779" t="s">
        <v>98</v>
      </c>
      <c r="C779">
        <v>6</v>
      </c>
      <c r="D779" s="6">
        <v>35900</v>
      </c>
      <c r="E779" s="6">
        <v>35928</v>
      </c>
      <c r="F779" s="6">
        <v>35909</v>
      </c>
      <c r="G779">
        <v>3</v>
      </c>
      <c r="H779">
        <v>29.17</v>
      </c>
      <c r="I779" t="s">
        <v>102</v>
      </c>
    </row>
    <row r="780" spans="1:9" x14ac:dyDescent="0.2">
      <c r="A780">
        <v>11026</v>
      </c>
      <c r="B780" t="s">
        <v>344</v>
      </c>
      <c r="C780">
        <v>4</v>
      </c>
      <c r="D780" s="6">
        <v>35900</v>
      </c>
      <c r="E780" s="6">
        <v>35928</v>
      </c>
      <c r="F780" s="6">
        <v>35913</v>
      </c>
      <c r="G780">
        <v>1</v>
      </c>
      <c r="H780">
        <v>47.09</v>
      </c>
      <c r="I780" t="s">
        <v>131</v>
      </c>
    </row>
    <row r="781" spans="1:9" x14ac:dyDescent="0.2">
      <c r="A781">
        <v>11027</v>
      </c>
      <c r="B781" t="s">
        <v>324</v>
      </c>
      <c r="C781">
        <v>1</v>
      </c>
      <c r="D781" s="6">
        <v>35901</v>
      </c>
      <c r="E781" s="6">
        <v>35929</v>
      </c>
      <c r="F781" s="6">
        <v>35905</v>
      </c>
      <c r="G781">
        <v>1</v>
      </c>
      <c r="H781">
        <v>52.52</v>
      </c>
      <c r="I781" t="s">
        <v>254</v>
      </c>
    </row>
    <row r="782" spans="1:9" x14ac:dyDescent="0.2">
      <c r="A782">
        <v>11028</v>
      </c>
      <c r="B782" t="s">
        <v>227</v>
      </c>
      <c r="C782">
        <v>2</v>
      </c>
      <c r="D782" s="6">
        <v>35901</v>
      </c>
      <c r="E782" s="6">
        <v>35929</v>
      </c>
      <c r="F782" s="6">
        <v>35907</v>
      </c>
      <c r="G782">
        <v>1</v>
      </c>
      <c r="H782">
        <v>29.59</v>
      </c>
      <c r="I782" t="s">
        <v>24</v>
      </c>
    </row>
    <row r="783" spans="1:9" x14ac:dyDescent="0.2">
      <c r="A783">
        <v>11029</v>
      </c>
      <c r="B783" t="s">
        <v>42</v>
      </c>
      <c r="C783">
        <v>4</v>
      </c>
      <c r="D783" s="6">
        <v>35901</v>
      </c>
      <c r="E783" s="6">
        <v>35929</v>
      </c>
      <c r="F783" s="6">
        <v>35912</v>
      </c>
      <c r="G783">
        <v>1</v>
      </c>
      <c r="H783">
        <v>47.84</v>
      </c>
      <c r="I783" t="s">
        <v>46</v>
      </c>
    </row>
    <row r="784" spans="1:9" x14ac:dyDescent="0.2">
      <c r="A784">
        <v>11030</v>
      </c>
      <c r="B784" t="s">
        <v>231</v>
      </c>
      <c r="C784">
        <v>7</v>
      </c>
      <c r="D784" s="6">
        <v>35902</v>
      </c>
      <c r="E784" s="6">
        <v>35930</v>
      </c>
      <c r="F784" s="6">
        <v>35912</v>
      </c>
      <c r="G784">
        <v>2</v>
      </c>
      <c r="H784">
        <v>830.75</v>
      </c>
      <c r="I784" t="s">
        <v>87</v>
      </c>
    </row>
    <row r="785" spans="1:9" x14ac:dyDescent="0.2">
      <c r="A785">
        <v>11031</v>
      </c>
      <c r="B785" t="s">
        <v>231</v>
      </c>
      <c r="C785">
        <v>6</v>
      </c>
      <c r="D785" s="6">
        <v>35902</v>
      </c>
      <c r="E785" s="6">
        <v>35930</v>
      </c>
      <c r="F785" s="6">
        <v>35909</v>
      </c>
      <c r="G785">
        <v>2</v>
      </c>
      <c r="H785">
        <v>227.22</v>
      </c>
      <c r="I785" t="s">
        <v>87</v>
      </c>
    </row>
    <row r="786" spans="1:9" x14ac:dyDescent="0.2">
      <c r="A786">
        <v>11032</v>
      </c>
      <c r="B786" t="s">
        <v>112</v>
      </c>
      <c r="C786">
        <v>2</v>
      </c>
      <c r="D786" s="6">
        <v>35902</v>
      </c>
      <c r="E786" s="6">
        <v>35930</v>
      </c>
      <c r="F786" s="6">
        <v>35908</v>
      </c>
      <c r="G786">
        <v>3</v>
      </c>
      <c r="H786">
        <v>606.19000000000005</v>
      </c>
      <c r="I786" t="s">
        <v>87</v>
      </c>
    </row>
    <row r="787" spans="1:9" x14ac:dyDescent="0.2">
      <c r="A787">
        <v>11033</v>
      </c>
      <c r="B787" t="s">
        <v>47</v>
      </c>
      <c r="C787">
        <v>7</v>
      </c>
      <c r="D787" s="6">
        <v>35902</v>
      </c>
      <c r="E787" s="6">
        <v>35930</v>
      </c>
      <c r="F787" s="6">
        <v>35908</v>
      </c>
      <c r="G787">
        <v>3</v>
      </c>
      <c r="H787">
        <v>84.74</v>
      </c>
      <c r="I787" t="s">
        <v>46</v>
      </c>
    </row>
    <row r="788" spans="1:9" x14ac:dyDescent="0.2">
      <c r="A788">
        <v>11034</v>
      </c>
      <c r="B788" t="s">
        <v>197</v>
      </c>
      <c r="C788">
        <v>8</v>
      </c>
      <c r="D788" s="6">
        <v>35905</v>
      </c>
      <c r="E788" s="6">
        <v>35947</v>
      </c>
      <c r="F788" s="6">
        <v>35912</v>
      </c>
      <c r="G788">
        <v>1</v>
      </c>
      <c r="H788">
        <v>40.32</v>
      </c>
      <c r="I788" t="s">
        <v>87</v>
      </c>
    </row>
    <row r="789" spans="1:9" x14ac:dyDescent="0.2">
      <c r="A789">
        <v>11035</v>
      </c>
      <c r="B789" t="s">
        <v>36</v>
      </c>
      <c r="C789">
        <v>2</v>
      </c>
      <c r="D789" s="6">
        <v>35905</v>
      </c>
      <c r="E789" s="6">
        <v>35933</v>
      </c>
      <c r="F789" s="6">
        <v>35909</v>
      </c>
      <c r="G789">
        <v>2</v>
      </c>
      <c r="H789">
        <v>0.17</v>
      </c>
      <c r="I789" t="s">
        <v>41</v>
      </c>
    </row>
    <row r="790" spans="1:9" x14ac:dyDescent="0.2">
      <c r="A790">
        <v>11036</v>
      </c>
      <c r="B790" t="s">
        <v>285</v>
      </c>
      <c r="C790">
        <v>8</v>
      </c>
      <c r="D790" s="6">
        <v>35905</v>
      </c>
      <c r="E790" s="6">
        <v>35933</v>
      </c>
      <c r="F790" s="6">
        <v>35907</v>
      </c>
      <c r="G790">
        <v>3</v>
      </c>
      <c r="H790">
        <v>149.47</v>
      </c>
      <c r="I790" t="s">
        <v>24</v>
      </c>
    </row>
    <row r="791" spans="1:9" x14ac:dyDescent="0.2">
      <c r="A791">
        <v>11037</v>
      </c>
      <c r="B791" t="s">
        <v>193</v>
      </c>
      <c r="C791">
        <v>7</v>
      </c>
      <c r="D791" s="6">
        <v>35906</v>
      </c>
      <c r="E791" s="6">
        <v>35934</v>
      </c>
      <c r="F791" s="6">
        <v>35912</v>
      </c>
      <c r="G791">
        <v>1</v>
      </c>
      <c r="H791">
        <v>3.2</v>
      </c>
      <c r="I791" t="s">
        <v>154</v>
      </c>
    </row>
    <row r="792" spans="1:9" x14ac:dyDescent="0.2">
      <c r="A792">
        <v>11038</v>
      </c>
      <c r="B792" t="s">
        <v>36</v>
      </c>
      <c r="C792">
        <v>1</v>
      </c>
      <c r="D792" s="6">
        <v>35906</v>
      </c>
      <c r="E792" s="6">
        <v>35934</v>
      </c>
      <c r="F792" s="6">
        <v>35915</v>
      </c>
      <c r="G792">
        <v>2</v>
      </c>
      <c r="H792">
        <v>29.59</v>
      </c>
      <c r="I792" t="s">
        <v>41</v>
      </c>
    </row>
    <row r="793" spans="1:9" x14ac:dyDescent="0.2">
      <c r="A793">
        <v>11039</v>
      </c>
      <c r="B793" t="s">
        <v>330</v>
      </c>
      <c r="C793">
        <v>1</v>
      </c>
      <c r="D793" s="6">
        <v>35906</v>
      </c>
      <c r="E793" s="6">
        <v>35934</v>
      </c>
      <c r="F793" s="6" t="s">
        <v>18</v>
      </c>
      <c r="G793">
        <v>2</v>
      </c>
      <c r="H793">
        <v>65</v>
      </c>
      <c r="I793" t="s">
        <v>62</v>
      </c>
    </row>
    <row r="794" spans="1:9" x14ac:dyDescent="0.2">
      <c r="A794">
        <v>11040</v>
      </c>
      <c r="B794" t="s">
        <v>380</v>
      </c>
      <c r="C794">
        <v>4</v>
      </c>
      <c r="D794" s="6">
        <v>35907</v>
      </c>
      <c r="E794" s="6">
        <v>35935</v>
      </c>
      <c r="F794" s="6" t="s">
        <v>18</v>
      </c>
      <c r="G794">
        <v>3</v>
      </c>
      <c r="H794">
        <v>18.84</v>
      </c>
      <c r="I794" t="s">
        <v>87</v>
      </c>
    </row>
    <row r="795" spans="1:9" x14ac:dyDescent="0.2">
      <c r="A795">
        <v>11041</v>
      </c>
      <c r="B795" t="s">
        <v>42</v>
      </c>
      <c r="C795">
        <v>3</v>
      </c>
      <c r="D795" s="6">
        <v>35907</v>
      </c>
      <c r="E795" s="6">
        <v>35935</v>
      </c>
      <c r="F795" s="6">
        <v>35913</v>
      </c>
      <c r="G795">
        <v>2</v>
      </c>
      <c r="H795">
        <v>48.22</v>
      </c>
      <c r="I795" t="s">
        <v>46</v>
      </c>
    </row>
    <row r="796" spans="1:9" x14ac:dyDescent="0.2">
      <c r="A796">
        <v>11042</v>
      </c>
      <c r="B796" t="s">
        <v>174</v>
      </c>
      <c r="C796">
        <v>2</v>
      </c>
      <c r="D796" s="6">
        <v>35907</v>
      </c>
      <c r="E796" s="6">
        <v>35921</v>
      </c>
      <c r="F796" s="6">
        <v>35916</v>
      </c>
      <c r="G796">
        <v>1</v>
      </c>
      <c r="H796">
        <v>29.99</v>
      </c>
      <c r="I796" t="s">
        <v>31</v>
      </c>
    </row>
    <row r="797" spans="1:9" x14ac:dyDescent="0.2">
      <c r="A797">
        <v>11043</v>
      </c>
      <c r="B797" t="s">
        <v>415</v>
      </c>
      <c r="C797">
        <v>5</v>
      </c>
      <c r="D797" s="6">
        <v>35907</v>
      </c>
      <c r="E797" s="6">
        <v>35935</v>
      </c>
      <c r="F797" s="6">
        <v>35914</v>
      </c>
      <c r="G797">
        <v>2</v>
      </c>
      <c r="H797">
        <v>8.8000000000000007</v>
      </c>
      <c r="I797" t="s">
        <v>19</v>
      </c>
    </row>
    <row r="798" spans="1:9" x14ac:dyDescent="0.2">
      <c r="A798">
        <v>11044</v>
      </c>
      <c r="B798" t="s">
        <v>309</v>
      </c>
      <c r="C798">
        <v>4</v>
      </c>
      <c r="D798" s="6">
        <v>35908</v>
      </c>
      <c r="E798" s="6">
        <v>35936</v>
      </c>
      <c r="F798" s="6">
        <v>35916</v>
      </c>
      <c r="G798">
        <v>1</v>
      </c>
      <c r="H798">
        <v>8.7200000000000006</v>
      </c>
      <c r="I798" t="s">
        <v>314</v>
      </c>
    </row>
    <row r="799" spans="1:9" x14ac:dyDescent="0.2">
      <c r="A799">
        <v>11045</v>
      </c>
      <c r="B799" t="s">
        <v>324</v>
      </c>
      <c r="C799">
        <v>6</v>
      </c>
      <c r="D799" s="6">
        <v>35908</v>
      </c>
      <c r="E799" s="6">
        <v>35936</v>
      </c>
      <c r="F799" s="6" t="s">
        <v>18</v>
      </c>
      <c r="G799">
        <v>2</v>
      </c>
      <c r="H799">
        <v>70.58</v>
      </c>
      <c r="I799" t="s">
        <v>254</v>
      </c>
    </row>
    <row r="800" spans="1:9" x14ac:dyDescent="0.2">
      <c r="A800">
        <v>11046</v>
      </c>
      <c r="B800" t="s">
        <v>189</v>
      </c>
      <c r="C800">
        <v>8</v>
      </c>
      <c r="D800" s="6">
        <v>35908</v>
      </c>
      <c r="E800" s="6">
        <v>35936</v>
      </c>
      <c r="F800" s="6">
        <v>35909</v>
      </c>
      <c r="G800">
        <v>2</v>
      </c>
      <c r="H800">
        <v>71.64</v>
      </c>
      <c r="I800" t="s">
        <v>24</v>
      </c>
    </row>
    <row r="801" spans="1:9" x14ac:dyDescent="0.2">
      <c r="A801">
        <v>11047</v>
      </c>
      <c r="B801" t="s">
        <v>289</v>
      </c>
      <c r="C801">
        <v>7</v>
      </c>
      <c r="D801" s="6">
        <v>35909</v>
      </c>
      <c r="E801" s="6">
        <v>35937</v>
      </c>
      <c r="F801" s="6">
        <v>35916</v>
      </c>
      <c r="G801">
        <v>3</v>
      </c>
      <c r="H801">
        <v>46.62</v>
      </c>
      <c r="I801" t="s">
        <v>173</v>
      </c>
    </row>
    <row r="802" spans="1:9" x14ac:dyDescent="0.2">
      <c r="A802">
        <v>11048</v>
      </c>
      <c r="B802" t="s">
        <v>324</v>
      </c>
      <c r="C802">
        <v>7</v>
      </c>
      <c r="D802" s="6">
        <v>35909</v>
      </c>
      <c r="E802" s="6">
        <v>35937</v>
      </c>
      <c r="F802" s="6">
        <v>35915</v>
      </c>
      <c r="G802">
        <v>3</v>
      </c>
      <c r="H802">
        <v>24.12</v>
      </c>
      <c r="I802" t="s">
        <v>254</v>
      </c>
    </row>
    <row r="803" spans="1:9" x14ac:dyDescent="0.2">
      <c r="A803">
        <v>11049</v>
      </c>
      <c r="B803" t="s">
        <v>348</v>
      </c>
      <c r="C803">
        <v>3</v>
      </c>
      <c r="D803" s="6">
        <v>35909</v>
      </c>
      <c r="E803" s="6">
        <v>35937</v>
      </c>
      <c r="F803" s="6">
        <v>35919</v>
      </c>
      <c r="G803">
        <v>1</v>
      </c>
      <c r="H803">
        <v>8.34</v>
      </c>
      <c r="I803" t="s">
        <v>31</v>
      </c>
    </row>
    <row r="804" spans="1:9" x14ac:dyDescent="0.2">
      <c r="A804">
        <v>11050</v>
      </c>
      <c r="B804" t="s">
        <v>88</v>
      </c>
      <c r="C804">
        <v>8</v>
      </c>
      <c r="D804" s="6">
        <v>35912</v>
      </c>
      <c r="E804" s="6">
        <v>35940</v>
      </c>
      <c r="F804" s="6">
        <v>35920</v>
      </c>
      <c r="G804">
        <v>2</v>
      </c>
      <c r="H804">
        <v>59.41</v>
      </c>
      <c r="I804" t="s">
        <v>93</v>
      </c>
    </row>
    <row r="805" spans="1:9" x14ac:dyDescent="0.2">
      <c r="A805">
        <v>11051</v>
      </c>
      <c r="B805" t="s">
        <v>267</v>
      </c>
      <c r="C805">
        <v>7</v>
      </c>
      <c r="D805" s="6">
        <v>35912</v>
      </c>
      <c r="E805" s="6">
        <v>35940</v>
      </c>
      <c r="F805" s="6" t="s">
        <v>18</v>
      </c>
      <c r="G805">
        <v>3</v>
      </c>
      <c r="H805">
        <v>2.79</v>
      </c>
      <c r="I805" t="s">
        <v>19</v>
      </c>
    </row>
    <row r="806" spans="1:9" x14ac:dyDescent="0.2">
      <c r="A806">
        <v>11052</v>
      </c>
      <c r="B806" t="s">
        <v>25</v>
      </c>
      <c r="C806">
        <v>3</v>
      </c>
      <c r="D806" s="6">
        <v>35912</v>
      </c>
      <c r="E806" s="6">
        <v>35940</v>
      </c>
      <c r="F806" s="6">
        <v>35916</v>
      </c>
      <c r="G806">
        <v>1</v>
      </c>
      <c r="H806">
        <v>67.260000000000005</v>
      </c>
      <c r="I806" t="s">
        <v>31</v>
      </c>
    </row>
    <row r="807" spans="1:9" x14ac:dyDescent="0.2">
      <c r="A807">
        <v>11053</v>
      </c>
      <c r="B807" t="s">
        <v>271</v>
      </c>
      <c r="C807">
        <v>2</v>
      </c>
      <c r="D807" s="6">
        <v>35912</v>
      </c>
      <c r="E807" s="6">
        <v>35940</v>
      </c>
      <c r="F807" s="6">
        <v>35914</v>
      </c>
      <c r="G807">
        <v>2</v>
      </c>
      <c r="H807">
        <v>53.05</v>
      </c>
      <c r="I807" t="s">
        <v>67</v>
      </c>
    </row>
    <row r="808" spans="1:9" x14ac:dyDescent="0.2">
      <c r="A808">
        <v>11054</v>
      </c>
      <c r="B808" t="s">
        <v>377</v>
      </c>
      <c r="C808">
        <v>8</v>
      </c>
      <c r="D808" s="6">
        <v>35913</v>
      </c>
      <c r="E808" s="6">
        <v>35941</v>
      </c>
      <c r="F808" s="6" t="s">
        <v>18</v>
      </c>
      <c r="G808">
        <v>1</v>
      </c>
      <c r="H808">
        <v>0.33</v>
      </c>
      <c r="I808" t="s">
        <v>343</v>
      </c>
    </row>
    <row r="809" spans="1:9" x14ac:dyDescent="0.2">
      <c r="A809">
        <v>11055</v>
      </c>
      <c r="B809" t="s">
        <v>57</v>
      </c>
      <c r="C809">
        <v>7</v>
      </c>
      <c r="D809" s="6">
        <v>35913</v>
      </c>
      <c r="E809" s="6">
        <v>35941</v>
      </c>
      <c r="F809" s="6">
        <v>35920</v>
      </c>
      <c r="G809">
        <v>2</v>
      </c>
      <c r="H809">
        <v>120.92</v>
      </c>
      <c r="I809" t="s">
        <v>62</v>
      </c>
    </row>
    <row r="810" spans="1:9" x14ac:dyDescent="0.2">
      <c r="A810">
        <v>11056</v>
      </c>
      <c r="B810" t="s">
        <v>289</v>
      </c>
      <c r="C810">
        <v>8</v>
      </c>
      <c r="D810" s="6">
        <v>35913</v>
      </c>
      <c r="E810" s="6">
        <v>35927</v>
      </c>
      <c r="F810" s="6">
        <v>35916</v>
      </c>
      <c r="G810">
        <v>2</v>
      </c>
      <c r="H810">
        <v>278.95999999999998</v>
      </c>
      <c r="I810" t="s">
        <v>173</v>
      </c>
    </row>
    <row r="811" spans="1:9" x14ac:dyDescent="0.2">
      <c r="A811">
        <v>11057</v>
      </c>
      <c r="B811" t="s">
        <v>373</v>
      </c>
      <c r="C811">
        <v>3</v>
      </c>
      <c r="D811" s="6">
        <v>35914</v>
      </c>
      <c r="E811" s="6">
        <v>35942</v>
      </c>
      <c r="F811" s="6">
        <v>35916</v>
      </c>
      <c r="G811">
        <v>3</v>
      </c>
      <c r="H811">
        <v>4.13</v>
      </c>
      <c r="I811" t="s">
        <v>173</v>
      </c>
    </row>
    <row r="812" spans="1:9" x14ac:dyDescent="0.2">
      <c r="A812">
        <v>11058</v>
      </c>
      <c r="B812" t="s">
        <v>369</v>
      </c>
      <c r="C812">
        <v>9</v>
      </c>
      <c r="D812" s="6">
        <v>35914</v>
      </c>
      <c r="E812" s="6">
        <v>35942</v>
      </c>
      <c r="F812" s="6" t="s">
        <v>18</v>
      </c>
      <c r="G812">
        <v>3</v>
      </c>
      <c r="H812">
        <v>31.14</v>
      </c>
      <c r="I812" t="s">
        <v>24</v>
      </c>
    </row>
    <row r="813" spans="1:9" x14ac:dyDescent="0.2">
      <c r="A813">
        <v>11059</v>
      </c>
      <c r="B813" t="s">
        <v>160</v>
      </c>
      <c r="C813">
        <v>2</v>
      </c>
      <c r="D813" s="6">
        <v>35914</v>
      </c>
      <c r="E813" s="6">
        <v>35956</v>
      </c>
      <c r="F813" s="6" t="s">
        <v>18</v>
      </c>
      <c r="G813">
        <v>2</v>
      </c>
      <c r="H813">
        <v>85.8</v>
      </c>
      <c r="I813" t="s">
        <v>31</v>
      </c>
    </row>
    <row r="814" spans="1:9" x14ac:dyDescent="0.2">
      <c r="A814">
        <v>11060</v>
      </c>
      <c r="B814" t="s">
        <v>344</v>
      </c>
      <c r="C814">
        <v>2</v>
      </c>
      <c r="D814" s="6">
        <v>35915</v>
      </c>
      <c r="E814" s="6">
        <v>35943</v>
      </c>
      <c r="F814" s="6">
        <v>35919</v>
      </c>
      <c r="G814">
        <v>2</v>
      </c>
      <c r="H814">
        <v>10.98</v>
      </c>
      <c r="I814" t="s">
        <v>131</v>
      </c>
    </row>
    <row r="815" spans="1:9" x14ac:dyDescent="0.2">
      <c r="A815">
        <v>11061</v>
      </c>
      <c r="B815" t="s">
        <v>380</v>
      </c>
      <c r="C815">
        <v>4</v>
      </c>
      <c r="D815" s="6">
        <v>35915</v>
      </c>
      <c r="E815" s="6">
        <v>35957</v>
      </c>
      <c r="F815" s="6" t="s">
        <v>18</v>
      </c>
      <c r="G815">
        <v>3</v>
      </c>
      <c r="H815">
        <v>14.01</v>
      </c>
      <c r="I815" t="s">
        <v>87</v>
      </c>
    </row>
    <row r="816" spans="1:9" x14ac:dyDescent="0.2">
      <c r="A816">
        <v>11062</v>
      </c>
      <c r="B816" t="s">
        <v>164</v>
      </c>
      <c r="C816">
        <v>4</v>
      </c>
      <c r="D816" s="6">
        <v>35915</v>
      </c>
      <c r="E816" s="6">
        <v>35943</v>
      </c>
      <c r="F816" s="6" t="s">
        <v>18</v>
      </c>
      <c r="G816">
        <v>2</v>
      </c>
      <c r="H816">
        <v>29.93</v>
      </c>
      <c r="I816" t="s">
        <v>131</v>
      </c>
    </row>
    <row r="817" spans="1:9" x14ac:dyDescent="0.2">
      <c r="A817">
        <v>11063</v>
      </c>
      <c r="B817" t="s">
        <v>183</v>
      </c>
      <c r="C817">
        <v>3</v>
      </c>
      <c r="D817" s="6">
        <v>35915</v>
      </c>
      <c r="E817" s="6">
        <v>35943</v>
      </c>
      <c r="F817" s="6">
        <v>35921</v>
      </c>
      <c r="G817">
        <v>2</v>
      </c>
      <c r="H817">
        <v>81.73</v>
      </c>
      <c r="I817" t="s">
        <v>188</v>
      </c>
    </row>
    <row r="818" spans="1:9" x14ac:dyDescent="0.2">
      <c r="A818">
        <v>11064</v>
      </c>
      <c r="B818" t="s">
        <v>231</v>
      </c>
      <c r="C818">
        <v>1</v>
      </c>
      <c r="D818" s="6">
        <v>35916</v>
      </c>
      <c r="E818" s="6">
        <v>35944</v>
      </c>
      <c r="F818" s="6">
        <v>35919</v>
      </c>
      <c r="G818">
        <v>1</v>
      </c>
      <c r="H818">
        <v>30.09</v>
      </c>
      <c r="I818" t="s">
        <v>87</v>
      </c>
    </row>
    <row r="819" spans="1:9" x14ac:dyDescent="0.2">
      <c r="A819">
        <v>11065</v>
      </c>
      <c r="B819" t="s">
        <v>155</v>
      </c>
      <c r="C819">
        <v>8</v>
      </c>
      <c r="D819" s="6">
        <v>35916</v>
      </c>
      <c r="E819" s="6">
        <v>35944</v>
      </c>
      <c r="F819" s="6" t="s">
        <v>18</v>
      </c>
      <c r="G819">
        <v>1</v>
      </c>
      <c r="H819">
        <v>12.91</v>
      </c>
      <c r="I819" t="s">
        <v>62</v>
      </c>
    </row>
    <row r="820" spans="1:9" x14ac:dyDescent="0.2">
      <c r="A820">
        <v>11066</v>
      </c>
      <c r="B820" t="s">
        <v>112</v>
      </c>
      <c r="C820">
        <v>7</v>
      </c>
      <c r="D820" s="6">
        <v>35916</v>
      </c>
      <c r="E820" s="6">
        <v>35944</v>
      </c>
      <c r="F820" s="6">
        <v>35919</v>
      </c>
      <c r="G820">
        <v>2</v>
      </c>
      <c r="H820">
        <v>44.72</v>
      </c>
      <c r="I820" t="s">
        <v>87</v>
      </c>
    </row>
    <row r="821" spans="1:9" x14ac:dyDescent="0.2">
      <c r="A821">
        <v>11067</v>
      </c>
      <c r="B821" t="s">
        <v>285</v>
      </c>
      <c r="C821">
        <v>1</v>
      </c>
      <c r="D821" s="6">
        <v>35919</v>
      </c>
      <c r="E821" s="6">
        <v>35933</v>
      </c>
      <c r="F821" s="6">
        <v>35921</v>
      </c>
      <c r="G821">
        <v>2</v>
      </c>
      <c r="H821">
        <v>7.98</v>
      </c>
      <c r="I821" t="s">
        <v>24</v>
      </c>
    </row>
    <row r="822" spans="1:9" x14ac:dyDescent="0.2">
      <c r="A822">
        <v>11068</v>
      </c>
      <c r="B822" t="s">
        <v>305</v>
      </c>
      <c r="C822">
        <v>8</v>
      </c>
      <c r="D822" s="6">
        <v>35919</v>
      </c>
      <c r="E822" s="6">
        <v>35947</v>
      </c>
      <c r="F822" s="6" t="s">
        <v>18</v>
      </c>
      <c r="G822">
        <v>2</v>
      </c>
      <c r="H822">
        <v>81.75</v>
      </c>
      <c r="I822" t="s">
        <v>31</v>
      </c>
    </row>
    <row r="823" spans="1:9" x14ac:dyDescent="0.2">
      <c r="A823">
        <v>11069</v>
      </c>
      <c r="B823" t="s">
        <v>132</v>
      </c>
      <c r="C823">
        <v>1</v>
      </c>
      <c r="D823" s="6">
        <v>35919</v>
      </c>
      <c r="E823" s="6">
        <v>35947</v>
      </c>
      <c r="F823" s="6">
        <v>35921</v>
      </c>
      <c r="G823">
        <v>2</v>
      </c>
      <c r="H823">
        <v>15.67</v>
      </c>
      <c r="I823" t="s">
        <v>73</v>
      </c>
    </row>
    <row r="824" spans="1:9" x14ac:dyDescent="0.2">
      <c r="A824">
        <v>11070</v>
      </c>
      <c r="B824" t="s">
        <v>146</v>
      </c>
      <c r="C824">
        <v>2</v>
      </c>
      <c r="D824" s="6">
        <v>35920</v>
      </c>
      <c r="E824" s="6">
        <v>35948</v>
      </c>
      <c r="F824" s="6" t="s">
        <v>18</v>
      </c>
      <c r="G824">
        <v>1</v>
      </c>
      <c r="H824">
        <v>136</v>
      </c>
      <c r="I824" t="s">
        <v>24</v>
      </c>
    </row>
    <row r="825" spans="1:9" x14ac:dyDescent="0.2">
      <c r="A825">
        <v>11071</v>
      </c>
      <c r="B825" t="s">
        <v>155</v>
      </c>
      <c r="C825">
        <v>1</v>
      </c>
      <c r="D825" s="6">
        <v>35920</v>
      </c>
      <c r="E825" s="6">
        <v>35948</v>
      </c>
      <c r="F825" s="6" t="s">
        <v>18</v>
      </c>
      <c r="G825">
        <v>1</v>
      </c>
      <c r="H825">
        <v>0.93</v>
      </c>
      <c r="I825" t="s">
        <v>62</v>
      </c>
    </row>
    <row r="826" spans="1:9" x14ac:dyDescent="0.2">
      <c r="A826">
        <v>11072</v>
      </c>
      <c r="B826" t="s">
        <v>63</v>
      </c>
      <c r="C826">
        <v>4</v>
      </c>
      <c r="D826" s="6">
        <v>35920</v>
      </c>
      <c r="E826" s="6">
        <v>35948</v>
      </c>
      <c r="F826" s="6" t="s">
        <v>18</v>
      </c>
      <c r="G826">
        <v>2</v>
      </c>
      <c r="H826">
        <v>258.64</v>
      </c>
      <c r="I826" t="s">
        <v>67</v>
      </c>
    </row>
    <row r="827" spans="1:9" x14ac:dyDescent="0.2">
      <c r="A827">
        <v>11073</v>
      </c>
      <c r="B827" t="s">
        <v>224</v>
      </c>
      <c r="C827">
        <v>2</v>
      </c>
      <c r="D827" s="6">
        <v>35920</v>
      </c>
      <c r="E827" s="6">
        <v>35948</v>
      </c>
      <c r="F827" s="6" t="s">
        <v>18</v>
      </c>
      <c r="G827">
        <v>2</v>
      </c>
      <c r="H827">
        <v>24.95</v>
      </c>
      <c r="I827" t="s">
        <v>73</v>
      </c>
    </row>
    <row r="828" spans="1:9" x14ac:dyDescent="0.2">
      <c r="A828">
        <v>11074</v>
      </c>
      <c r="B828" t="s">
        <v>258</v>
      </c>
      <c r="C828">
        <v>7</v>
      </c>
      <c r="D828" s="6">
        <v>35921</v>
      </c>
      <c r="E828" s="6">
        <v>35949</v>
      </c>
      <c r="F828" s="6" t="s">
        <v>18</v>
      </c>
      <c r="G828">
        <v>2</v>
      </c>
      <c r="H828">
        <v>18.440000000000001</v>
      </c>
      <c r="I828" t="s">
        <v>262</v>
      </c>
    </row>
    <row r="829" spans="1:9" x14ac:dyDescent="0.2">
      <c r="A829">
        <v>11075</v>
      </c>
      <c r="B829" t="s">
        <v>47</v>
      </c>
      <c r="C829">
        <v>8</v>
      </c>
      <c r="D829" s="6">
        <v>35921</v>
      </c>
      <c r="E829" s="6">
        <v>35949</v>
      </c>
      <c r="F829" s="6" t="s">
        <v>18</v>
      </c>
      <c r="G829">
        <v>2</v>
      </c>
      <c r="H829">
        <v>6.19</v>
      </c>
      <c r="I829" t="s">
        <v>46</v>
      </c>
    </row>
    <row r="830" spans="1:9" x14ac:dyDescent="0.2">
      <c r="A830">
        <v>11076</v>
      </c>
      <c r="B830" t="s">
        <v>244</v>
      </c>
      <c r="C830">
        <v>4</v>
      </c>
      <c r="D830" s="6">
        <v>35921</v>
      </c>
      <c r="E830" s="6">
        <v>35949</v>
      </c>
      <c r="F830" s="6" t="s">
        <v>18</v>
      </c>
      <c r="G830">
        <v>2</v>
      </c>
      <c r="H830">
        <v>38.28</v>
      </c>
      <c r="I830" t="s">
        <v>19</v>
      </c>
    </row>
    <row r="831" spans="1:9" x14ac:dyDescent="0.2">
      <c r="A831">
        <v>11077</v>
      </c>
      <c r="B831" t="s">
        <v>82</v>
      </c>
      <c r="C831">
        <v>1</v>
      </c>
      <c r="D831" s="6">
        <v>35921</v>
      </c>
      <c r="E831" s="6">
        <v>35949</v>
      </c>
      <c r="F831" s="6" t="s">
        <v>18</v>
      </c>
      <c r="G831">
        <v>2</v>
      </c>
      <c r="H831">
        <v>8.5299999999999994</v>
      </c>
      <c r="I831" t="s">
        <v>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688C0-01C3-144D-A9E2-F56B00155B4B}">
  <sheetPr codeName="Hoja6"/>
  <dimension ref="A1:E2156"/>
  <sheetViews>
    <sheetView zoomScale="200" workbookViewId="0">
      <selection activeCell="C1" sqref="C1"/>
    </sheetView>
  </sheetViews>
  <sheetFormatPr baseColWidth="10" defaultRowHeight="16" x14ac:dyDescent="0.2"/>
  <sheetData>
    <row r="1" spans="1:5" x14ac:dyDescent="0.2">
      <c r="A1" s="7" t="s">
        <v>0</v>
      </c>
      <c r="B1" s="7" t="s">
        <v>427</v>
      </c>
      <c r="C1" s="7" t="s">
        <v>428</v>
      </c>
      <c r="D1" s="7" t="s">
        <v>429</v>
      </c>
      <c r="E1" s="7" t="s">
        <v>430</v>
      </c>
    </row>
    <row r="2" spans="1:5" x14ac:dyDescent="0.2">
      <c r="A2" s="7">
        <v>10248</v>
      </c>
      <c r="B2" s="8">
        <v>11</v>
      </c>
      <c r="C2" s="8">
        <v>14</v>
      </c>
      <c r="D2" s="8">
        <v>12</v>
      </c>
      <c r="E2" s="8">
        <v>0</v>
      </c>
    </row>
    <row r="3" spans="1:5" x14ac:dyDescent="0.2">
      <c r="A3" s="7">
        <v>10248</v>
      </c>
      <c r="B3" s="8">
        <v>42</v>
      </c>
      <c r="C3" s="8">
        <v>9.8000000000000007</v>
      </c>
      <c r="D3" s="8">
        <v>10</v>
      </c>
      <c r="E3" s="8">
        <v>0</v>
      </c>
    </row>
    <row r="4" spans="1:5" x14ac:dyDescent="0.2">
      <c r="A4" s="7">
        <v>10248</v>
      </c>
      <c r="B4" s="8">
        <v>72</v>
      </c>
      <c r="C4" s="8">
        <v>34.799999999999997</v>
      </c>
      <c r="D4" s="8">
        <v>5</v>
      </c>
      <c r="E4" s="8">
        <v>0</v>
      </c>
    </row>
    <row r="5" spans="1:5" x14ac:dyDescent="0.2">
      <c r="A5" s="7">
        <v>10249</v>
      </c>
      <c r="B5" s="8">
        <v>14</v>
      </c>
      <c r="C5" s="8">
        <v>18.600000000000001</v>
      </c>
      <c r="D5" s="8">
        <v>9</v>
      </c>
      <c r="E5" s="8">
        <v>0</v>
      </c>
    </row>
    <row r="6" spans="1:5" x14ac:dyDescent="0.2">
      <c r="A6" s="7">
        <v>10249</v>
      </c>
      <c r="B6" s="8">
        <v>51</v>
      </c>
      <c r="C6" s="8">
        <v>42.4</v>
      </c>
      <c r="D6" s="8">
        <v>40</v>
      </c>
      <c r="E6" s="8">
        <v>0</v>
      </c>
    </row>
    <row r="7" spans="1:5" x14ac:dyDescent="0.2">
      <c r="A7" s="7">
        <v>10250</v>
      </c>
      <c r="B7" s="8">
        <v>41</v>
      </c>
      <c r="C7" s="8">
        <v>7.7</v>
      </c>
      <c r="D7" s="8">
        <v>10</v>
      </c>
      <c r="E7" s="8">
        <v>0</v>
      </c>
    </row>
    <row r="8" spans="1:5" x14ac:dyDescent="0.2">
      <c r="A8" s="7">
        <v>10250</v>
      </c>
      <c r="B8" s="8">
        <v>51</v>
      </c>
      <c r="C8" s="8">
        <v>42.4</v>
      </c>
      <c r="D8" s="8">
        <v>35</v>
      </c>
      <c r="E8" s="8">
        <v>0.15</v>
      </c>
    </row>
    <row r="9" spans="1:5" x14ac:dyDescent="0.2">
      <c r="A9" s="7">
        <v>10250</v>
      </c>
      <c r="B9" s="8">
        <v>65</v>
      </c>
      <c r="C9" s="8">
        <v>16.8</v>
      </c>
      <c r="D9" s="8">
        <v>15</v>
      </c>
      <c r="E9" s="8">
        <v>0.15</v>
      </c>
    </row>
    <row r="10" spans="1:5" x14ac:dyDescent="0.2">
      <c r="A10" s="7">
        <v>10251</v>
      </c>
      <c r="B10" s="8">
        <v>22</v>
      </c>
      <c r="C10" s="8">
        <v>16.8</v>
      </c>
      <c r="D10" s="8">
        <v>6</v>
      </c>
      <c r="E10" s="8">
        <v>0.05</v>
      </c>
    </row>
    <row r="11" spans="1:5" x14ac:dyDescent="0.2">
      <c r="A11" s="7">
        <v>10251</v>
      </c>
      <c r="B11" s="8">
        <v>57</v>
      </c>
      <c r="C11" s="8">
        <v>15.6</v>
      </c>
      <c r="D11" s="8">
        <v>15</v>
      </c>
      <c r="E11" s="8">
        <v>0.05</v>
      </c>
    </row>
    <row r="12" spans="1:5" x14ac:dyDescent="0.2">
      <c r="A12" s="7">
        <v>10251</v>
      </c>
      <c r="B12" s="8">
        <v>65</v>
      </c>
      <c r="C12" s="8">
        <v>16.8</v>
      </c>
      <c r="D12" s="8">
        <v>20</v>
      </c>
      <c r="E12" s="8">
        <v>0</v>
      </c>
    </row>
    <row r="13" spans="1:5" x14ac:dyDescent="0.2">
      <c r="A13" s="7">
        <v>10252</v>
      </c>
      <c r="B13" s="8">
        <v>20</v>
      </c>
      <c r="C13" s="8">
        <v>64.8</v>
      </c>
      <c r="D13" s="8">
        <v>40</v>
      </c>
      <c r="E13" s="8">
        <v>0.05</v>
      </c>
    </row>
    <row r="14" spans="1:5" x14ac:dyDescent="0.2">
      <c r="A14" s="7">
        <v>10252</v>
      </c>
      <c r="B14" s="8">
        <v>33</v>
      </c>
      <c r="C14" s="8">
        <v>2</v>
      </c>
      <c r="D14" s="8">
        <v>25</v>
      </c>
      <c r="E14" s="8">
        <v>0.05</v>
      </c>
    </row>
    <row r="15" spans="1:5" x14ac:dyDescent="0.2">
      <c r="A15" s="7">
        <v>10252</v>
      </c>
      <c r="B15" s="8">
        <v>60</v>
      </c>
      <c r="C15" s="8">
        <v>27.2</v>
      </c>
      <c r="D15" s="8">
        <v>40</v>
      </c>
      <c r="E15" s="8">
        <v>0</v>
      </c>
    </row>
    <row r="16" spans="1:5" x14ac:dyDescent="0.2">
      <c r="A16" s="7">
        <v>10253</v>
      </c>
      <c r="B16" s="8">
        <v>31</v>
      </c>
      <c r="C16" s="8">
        <v>10</v>
      </c>
      <c r="D16" s="8">
        <v>20</v>
      </c>
      <c r="E16" s="8">
        <v>0</v>
      </c>
    </row>
    <row r="17" spans="1:5" x14ac:dyDescent="0.2">
      <c r="A17" s="7">
        <v>10253</v>
      </c>
      <c r="B17" s="8">
        <v>39</v>
      </c>
      <c r="C17" s="8">
        <v>14.4</v>
      </c>
      <c r="D17" s="8">
        <v>42</v>
      </c>
      <c r="E17" s="8">
        <v>0</v>
      </c>
    </row>
    <row r="18" spans="1:5" x14ac:dyDescent="0.2">
      <c r="A18" s="7">
        <v>10253</v>
      </c>
      <c r="B18" s="8">
        <v>49</v>
      </c>
      <c r="C18" s="8">
        <v>16</v>
      </c>
      <c r="D18" s="8">
        <v>40</v>
      </c>
      <c r="E18" s="8">
        <v>0</v>
      </c>
    </row>
    <row r="19" spans="1:5" x14ac:dyDescent="0.2">
      <c r="A19" s="7">
        <v>10254</v>
      </c>
      <c r="B19" s="8">
        <v>24</v>
      </c>
      <c r="C19" s="8">
        <v>3.6</v>
      </c>
      <c r="D19" s="8">
        <v>15</v>
      </c>
      <c r="E19" s="8">
        <v>0.15</v>
      </c>
    </row>
    <row r="20" spans="1:5" x14ac:dyDescent="0.2">
      <c r="A20" s="7">
        <v>10254</v>
      </c>
      <c r="B20" s="8">
        <v>55</v>
      </c>
      <c r="C20" s="8">
        <v>19.2</v>
      </c>
      <c r="D20" s="8">
        <v>21</v>
      </c>
      <c r="E20" s="8">
        <v>0.15</v>
      </c>
    </row>
    <row r="21" spans="1:5" x14ac:dyDescent="0.2">
      <c r="A21" s="7">
        <v>10254</v>
      </c>
      <c r="B21" s="8">
        <v>74</v>
      </c>
      <c r="C21" s="8">
        <v>8</v>
      </c>
      <c r="D21" s="8">
        <v>21</v>
      </c>
      <c r="E21" s="8">
        <v>0</v>
      </c>
    </row>
    <row r="22" spans="1:5" x14ac:dyDescent="0.2">
      <c r="A22" s="7">
        <v>10255</v>
      </c>
      <c r="B22" s="8">
        <v>2</v>
      </c>
      <c r="C22" s="8">
        <v>15.2</v>
      </c>
      <c r="D22" s="8">
        <v>20</v>
      </c>
      <c r="E22" s="8">
        <v>0</v>
      </c>
    </row>
    <row r="23" spans="1:5" x14ac:dyDescent="0.2">
      <c r="A23" s="7">
        <v>10255</v>
      </c>
      <c r="B23" s="8">
        <v>16</v>
      </c>
      <c r="C23" s="8">
        <v>13.9</v>
      </c>
      <c r="D23" s="8">
        <v>35</v>
      </c>
      <c r="E23" s="8">
        <v>0</v>
      </c>
    </row>
    <row r="24" spans="1:5" x14ac:dyDescent="0.2">
      <c r="A24" s="7">
        <v>10255</v>
      </c>
      <c r="B24" s="8">
        <v>36</v>
      </c>
      <c r="C24" s="8">
        <v>15.2</v>
      </c>
      <c r="D24" s="8">
        <v>25</v>
      </c>
      <c r="E24" s="8">
        <v>0</v>
      </c>
    </row>
    <row r="25" spans="1:5" x14ac:dyDescent="0.2">
      <c r="A25" s="7">
        <v>10255</v>
      </c>
      <c r="B25" s="8">
        <v>59</v>
      </c>
      <c r="C25" s="8">
        <v>44</v>
      </c>
      <c r="D25" s="8">
        <v>30</v>
      </c>
      <c r="E25" s="8">
        <v>0</v>
      </c>
    </row>
    <row r="26" spans="1:5" x14ac:dyDescent="0.2">
      <c r="A26" s="7">
        <v>10256</v>
      </c>
      <c r="B26" s="8">
        <v>53</v>
      </c>
      <c r="C26" s="8">
        <v>26.2</v>
      </c>
      <c r="D26" s="8">
        <v>15</v>
      </c>
      <c r="E26" s="8">
        <v>0</v>
      </c>
    </row>
    <row r="27" spans="1:5" x14ac:dyDescent="0.2">
      <c r="A27" s="7">
        <v>10256</v>
      </c>
      <c r="B27" s="8">
        <v>77</v>
      </c>
      <c r="C27" s="8">
        <v>10.4</v>
      </c>
      <c r="D27" s="8">
        <v>12</v>
      </c>
      <c r="E27" s="8">
        <v>0</v>
      </c>
    </row>
    <row r="28" spans="1:5" x14ac:dyDescent="0.2">
      <c r="A28" s="7">
        <v>10257</v>
      </c>
      <c r="B28" s="8">
        <v>27</v>
      </c>
      <c r="C28" s="8">
        <v>35.1</v>
      </c>
      <c r="D28" s="8">
        <v>25</v>
      </c>
      <c r="E28" s="8">
        <v>0</v>
      </c>
    </row>
    <row r="29" spans="1:5" x14ac:dyDescent="0.2">
      <c r="A29" s="7">
        <v>10257</v>
      </c>
      <c r="B29" s="8">
        <v>39</v>
      </c>
      <c r="C29" s="8">
        <v>14.4</v>
      </c>
      <c r="D29" s="8">
        <v>6</v>
      </c>
      <c r="E29" s="8">
        <v>0</v>
      </c>
    </row>
    <row r="30" spans="1:5" x14ac:dyDescent="0.2">
      <c r="A30" s="7">
        <v>10257</v>
      </c>
      <c r="B30" s="8">
        <v>77</v>
      </c>
      <c r="C30" s="8">
        <v>10.4</v>
      </c>
      <c r="D30" s="8">
        <v>15</v>
      </c>
      <c r="E30" s="8">
        <v>0</v>
      </c>
    </row>
    <row r="31" spans="1:5" x14ac:dyDescent="0.2">
      <c r="A31" s="7">
        <v>10258</v>
      </c>
      <c r="B31" s="8">
        <v>2</v>
      </c>
      <c r="C31" s="8">
        <v>15.2</v>
      </c>
      <c r="D31" s="8">
        <v>50</v>
      </c>
      <c r="E31" s="8">
        <v>0.2</v>
      </c>
    </row>
    <row r="32" spans="1:5" x14ac:dyDescent="0.2">
      <c r="A32" s="7">
        <v>10258</v>
      </c>
      <c r="B32" s="8">
        <v>5</v>
      </c>
      <c r="C32" s="8">
        <v>17</v>
      </c>
      <c r="D32" s="8">
        <v>65</v>
      </c>
      <c r="E32" s="8">
        <v>0.2</v>
      </c>
    </row>
    <row r="33" spans="1:5" x14ac:dyDescent="0.2">
      <c r="A33" s="7">
        <v>10258</v>
      </c>
      <c r="B33" s="8">
        <v>32</v>
      </c>
      <c r="C33" s="8">
        <v>25.6</v>
      </c>
      <c r="D33" s="8">
        <v>6</v>
      </c>
      <c r="E33" s="8">
        <v>0.2</v>
      </c>
    </row>
    <row r="34" spans="1:5" x14ac:dyDescent="0.2">
      <c r="A34" s="7">
        <v>10259</v>
      </c>
      <c r="B34" s="8">
        <v>21</v>
      </c>
      <c r="C34" s="8">
        <v>8</v>
      </c>
      <c r="D34" s="8">
        <v>10</v>
      </c>
      <c r="E34" s="8">
        <v>0</v>
      </c>
    </row>
    <row r="35" spans="1:5" x14ac:dyDescent="0.2">
      <c r="A35" s="7">
        <v>10259</v>
      </c>
      <c r="B35" s="8">
        <v>37</v>
      </c>
      <c r="C35" s="8">
        <v>20.8</v>
      </c>
      <c r="D35" s="8">
        <v>1</v>
      </c>
      <c r="E35" s="8">
        <v>0</v>
      </c>
    </row>
    <row r="36" spans="1:5" x14ac:dyDescent="0.2">
      <c r="A36" s="7">
        <v>10260</v>
      </c>
      <c r="B36" s="8">
        <v>41</v>
      </c>
      <c r="C36" s="8">
        <v>7.7</v>
      </c>
      <c r="D36" s="8">
        <v>16</v>
      </c>
      <c r="E36" s="8">
        <v>0.25</v>
      </c>
    </row>
    <row r="37" spans="1:5" x14ac:dyDescent="0.2">
      <c r="A37" s="7">
        <v>10260</v>
      </c>
      <c r="B37" s="8">
        <v>57</v>
      </c>
      <c r="C37" s="8">
        <v>15.6</v>
      </c>
      <c r="D37" s="8">
        <v>50</v>
      </c>
      <c r="E37" s="8">
        <v>0</v>
      </c>
    </row>
    <row r="38" spans="1:5" x14ac:dyDescent="0.2">
      <c r="A38" s="7">
        <v>10260</v>
      </c>
      <c r="B38" s="8">
        <v>62</v>
      </c>
      <c r="C38" s="8">
        <v>39.4</v>
      </c>
      <c r="D38" s="8">
        <v>15</v>
      </c>
      <c r="E38" s="8">
        <v>0.25</v>
      </c>
    </row>
    <row r="39" spans="1:5" x14ac:dyDescent="0.2">
      <c r="A39" s="7">
        <v>10260</v>
      </c>
      <c r="B39" s="8">
        <v>70</v>
      </c>
      <c r="C39" s="8">
        <v>12</v>
      </c>
      <c r="D39" s="8">
        <v>21</v>
      </c>
      <c r="E39" s="8">
        <v>0.25</v>
      </c>
    </row>
    <row r="40" spans="1:5" x14ac:dyDescent="0.2">
      <c r="A40" s="7">
        <v>10261</v>
      </c>
      <c r="B40" s="8">
        <v>21</v>
      </c>
      <c r="C40" s="8">
        <v>8</v>
      </c>
      <c r="D40" s="8">
        <v>20</v>
      </c>
      <c r="E40" s="8">
        <v>0</v>
      </c>
    </row>
    <row r="41" spans="1:5" x14ac:dyDescent="0.2">
      <c r="A41" s="7">
        <v>10261</v>
      </c>
      <c r="B41" s="8">
        <v>35</v>
      </c>
      <c r="C41" s="8">
        <v>14.4</v>
      </c>
      <c r="D41" s="8">
        <v>20</v>
      </c>
      <c r="E41" s="8">
        <v>0</v>
      </c>
    </row>
    <row r="42" spans="1:5" x14ac:dyDescent="0.2">
      <c r="A42" s="7">
        <v>10262</v>
      </c>
      <c r="B42" s="8">
        <v>5</v>
      </c>
      <c r="C42" s="8">
        <v>17</v>
      </c>
      <c r="D42" s="8">
        <v>12</v>
      </c>
      <c r="E42" s="8">
        <v>0.2</v>
      </c>
    </row>
    <row r="43" spans="1:5" x14ac:dyDescent="0.2">
      <c r="A43" s="7">
        <v>10262</v>
      </c>
      <c r="B43" s="8">
        <v>7</v>
      </c>
      <c r="C43" s="8">
        <v>24</v>
      </c>
      <c r="D43" s="8">
        <v>15</v>
      </c>
      <c r="E43" s="8">
        <v>0</v>
      </c>
    </row>
    <row r="44" spans="1:5" x14ac:dyDescent="0.2">
      <c r="A44" s="7">
        <v>10262</v>
      </c>
      <c r="B44" s="8">
        <v>56</v>
      </c>
      <c r="C44" s="8">
        <v>30.4</v>
      </c>
      <c r="D44" s="8">
        <v>2</v>
      </c>
      <c r="E44" s="8">
        <v>0</v>
      </c>
    </row>
    <row r="45" spans="1:5" x14ac:dyDescent="0.2">
      <c r="A45" s="7">
        <v>10263</v>
      </c>
      <c r="B45" s="8">
        <v>16</v>
      </c>
      <c r="C45" s="8">
        <v>13.9</v>
      </c>
      <c r="D45" s="8">
        <v>60</v>
      </c>
      <c r="E45" s="8">
        <v>0.25</v>
      </c>
    </row>
    <row r="46" spans="1:5" x14ac:dyDescent="0.2">
      <c r="A46" s="7">
        <v>10263</v>
      </c>
      <c r="B46" s="8">
        <v>24</v>
      </c>
      <c r="C46" s="8">
        <v>3.6</v>
      </c>
      <c r="D46" s="8">
        <v>28</v>
      </c>
      <c r="E46" s="8">
        <v>0</v>
      </c>
    </row>
    <row r="47" spans="1:5" x14ac:dyDescent="0.2">
      <c r="A47" s="7">
        <v>10263</v>
      </c>
      <c r="B47" s="8">
        <v>30</v>
      </c>
      <c r="C47" s="8">
        <v>20.7</v>
      </c>
      <c r="D47" s="8">
        <v>60</v>
      </c>
      <c r="E47" s="8">
        <v>0.25</v>
      </c>
    </row>
    <row r="48" spans="1:5" x14ac:dyDescent="0.2">
      <c r="A48" s="7">
        <v>10263</v>
      </c>
      <c r="B48" s="8">
        <v>74</v>
      </c>
      <c r="C48" s="8">
        <v>8</v>
      </c>
      <c r="D48" s="8">
        <v>36</v>
      </c>
      <c r="E48" s="8">
        <v>0.25</v>
      </c>
    </row>
    <row r="49" spans="1:5" x14ac:dyDescent="0.2">
      <c r="A49" s="7">
        <v>10264</v>
      </c>
      <c r="B49" s="8">
        <v>2</v>
      </c>
      <c r="C49" s="8">
        <v>15.2</v>
      </c>
      <c r="D49" s="8">
        <v>35</v>
      </c>
      <c r="E49" s="8">
        <v>0</v>
      </c>
    </row>
    <row r="50" spans="1:5" x14ac:dyDescent="0.2">
      <c r="A50" s="7">
        <v>10264</v>
      </c>
      <c r="B50" s="8">
        <v>41</v>
      </c>
      <c r="C50" s="8">
        <v>7.7</v>
      </c>
      <c r="D50" s="8">
        <v>25</v>
      </c>
      <c r="E50" s="8">
        <v>0.15</v>
      </c>
    </row>
    <row r="51" spans="1:5" x14ac:dyDescent="0.2">
      <c r="A51" s="7">
        <v>10265</v>
      </c>
      <c r="B51" s="8">
        <v>17</v>
      </c>
      <c r="C51" s="8">
        <v>31.2</v>
      </c>
      <c r="D51" s="8">
        <v>30</v>
      </c>
      <c r="E51" s="8">
        <v>0</v>
      </c>
    </row>
    <row r="52" spans="1:5" x14ac:dyDescent="0.2">
      <c r="A52" s="7">
        <v>10265</v>
      </c>
      <c r="B52" s="8">
        <v>70</v>
      </c>
      <c r="C52" s="8">
        <v>12</v>
      </c>
      <c r="D52" s="8">
        <v>20</v>
      </c>
      <c r="E52" s="8">
        <v>0</v>
      </c>
    </row>
    <row r="53" spans="1:5" x14ac:dyDescent="0.2">
      <c r="A53" s="7">
        <v>10266</v>
      </c>
      <c r="B53" s="8">
        <v>12</v>
      </c>
      <c r="C53" s="8">
        <v>30.4</v>
      </c>
      <c r="D53" s="8">
        <v>12</v>
      </c>
      <c r="E53" s="8">
        <v>0.05</v>
      </c>
    </row>
    <row r="54" spans="1:5" x14ac:dyDescent="0.2">
      <c r="A54" s="7">
        <v>10267</v>
      </c>
      <c r="B54" s="8">
        <v>40</v>
      </c>
      <c r="C54" s="8">
        <v>14.7</v>
      </c>
      <c r="D54" s="8">
        <v>50</v>
      </c>
      <c r="E54" s="8">
        <v>0</v>
      </c>
    </row>
    <row r="55" spans="1:5" x14ac:dyDescent="0.2">
      <c r="A55" s="7">
        <v>10267</v>
      </c>
      <c r="B55" s="8">
        <v>59</v>
      </c>
      <c r="C55" s="8">
        <v>44</v>
      </c>
      <c r="D55" s="8">
        <v>70</v>
      </c>
      <c r="E55" s="8">
        <v>0.15</v>
      </c>
    </row>
    <row r="56" spans="1:5" x14ac:dyDescent="0.2">
      <c r="A56" s="7">
        <v>10267</v>
      </c>
      <c r="B56" s="8">
        <v>76</v>
      </c>
      <c r="C56" s="8">
        <v>14.4</v>
      </c>
      <c r="D56" s="8">
        <v>15</v>
      </c>
      <c r="E56" s="8">
        <v>0.15</v>
      </c>
    </row>
    <row r="57" spans="1:5" x14ac:dyDescent="0.2">
      <c r="A57" s="7">
        <v>10268</v>
      </c>
      <c r="B57" s="8">
        <v>29</v>
      </c>
      <c r="C57" s="8">
        <v>99</v>
      </c>
      <c r="D57" s="8">
        <v>10</v>
      </c>
      <c r="E57" s="8">
        <v>0</v>
      </c>
    </row>
    <row r="58" spans="1:5" x14ac:dyDescent="0.2">
      <c r="A58" s="7">
        <v>10268</v>
      </c>
      <c r="B58" s="8">
        <v>72</v>
      </c>
      <c r="C58" s="8">
        <v>27.8</v>
      </c>
      <c r="D58" s="8">
        <v>4</v>
      </c>
      <c r="E58" s="8">
        <v>0</v>
      </c>
    </row>
    <row r="59" spans="1:5" x14ac:dyDescent="0.2">
      <c r="A59" s="7">
        <v>10269</v>
      </c>
      <c r="B59" s="8">
        <v>33</v>
      </c>
      <c r="C59" s="8">
        <v>2</v>
      </c>
      <c r="D59" s="8">
        <v>60</v>
      </c>
      <c r="E59" s="8">
        <v>0.05</v>
      </c>
    </row>
    <row r="60" spans="1:5" x14ac:dyDescent="0.2">
      <c r="A60" s="7">
        <v>10269</v>
      </c>
      <c r="B60" s="8">
        <v>72</v>
      </c>
      <c r="C60" s="8">
        <v>27.8</v>
      </c>
      <c r="D60" s="8">
        <v>20</v>
      </c>
      <c r="E60" s="8">
        <v>0.05</v>
      </c>
    </row>
    <row r="61" spans="1:5" x14ac:dyDescent="0.2">
      <c r="A61" s="7">
        <v>10270</v>
      </c>
      <c r="B61" s="8">
        <v>36</v>
      </c>
      <c r="C61" s="8">
        <v>15.2</v>
      </c>
      <c r="D61" s="8">
        <v>30</v>
      </c>
      <c r="E61" s="8">
        <v>0</v>
      </c>
    </row>
    <row r="62" spans="1:5" x14ac:dyDescent="0.2">
      <c r="A62" s="7">
        <v>10270</v>
      </c>
      <c r="B62" s="8">
        <v>43</v>
      </c>
      <c r="C62" s="8">
        <v>36.799999999999997</v>
      </c>
      <c r="D62" s="8">
        <v>25</v>
      </c>
      <c r="E62" s="8">
        <v>0</v>
      </c>
    </row>
    <row r="63" spans="1:5" x14ac:dyDescent="0.2">
      <c r="A63" s="7">
        <v>10271</v>
      </c>
      <c r="B63" s="8">
        <v>33</v>
      </c>
      <c r="C63" s="8">
        <v>2</v>
      </c>
      <c r="D63" s="8">
        <v>24</v>
      </c>
      <c r="E63" s="8">
        <v>0</v>
      </c>
    </row>
    <row r="64" spans="1:5" x14ac:dyDescent="0.2">
      <c r="A64" s="7">
        <v>10272</v>
      </c>
      <c r="B64" s="8">
        <v>20</v>
      </c>
      <c r="C64" s="8">
        <v>64.8</v>
      </c>
      <c r="D64" s="8">
        <v>6</v>
      </c>
      <c r="E64" s="8">
        <v>0</v>
      </c>
    </row>
    <row r="65" spans="1:5" x14ac:dyDescent="0.2">
      <c r="A65" s="7">
        <v>10272</v>
      </c>
      <c r="B65" s="8">
        <v>31</v>
      </c>
      <c r="C65" s="8">
        <v>10</v>
      </c>
      <c r="D65" s="8">
        <v>40</v>
      </c>
      <c r="E65" s="8">
        <v>0</v>
      </c>
    </row>
    <row r="66" spans="1:5" x14ac:dyDescent="0.2">
      <c r="A66" s="7">
        <v>10272</v>
      </c>
      <c r="B66" s="8">
        <v>72</v>
      </c>
      <c r="C66" s="8">
        <v>27.8</v>
      </c>
      <c r="D66" s="8">
        <v>24</v>
      </c>
      <c r="E66" s="8">
        <v>0</v>
      </c>
    </row>
    <row r="67" spans="1:5" x14ac:dyDescent="0.2">
      <c r="A67" s="7">
        <v>10273</v>
      </c>
      <c r="B67" s="8">
        <v>10</v>
      </c>
      <c r="C67" s="8">
        <v>24.8</v>
      </c>
      <c r="D67" s="8">
        <v>24</v>
      </c>
      <c r="E67" s="8">
        <v>0.05</v>
      </c>
    </row>
    <row r="68" spans="1:5" x14ac:dyDescent="0.2">
      <c r="A68" s="7">
        <v>10273</v>
      </c>
      <c r="B68" s="8">
        <v>31</v>
      </c>
      <c r="C68" s="8">
        <v>10</v>
      </c>
      <c r="D68" s="8">
        <v>15</v>
      </c>
      <c r="E68" s="8">
        <v>0.05</v>
      </c>
    </row>
    <row r="69" spans="1:5" x14ac:dyDescent="0.2">
      <c r="A69" s="7">
        <v>10273</v>
      </c>
      <c r="B69" s="8">
        <v>33</v>
      </c>
      <c r="C69" s="8">
        <v>2</v>
      </c>
      <c r="D69" s="8">
        <v>20</v>
      </c>
      <c r="E69" s="8">
        <v>0</v>
      </c>
    </row>
    <row r="70" spans="1:5" x14ac:dyDescent="0.2">
      <c r="A70" s="7">
        <v>10273</v>
      </c>
      <c r="B70" s="8">
        <v>40</v>
      </c>
      <c r="C70" s="8">
        <v>14.7</v>
      </c>
      <c r="D70" s="8">
        <v>60</v>
      </c>
      <c r="E70" s="8">
        <v>0.05</v>
      </c>
    </row>
    <row r="71" spans="1:5" x14ac:dyDescent="0.2">
      <c r="A71" s="7">
        <v>10273</v>
      </c>
      <c r="B71" s="8">
        <v>76</v>
      </c>
      <c r="C71" s="8">
        <v>14.4</v>
      </c>
      <c r="D71" s="8">
        <v>33</v>
      </c>
      <c r="E71" s="8">
        <v>0.05</v>
      </c>
    </row>
    <row r="72" spans="1:5" x14ac:dyDescent="0.2">
      <c r="A72" s="7">
        <v>10274</v>
      </c>
      <c r="B72" s="8">
        <v>71</v>
      </c>
      <c r="C72" s="8">
        <v>17.2</v>
      </c>
      <c r="D72" s="8">
        <v>20</v>
      </c>
      <c r="E72" s="8">
        <v>0</v>
      </c>
    </row>
    <row r="73" spans="1:5" x14ac:dyDescent="0.2">
      <c r="A73" s="7">
        <v>10274</v>
      </c>
      <c r="B73" s="8">
        <v>72</v>
      </c>
      <c r="C73" s="8">
        <v>27.8</v>
      </c>
      <c r="D73" s="8">
        <v>7</v>
      </c>
      <c r="E73" s="8">
        <v>0</v>
      </c>
    </row>
    <row r="74" spans="1:5" x14ac:dyDescent="0.2">
      <c r="A74" s="7">
        <v>10275</v>
      </c>
      <c r="B74" s="8">
        <v>24</v>
      </c>
      <c r="C74" s="8">
        <v>3.6</v>
      </c>
      <c r="D74" s="8">
        <v>12</v>
      </c>
      <c r="E74" s="8">
        <v>0.05</v>
      </c>
    </row>
    <row r="75" spans="1:5" x14ac:dyDescent="0.2">
      <c r="A75" s="7">
        <v>10275</v>
      </c>
      <c r="B75" s="8">
        <v>59</v>
      </c>
      <c r="C75" s="8">
        <v>44</v>
      </c>
      <c r="D75" s="8">
        <v>6</v>
      </c>
      <c r="E75" s="8">
        <v>0.05</v>
      </c>
    </row>
    <row r="76" spans="1:5" x14ac:dyDescent="0.2">
      <c r="A76" s="7">
        <v>10276</v>
      </c>
      <c r="B76" s="8">
        <v>10</v>
      </c>
      <c r="C76" s="8">
        <v>24.8</v>
      </c>
      <c r="D76" s="8">
        <v>15</v>
      </c>
      <c r="E76" s="8">
        <v>0</v>
      </c>
    </row>
    <row r="77" spans="1:5" x14ac:dyDescent="0.2">
      <c r="A77" s="7">
        <v>10276</v>
      </c>
      <c r="B77" s="8">
        <v>13</v>
      </c>
      <c r="C77" s="8">
        <v>4.8</v>
      </c>
      <c r="D77" s="8">
        <v>10</v>
      </c>
      <c r="E77" s="8">
        <v>0</v>
      </c>
    </row>
    <row r="78" spans="1:5" x14ac:dyDescent="0.2">
      <c r="A78" s="7">
        <v>10277</v>
      </c>
      <c r="B78" s="8">
        <v>28</v>
      </c>
      <c r="C78" s="8">
        <v>36.4</v>
      </c>
      <c r="D78" s="8">
        <v>20</v>
      </c>
      <c r="E78" s="8">
        <v>0</v>
      </c>
    </row>
    <row r="79" spans="1:5" x14ac:dyDescent="0.2">
      <c r="A79" s="7">
        <v>10277</v>
      </c>
      <c r="B79" s="8">
        <v>62</v>
      </c>
      <c r="C79" s="8">
        <v>39.4</v>
      </c>
      <c r="D79" s="8">
        <v>12</v>
      </c>
      <c r="E79" s="8">
        <v>0</v>
      </c>
    </row>
    <row r="80" spans="1:5" x14ac:dyDescent="0.2">
      <c r="A80" s="7">
        <v>10278</v>
      </c>
      <c r="B80" s="8">
        <v>44</v>
      </c>
      <c r="C80" s="8">
        <v>15.5</v>
      </c>
      <c r="D80" s="8">
        <v>16</v>
      </c>
      <c r="E80" s="8">
        <v>0</v>
      </c>
    </row>
    <row r="81" spans="1:5" x14ac:dyDescent="0.2">
      <c r="A81" s="7">
        <v>10278</v>
      </c>
      <c r="B81" s="8">
        <v>59</v>
      </c>
      <c r="C81" s="8">
        <v>44</v>
      </c>
      <c r="D81" s="8">
        <v>15</v>
      </c>
      <c r="E81" s="8">
        <v>0</v>
      </c>
    </row>
    <row r="82" spans="1:5" x14ac:dyDescent="0.2">
      <c r="A82" s="7">
        <v>10278</v>
      </c>
      <c r="B82" s="8">
        <v>63</v>
      </c>
      <c r="C82" s="8">
        <v>35.1</v>
      </c>
      <c r="D82" s="8">
        <v>8</v>
      </c>
      <c r="E82" s="8">
        <v>0</v>
      </c>
    </row>
    <row r="83" spans="1:5" x14ac:dyDescent="0.2">
      <c r="A83" s="7">
        <v>10278</v>
      </c>
      <c r="B83" s="8">
        <v>73</v>
      </c>
      <c r="C83" s="8">
        <v>12</v>
      </c>
      <c r="D83" s="8">
        <v>25</v>
      </c>
      <c r="E83" s="8">
        <v>0</v>
      </c>
    </row>
    <row r="84" spans="1:5" x14ac:dyDescent="0.2">
      <c r="A84" s="7">
        <v>10279</v>
      </c>
      <c r="B84" s="8">
        <v>17</v>
      </c>
      <c r="C84" s="8">
        <v>31.2</v>
      </c>
      <c r="D84" s="8">
        <v>15</v>
      </c>
      <c r="E84" s="8">
        <v>0.25</v>
      </c>
    </row>
    <row r="85" spans="1:5" x14ac:dyDescent="0.2">
      <c r="A85" s="7">
        <v>10280</v>
      </c>
      <c r="B85" s="8">
        <v>24</v>
      </c>
      <c r="C85" s="8">
        <v>3.6</v>
      </c>
      <c r="D85" s="8">
        <v>12</v>
      </c>
      <c r="E85" s="8">
        <v>0</v>
      </c>
    </row>
    <row r="86" spans="1:5" x14ac:dyDescent="0.2">
      <c r="A86" s="7">
        <v>10280</v>
      </c>
      <c r="B86" s="8">
        <v>55</v>
      </c>
      <c r="C86" s="8">
        <v>19.2</v>
      </c>
      <c r="D86" s="8">
        <v>20</v>
      </c>
      <c r="E86" s="8">
        <v>0</v>
      </c>
    </row>
    <row r="87" spans="1:5" x14ac:dyDescent="0.2">
      <c r="A87" s="7">
        <v>10280</v>
      </c>
      <c r="B87" s="8">
        <v>75</v>
      </c>
      <c r="C87" s="8">
        <v>6.2</v>
      </c>
      <c r="D87" s="8">
        <v>30</v>
      </c>
      <c r="E87" s="8">
        <v>0</v>
      </c>
    </row>
    <row r="88" spans="1:5" x14ac:dyDescent="0.2">
      <c r="A88" s="7">
        <v>10281</v>
      </c>
      <c r="B88" s="8">
        <v>19</v>
      </c>
      <c r="C88" s="8">
        <v>7.3</v>
      </c>
      <c r="D88" s="8">
        <v>1</v>
      </c>
      <c r="E88" s="8">
        <v>0</v>
      </c>
    </row>
    <row r="89" spans="1:5" x14ac:dyDescent="0.2">
      <c r="A89" s="7">
        <v>10281</v>
      </c>
      <c r="B89" s="8">
        <v>24</v>
      </c>
      <c r="C89" s="8">
        <v>3.6</v>
      </c>
      <c r="D89" s="8">
        <v>6</v>
      </c>
      <c r="E89" s="8">
        <v>0</v>
      </c>
    </row>
    <row r="90" spans="1:5" x14ac:dyDescent="0.2">
      <c r="A90" s="7">
        <v>10281</v>
      </c>
      <c r="B90" s="8">
        <v>35</v>
      </c>
      <c r="C90" s="8">
        <v>14.4</v>
      </c>
      <c r="D90" s="8">
        <v>4</v>
      </c>
      <c r="E90" s="8">
        <v>0</v>
      </c>
    </row>
    <row r="91" spans="1:5" x14ac:dyDescent="0.2">
      <c r="A91" s="7">
        <v>10282</v>
      </c>
      <c r="B91" s="8">
        <v>30</v>
      </c>
      <c r="C91" s="8">
        <v>20.7</v>
      </c>
      <c r="D91" s="8">
        <v>6</v>
      </c>
      <c r="E91" s="8">
        <v>0</v>
      </c>
    </row>
    <row r="92" spans="1:5" x14ac:dyDescent="0.2">
      <c r="A92" s="7">
        <v>10282</v>
      </c>
      <c r="B92" s="8">
        <v>57</v>
      </c>
      <c r="C92" s="8">
        <v>15.6</v>
      </c>
      <c r="D92" s="8">
        <v>2</v>
      </c>
      <c r="E92" s="8">
        <v>0</v>
      </c>
    </row>
    <row r="93" spans="1:5" x14ac:dyDescent="0.2">
      <c r="A93" s="7">
        <v>10283</v>
      </c>
      <c r="B93" s="8">
        <v>15</v>
      </c>
      <c r="C93" s="8">
        <v>12.4</v>
      </c>
      <c r="D93" s="8">
        <v>20</v>
      </c>
      <c r="E93" s="8">
        <v>0</v>
      </c>
    </row>
    <row r="94" spans="1:5" x14ac:dyDescent="0.2">
      <c r="A94" s="7">
        <v>10283</v>
      </c>
      <c r="B94" s="8">
        <v>19</v>
      </c>
      <c r="C94" s="8">
        <v>7.3</v>
      </c>
      <c r="D94" s="8">
        <v>18</v>
      </c>
      <c r="E94" s="8">
        <v>0</v>
      </c>
    </row>
    <row r="95" spans="1:5" x14ac:dyDescent="0.2">
      <c r="A95" s="7">
        <v>10283</v>
      </c>
      <c r="B95" s="8">
        <v>60</v>
      </c>
      <c r="C95" s="8">
        <v>27.2</v>
      </c>
      <c r="D95" s="8">
        <v>35</v>
      </c>
      <c r="E95" s="8">
        <v>0</v>
      </c>
    </row>
    <row r="96" spans="1:5" x14ac:dyDescent="0.2">
      <c r="A96" s="7">
        <v>10283</v>
      </c>
      <c r="B96" s="8">
        <v>72</v>
      </c>
      <c r="C96" s="8">
        <v>27.8</v>
      </c>
      <c r="D96" s="8">
        <v>3</v>
      </c>
      <c r="E96" s="8">
        <v>0</v>
      </c>
    </row>
    <row r="97" spans="1:5" x14ac:dyDescent="0.2">
      <c r="A97" s="7">
        <v>10284</v>
      </c>
      <c r="B97" s="8">
        <v>27</v>
      </c>
      <c r="C97" s="8">
        <v>35.1</v>
      </c>
      <c r="D97" s="8">
        <v>15</v>
      </c>
      <c r="E97" s="8">
        <v>0.25</v>
      </c>
    </row>
    <row r="98" spans="1:5" x14ac:dyDescent="0.2">
      <c r="A98" s="7">
        <v>10284</v>
      </c>
      <c r="B98" s="8">
        <v>44</v>
      </c>
      <c r="C98" s="8">
        <v>15.5</v>
      </c>
      <c r="D98" s="8">
        <v>21</v>
      </c>
      <c r="E98" s="8">
        <v>0</v>
      </c>
    </row>
    <row r="99" spans="1:5" x14ac:dyDescent="0.2">
      <c r="A99" s="7">
        <v>10284</v>
      </c>
      <c r="B99" s="8">
        <v>60</v>
      </c>
      <c r="C99" s="8">
        <v>27.2</v>
      </c>
      <c r="D99" s="8">
        <v>20</v>
      </c>
      <c r="E99" s="8">
        <v>0.25</v>
      </c>
    </row>
    <row r="100" spans="1:5" x14ac:dyDescent="0.2">
      <c r="A100" s="7">
        <v>10284</v>
      </c>
      <c r="B100" s="8">
        <v>67</v>
      </c>
      <c r="C100" s="8">
        <v>11.2</v>
      </c>
      <c r="D100" s="8">
        <v>5</v>
      </c>
      <c r="E100" s="8">
        <v>0.25</v>
      </c>
    </row>
    <row r="101" spans="1:5" x14ac:dyDescent="0.2">
      <c r="A101" s="7">
        <v>10285</v>
      </c>
      <c r="B101" s="8">
        <v>1</v>
      </c>
      <c r="C101" s="8">
        <v>14.4</v>
      </c>
      <c r="D101" s="8">
        <v>45</v>
      </c>
      <c r="E101" s="8">
        <v>0.2</v>
      </c>
    </row>
    <row r="102" spans="1:5" x14ac:dyDescent="0.2">
      <c r="A102" s="7">
        <v>10285</v>
      </c>
      <c r="B102" s="8">
        <v>40</v>
      </c>
      <c r="C102" s="8">
        <v>14.7</v>
      </c>
      <c r="D102" s="8">
        <v>40</v>
      </c>
      <c r="E102" s="8">
        <v>0.2</v>
      </c>
    </row>
    <row r="103" spans="1:5" x14ac:dyDescent="0.2">
      <c r="A103" s="7">
        <v>10285</v>
      </c>
      <c r="B103" s="8">
        <v>53</v>
      </c>
      <c r="C103" s="8">
        <v>26.2</v>
      </c>
      <c r="D103" s="8">
        <v>36</v>
      </c>
      <c r="E103" s="8">
        <v>0.2</v>
      </c>
    </row>
    <row r="104" spans="1:5" x14ac:dyDescent="0.2">
      <c r="A104" s="7">
        <v>10286</v>
      </c>
      <c r="B104" s="8">
        <v>35</v>
      </c>
      <c r="C104" s="8">
        <v>14.4</v>
      </c>
      <c r="D104" s="8">
        <v>100</v>
      </c>
      <c r="E104" s="8">
        <v>0</v>
      </c>
    </row>
    <row r="105" spans="1:5" x14ac:dyDescent="0.2">
      <c r="A105" s="7">
        <v>10286</v>
      </c>
      <c r="B105" s="8">
        <v>62</v>
      </c>
      <c r="C105" s="8">
        <v>39.4</v>
      </c>
      <c r="D105" s="8">
        <v>40</v>
      </c>
      <c r="E105" s="8">
        <v>0</v>
      </c>
    </row>
    <row r="106" spans="1:5" x14ac:dyDescent="0.2">
      <c r="A106" s="7">
        <v>10287</v>
      </c>
      <c r="B106" s="8">
        <v>16</v>
      </c>
      <c r="C106" s="8">
        <v>13.9</v>
      </c>
      <c r="D106" s="8">
        <v>40</v>
      </c>
      <c r="E106" s="8">
        <v>0.15</v>
      </c>
    </row>
    <row r="107" spans="1:5" x14ac:dyDescent="0.2">
      <c r="A107" s="7">
        <v>10287</v>
      </c>
      <c r="B107" s="8">
        <v>34</v>
      </c>
      <c r="C107" s="8">
        <v>11.2</v>
      </c>
      <c r="D107" s="8">
        <v>20</v>
      </c>
      <c r="E107" s="8">
        <v>0</v>
      </c>
    </row>
    <row r="108" spans="1:5" x14ac:dyDescent="0.2">
      <c r="A108" s="7">
        <v>10287</v>
      </c>
      <c r="B108" s="8">
        <v>46</v>
      </c>
      <c r="C108" s="8">
        <v>9.6</v>
      </c>
      <c r="D108" s="8">
        <v>15</v>
      </c>
      <c r="E108" s="8">
        <v>0.15</v>
      </c>
    </row>
    <row r="109" spans="1:5" x14ac:dyDescent="0.2">
      <c r="A109" s="7">
        <v>10288</v>
      </c>
      <c r="B109" s="8">
        <v>54</v>
      </c>
      <c r="C109" s="8">
        <v>5.9</v>
      </c>
      <c r="D109" s="8">
        <v>10</v>
      </c>
      <c r="E109" s="8">
        <v>0.1</v>
      </c>
    </row>
    <row r="110" spans="1:5" x14ac:dyDescent="0.2">
      <c r="A110" s="7">
        <v>10288</v>
      </c>
      <c r="B110" s="8">
        <v>68</v>
      </c>
      <c r="C110" s="8">
        <v>10</v>
      </c>
      <c r="D110" s="8">
        <v>3</v>
      </c>
      <c r="E110" s="8">
        <v>0.1</v>
      </c>
    </row>
    <row r="111" spans="1:5" x14ac:dyDescent="0.2">
      <c r="A111" s="7">
        <v>10289</v>
      </c>
      <c r="B111" s="8">
        <v>3</v>
      </c>
      <c r="C111" s="8">
        <v>8</v>
      </c>
      <c r="D111" s="8">
        <v>30</v>
      </c>
      <c r="E111" s="8">
        <v>0</v>
      </c>
    </row>
    <row r="112" spans="1:5" x14ac:dyDescent="0.2">
      <c r="A112" s="7">
        <v>10289</v>
      </c>
      <c r="B112" s="8">
        <v>64</v>
      </c>
      <c r="C112" s="8">
        <v>26.6</v>
      </c>
      <c r="D112" s="8">
        <v>9</v>
      </c>
      <c r="E112" s="8">
        <v>0</v>
      </c>
    </row>
    <row r="113" spans="1:5" x14ac:dyDescent="0.2">
      <c r="A113" s="7">
        <v>10290</v>
      </c>
      <c r="B113" s="8">
        <v>5</v>
      </c>
      <c r="C113" s="8">
        <v>17</v>
      </c>
      <c r="D113" s="8">
        <v>20</v>
      </c>
      <c r="E113" s="8">
        <v>0</v>
      </c>
    </row>
    <row r="114" spans="1:5" x14ac:dyDescent="0.2">
      <c r="A114" s="7">
        <v>10290</v>
      </c>
      <c r="B114" s="8">
        <v>29</v>
      </c>
      <c r="C114" s="8">
        <v>99</v>
      </c>
      <c r="D114" s="8">
        <v>15</v>
      </c>
      <c r="E114" s="8">
        <v>0</v>
      </c>
    </row>
    <row r="115" spans="1:5" x14ac:dyDescent="0.2">
      <c r="A115" s="7">
        <v>10290</v>
      </c>
      <c r="B115" s="8">
        <v>49</v>
      </c>
      <c r="C115" s="8">
        <v>16</v>
      </c>
      <c r="D115" s="8">
        <v>15</v>
      </c>
      <c r="E115" s="8">
        <v>0</v>
      </c>
    </row>
    <row r="116" spans="1:5" x14ac:dyDescent="0.2">
      <c r="A116" s="7">
        <v>10290</v>
      </c>
      <c r="B116" s="8">
        <v>77</v>
      </c>
      <c r="C116" s="8">
        <v>10.4</v>
      </c>
      <c r="D116" s="8">
        <v>10</v>
      </c>
      <c r="E116" s="8">
        <v>0</v>
      </c>
    </row>
    <row r="117" spans="1:5" x14ac:dyDescent="0.2">
      <c r="A117" s="7">
        <v>10291</v>
      </c>
      <c r="B117" s="8">
        <v>13</v>
      </c>
      <c r="C117" s="8">
        <v>4.8</v>
      </c>
      <c r="D117" s="8">
        <v>20</v>
      </c>
      <c r="E117" s="8">
        <v>0.1</v>
      </c>
    </row>
    <row r="118" spans="1:5" x14ac:dyDescent="0.2">
      <c r="A118" s="7">
        <v>10291</v>
      </c>
      <c r="B118" s="8">
        <v>44</v>
      </c>
      <c r="C118" s="8">
        <v>15.5</v>
      </c>
      <c r="D118" s="8">
        <v>24</v>
      </c>
      <c r="E118" s="8">
        <v>0.1</v>
      </c>
    </row>
    <row r="119" spans="1:5" x14ac:dyDescent="0.2">
      <c r="A119" s="7">
        <v>10291</v>
      </c>
      <c r="B119" s="8">
        <v>51</v>
      </c>
      <c r="C119" s="8">
        <v>42.4</v>
      </c>
      <c r="D119" s="8">
        <v>2</v>
      </c>
      <c r="E119" s="8">
        <v>0.1</v>
      </c>
    </row>
    <row r="120" spans="1:5" x14ac:dyDescent="0.2">
      <c r="A120" s="7">
        <v>10292</v>
      </c>
      <c r="B120" s="8">
        <v>20</v>
      </c>
      <c r="C120" s="8">
        <v>64.8</v>
      </c>
      <c r="D120" s="8">
        <v>20</v>
      </c>
      <c r="E120" s="8">
        <v>0</v>
      </c>
    </row>
    <row r="121" spans="1:5" x14ac:dyDescent="0.2">
      <c r="A121" s="7">
        <v>10293</v>
      </c>
      <c r="B121" s="8">
        <v>18</v>
      </c>
      <c r="C121" s="8">
        <v>50</v>
      </c>
      <c r="D121" s="8">
        <v>12</v>
      </c>
      <c r="E121" s="8">
        <v>0</v>
      </c>
    </row>
    <row r="122" spans="1:5" x14ac:dyDescent="0.2">
      <c r="A122" s="7">
        <v>10293</v>
      </c>
      <c r="B122" s="8">
        <v>24</v>
      </c>
      <c r="C122" s="8">
        <v>3.6</v>
      </c>
      <c r="D122" s="8">
        <v>10</v>
      </c>
      <c r="E122" s="8">
        <v>0</v>
      </c>
    </row>
    <row r="123" spans="1:5" x14ac:dyDescent="0.2">
      <c r="A123" s="7">
        <v>10293</v>
      </c>
      <c r="B123" s="8">
        <v>63</v>
      </c>
      <c r="C123" s="8">
        <v>35.1</v>
      </c>
      <c r="D123" s="8">
        <v>5</v>
      </c>
      <c r="E123" s="8">
        <v>0</v>
      </c>
    </row>
    <row r="124" spans="1:5" x14ac:dyDescent="0.2">
      <c r="A124" s="7">
        <v>10293</v>
      </c>
      <c r="B124" s="8">
        <v>75</v>
      </c>
      <c r="C124" s="8">
        <v>6.2</v>
      </c>
      <c r="D124" s="8">
        <v>6</v>
      </c>
      <c r="E124" s="8">
        <v>0</v>
      </c>
    </row>
    <row r="125" spans="1:5" x14ac:dyDescent="0.2">
      <c r="A125" s="7">
        <v>10294</v>
      </c>
      <c r="B125" s="8">
        <v>1</v>
      </c>
      <c r="C125" s="8">
        <v>14.4</v>
      </c>
      <c r="D125" s="8">
        <v>18</v>
      </c>
      <c r="E125" s="8">
        <v>0</v>
      </c>
    </row>
    <row r="126" spans="1:5" x14ac:dyDescent="0.2">
      <c r="A126" s="7">
        <v>10294</v>
      </c>
      <c r="B126" s="8">
        <v>17</v>
      </c>
      <c r="C126" s="8">
        <v>31.2</v>
      </c>
      <c r="D126" s="8">
        <v>15</v>
      </c>
      <c r="E126" s="8">
        <v>0</v>
      </c>
    </row>
    <row r="127" spans="1:5" x14ac:dyDescent="0.2">
      <c r="A127" s="7">
        <v>10294</v>
      </c>
      <c r="B127" s="8">
        <v>43</v>
      </c>
      <c r="C127" s="8">
        <v>36.799999999999997</v>
      </c>
      <c r="D127" s="8">
        <v>15</v>
      </c>
      <c r="E127" s="8">
        <v>0</v>
      </c>
    </row>
    <row r="128" spans="1:5" x14ac:dyDescent="0.2">
      <c r="A128" s="7">
        <v>10294</v>
      </c>
      <c r="B128" s="8">
        <v>60</v>
      </c>
      <c r="C128" s="8">
        <v>27.2</v>
      </c>
      <c r="D128" s="8">
        <v>21</v>
      </c>
      <c r="E128" s="8">
        <v>0</v>
      </c>
    </row>
    <row r="129" spans="1:5" x14ac:dyDescent="0.2">
      <c r="A129" s="7">
        <v>10294</v>
      </c>
      <c r="B129" s="8">
        <v>75</v>
      </c>
      <c r="C129" s="8">
        <v>6.2</v>
      </c>
      <c r="D129" s="8">
        <v>6</v>
      </c>
      <c r="E129" s="8">
        <v>0</v>
      </c>
    </row>
    <row r="130" spans="1:5" x14ac:dyDescent="0.2">
      <c r="A130" s="7">
        <v>10295</v>
      </c>
      <c r="B130" s="8">
        <v>56</v>
      </c>
      <c r="C130" s="8">
        <v>30.4</v>
      </c>
      <c r="D130" s="8">
        <v>4</v>
      </c>
      <c r="E130" s="8">
        <v>0</v>
      </c>
    </row>
    <row r="131" spans="1:5" x14ac:dyDescent="0.2">
      <c r="A131" s="7">
        <v>10296</v>
      </c>
      <c r="B131" s="8">
        <v>11</v>
      </c>
      <c r="C131" s="8">
        <v>16.8</v>
      </c>
      <c r="D131" s="8">
        <v>12</v>
      </c>
      <c r="E131" s="8">
        <v>0</v>
      </c>
    </row>
    <row r="132" spans="1:5" x14ac:dyDescent="0.2">
      <c r="A132" s="7">
        <v>10296</v>
      </c>
      <c r="B132" s="8">
        <v>16</v>
      </c>
      <c r="C132" s="8">
        <v>13.9</v>
      </c>
      <c r="D132" s="8">
        <v>30</v>
      </c>
      <c r="E132" s="8">
        <v>0</v>
      </c>
    </row>
    <row r="133" spans="1:5" x14ac:dyDescent="0.2">
      <c r="A133" s="7">
        <v>10296</v>
      </c>
      <c r="B133" s="8">
        <v>69</v>
      </c>
      <c r="C133" s="8">
        <v>28.8</v>
      </c>
      <c r="D133" s="8">
        <v>15</v>
      </c>
      <c r="E133" s="8">
        <v>0</v>
      </c>
    </row>
    <row r="134" spans="1:5" x14ac:dyDescent="0.2">
      <c r="A134" s="7">
        <v>10297</v>
      </c>
      <c r="B134" s="8">
        <v>39</v>
      </c>
      <c r="C134" s="8">
        <v>14.4</v>
      </c>
      <c r="D134" s="8">
        <v>60</v>
      </c>
      <c r="E134" s="8">
        <v>0</v>
      </c>
    </row>
    <row r="135" spans="1:5" x14ac:dyDescent="0.2">
      <c r="A135" s="7">
        <v>10297</v>
      </c>
      <c r="B135" s="8">
        <v>72</v>
      </c>
      <c r="C135" s="8">
        <v>27.8</v>
      </c>
      <c r="D135" s="8">
        <v>20</v>
      </c>
      <c r="E135" s="8">
        <v>0</v>
      </c>
    </row>
    <row r="136" spans="1:5" x14ac:dyDescent="0.2">
      <c r="A136" s="7">
        <v>10298</v>
      </c>
      <c r="B136" s="8">
        <v>2</v>
      </c>
      <c r="C136" s="8">
        <v>15.2</v>
      </c>
      <c r="D136" s="8">
        <v>40</v>
      </c>
      <c r="E136" s="8">
        <v>0</v>
      </c>
    </row>
    <row r="137" spans="1:5" x14ac:dyDescent="0.2">
      <c r="A137" s="7">
        <v>10298</v>
      </c>
      <c r="B137" s="8">
        <v>36</v>
      </c>
      <c r="C137" s="8">
        <v>15.2</v>
      </c>
      <c r="D137" s="8">
        <v>40</v>
      </c>
      <c r="E137" s="8">
        <v>0.25</v>
      </c>
    </row>
    <row r="138" spans="1:5" x14ac:dyDescent="0.2">
      <c r="A138" s="7">
        <v>10298</v>
      </c>
      <c r="B138" s="8">
        <v>59</v>
      </c>
      <c r="C138" s="8">
        <v>44</v>
      </c>
      <c r="D138" s="8">
        <v>30</v>
      </c>
      <c r="E138" s="8">
        <v>0.25</v>
      </c>
    </row>
    <row r="139" spans="1:5" x14ac:dyDescent="0.2">
      <c r="A139" s="7">
        <v>10298</v>
      </c>
      <c r="B139" s="8">
        <v>62</v>
      </c>
      <c r="C139" s="8">
        <v>39.4</v>
      </c>
      <c r="D139" s="8">
        <v>15</v>
      </c>
      <c r="E139" s="8">
        <v>0</v>
      </c>
    </row>
    <row r="140" spans="1:5" x14ac:dyDescent="0.2">
      <c r="A140" s="7">
        <v>10299</v>
      </c>
      <c r="B140" s="8">
        <v>19</v>
      </c>
      <c r="C140" s="8">
        <v>7.3</v>
      </c>
      <c r="D140" s="8">
        <v>15</v>
      </c>
      <c r="E140" s="8">
        <v>0</v>
      </c>
    </row>
    <row r="141" spans="1:5" x14ac:dyDescent="0.2">
      <c r="A141" s="7">
        <v>10299</v>
      </c>
      <c r="B141" s="8">
        <v>70</v>
      </c>
      <c r="C141" s="8">
        <v>12</v>
      </c>
      <c r="D141" s="8">
        <v>20</v>
      </c>
      <c r="E141" s="8">
        <v>0</v>
      </c>
    </row>
    <row r="142" spans="1:5" x14ac:dyDescent="0.2">
      <c r="A142" s="7">
        <v>10300</v>
      </c>
      <c r="B142" s="8">
        <v>66</v>
      </c>
      <c r="C142" s="8">
        <v>13.6</v>
      </c>
      <c r="D142" s="8">
        <v>30</v>
      </c>
      <c r="E142" s="8">
        <v>0</v>
      </c>
    </row>
    <row r="143" spans="1:5" x14ac:dyDescent="0.2">
      <c r="A143" s="7">
        <v>10300</v>
      </c>
      <c r="B143" s="8">
        <v>68</v>
      </c>
      <c r="C143" s="8">
        <v>10</v>
      </c>
      <c r="D143" s="8">
        <v>20</v>
      </c>
      <c r="E143" s="8">
        <v>0</v>
      </c>
    </row>
    <row r="144" spans="1:5" x14ac:dyDescent="0.2">
      <c r="A144" s="7">
        <v>10301</v>
      </c>
      <c r="B144" s="8">
        <v>40</v>
      </c>
      <c r="C144" s="8">
        <v>14.7</v>
      </c>
      <c r="D144" s="8">
        <v>10</v>
      </c>
      <c r="E144" s="8">
        <v>0</v>
      </c>
    </row>
    <row r="145" spans="1:5" x14ac:dyDescent="0.2">
      <c r="A145" s="7">
        <v>10301</v>
      </c>
      <c r="B145" s="8">
        <v>56</v>
      </c>
      <c r="C145" s="8">
        <v>30.4</v>
      </c>
      <c r="D145" s="8">
        <v>20</v>
      </c>
      <c r="E145" s="8">
        <v>0</v>
      </c>
    </row>
    <row r="146" spans="1:5" x14ac:dyDescent="0.2">
      <c r="A146" s="7">
        <v>10302</v>
      </c>
      <c r="B146" s="8">
        <v>17</v>
      </c>
      <c r="C146" s="8">
        <v>31.2</v>
      </c>
      <c r="D146" s="8">
        <v>40</v>
      </c>
      <c r="E146" s="8">
        <v>0</v>
      </c>
    </row>
    <row r="147" spans="1:5" x14ac:dyDescent="0.2">
      <c r="A147" s="7">
        <v>10302</v>
      </c>
      <c r="B147" s="8">
        <v>28</v>
      </c>
      <c r="C147" s="8">
        <v>36.4</v>
      </c>
      <c r="D147" s="8">
        <v>28</v>
      </c>
      <c r="E147" s="8">
        <v>0</v>
      </c>
    </row>
    <row r="148" spans="1:5" x14ac:dyDescent="0.2">
      <c r="A148" s="7">
        <v>10302</v>
      </c>
      <c r="B148" s="8">
        <v>43</v>
      </c>
      <c r="C148" s="8">
        <v>36.799999999999997</v>
      </c>
      <c r="D148" s="8">
        <v>12</v>
      </c>
      <c r="E148" s="8">
        <v>0</v>
      </c>
    </row>
    <row r="149" spans="1:5" x14ac:dyDescent="0.2">
      <c r="A149" s="7">
        <v>10303</v>
      </c>
      <c r="B149" s="8">
        <v>40</v>
      </c>
      <c r="C149" s="8">
        <v>14.7</v>
      </c>
      <c r="D149" s="8">
        <v>40</v>
      </c>
      <c r="E149" s="8">
        <v>0.1</v>
      </c>
    </row>
    <row r="150" spans="1:5" x14ac:dyDescent="0.2">
      <c r="A150" s="7">
        <v>10303</v>
      </c>
      <c r="B150" s="8">
        <v>65</v>
      </c>
      <c r="C150" s="8">
        <v>16.8</v>
      </c>
      <c r="D150" s="8">
        <v>30</v>
      </c>
      <c r="E150" s="8">
        <v>0.1</v>
      </c>
    </row>
    <row r="151" spans="1:5" x14ac:dyDescent="0.2">
      <c r="A151" s="7">
        <v>10303</v>
      </c>
      <c r="B151" s="8">
        <v>68</v>
      </c>
      <c r="C151" s="8">
        <v>10</v>
      </c>
      <c r="D151" s="8">
        <v>15</v>
      </c>
      <c r="E151" s="8">
        <v>0.1</v>
      </c>
    </row>
    <row r="152" spans="1:5" x14ac:dyDescent="0.2">
      <c r="A152" s="7">
        <v>10304</v>
      </c>
      <c r="B152" s="8">
        <v>49</v>
      </c>
      <c r="C152" s="8">
        <v>16</v>
      </c>
      <c r="D152" s="8">
        <v>30</v>
      </c>
      <c r="E152" s="8">
        <v>0</v>
      </c>
    </row>
    <row r="153" spans="1:5" x14ac:dyDescent="0.2">
      <c r="A153" s="7">
        <v>10304</v>
      </c>
      <c r="B153" s="8">
        <v>59</v>
      </c>
      <c r="C153" s="8">
        <v>44</v>
      </c>
      <c r="D153" s="8">
        <v>10</v>
      </c>
      <c r="E153" s="8">
        <v>0</v>
      </c>
    </row>
    <row r="154" spans="1:5" x14ac:dyDescent="0.2">
      <c r="A154" s="7">
        <v>10304</v>
      </c>
      <c r="B154" s="8">
        <v>71</v>
      </c>
      <c r="C154" s="8">
        <v>17.2</v>
      </c>
      <c r="D154" s="8">
        <v>2</v>
      </c>
      <c r="E154" s="8">
        <v>0</v>
      </c>
    </row>
    <row r="155" spans="1:5" x14ac:dyDescent="0.2">
      <c r="A155" s="7">
        <v>10305</v>
      </c>
      <c r="B155" s="8">
        <v>18</v>
      </c>
      <c r="C155" s="8">
        <v>50</v>
      </c>
      <c r="D155" s="8">
        <v>25</v>
      </c>
      <c r="E155" s="8">
        <v>0.1</v>
      </c>
    </row>
    <row r="156" spans="1:5" x14ac:dyDescent="0.2">
      <c r="A156" s="7">
        <v>10305</v>
      </c>
      <c r="B156" s="8">
        <v>29</v>
      </c>
      <c r="C156" s="8">
        <v>99</v>
      </c>
      <c r="D156" s="8">
        <v>25</v>
      </c>
      <c r="E156" s="8">
        <v>0.1</v>
      </c>
    </row>
    <row r="157" spans="1:5" x14ac:dyDescent="0.2">
      <c r="A157" s="7">
        <v>10305</v>
      </c>
      <c r="B157" s="8">
        <v>39</v>
      </c>
      <c r="C157" s="8">
        <v>14.4</v>
      </c>
      <c r="D157" s="8">
        <v>30</v>
      </c>
      <c r="E157" s="8">
        <v>0.1</v>
      </c>
    </row>
    <row r="158" spans="1:5" x14ac:dyDescent="0.2">
      <c r="A158" s="7">
        <v>10306</v>
      </c>
      <c r="B158" s="8">
        <v>30</v>
      </c>
      <c r="C158" s="8">
        <v>20.7</v>
      </c>
      <c r="D158" s="8">
        <v>10</v>
      </c>
      <c r="E158" s="8">
        <v>0</v>
      </c>
    </row>
    <row r="159" spans="1:5" x14ac:dyDescent="0.2">
      <c r="A159" s="7">
        <v>10306</v>
      </c>
      <c r="B159" s="8">
        <v>53</v>
      </c>
      <c r="C159" s="8">
        <v>26.2</v>
      </c>
      <c r="D159" s="8">
        <v>10</v>
      </c>
      <c r="E159" s="8">
        <v>0</v>
      </c>
    </row>
    <row r="160" spans="1:5" x14ac:dyDescent="0.2">
      <c r="A160" s="7">
        <v>10306</v>
      </c>
      <c r="B160" s="8">
        <v>54</v>
      </c>
      <c r="C160" s="8">
        <v>5.9</v>
      </c>
      <c r="D160" s="8">
        <v>5</v>
      </c>
      <c r="E160" s="8">
        <v>0</v>
      </c>
    </row>
    <row r="161" spans="1:5" x14ac:dyDescent="0.2">
      <c r="A161" s="7">
        <v>10307</v>
      </c>
      <c r="B161" s="8">
        <v>62</v>
      </c>
      <c r="C161" s="8">
        <v>39.4</v>
      </c>
      <c r="D161" s="8">
        <v>10</v>
      </c>
      <c r="E161" s="8">
        <v>0</v>
      </c>
    </row>
    <row r="162" spans="1:5" x14ac:dyDescent="0.2">
      <c r="A162" s="7">
        <v>10307</v>
      </c>
      <c r="B162" s="8">
        <v>68</v>
      </c>
      <c r="C162" s="8">
        <v>10</v>
      </c>
      <c r="D162" s="8">
        <v>3</v>
      </c>
      <c r="E162" s="8">
        <v>0</v>
      </c>
    </row>
    <row r="163" spans="1:5" x14ac:dyDescent="0.2">
      <c r="A163" s="7">
        <v>10308</v>
      </c>
      <c r="B163" s="8">
        <v>69</v>
      </c>
      <c r="C163" s="8">
        <v>28.8</v>
      </c>
      <c r="D163" s="8">
        <v>1</v>
      </c>
      <c r="E163" s="8">
        <v>0</v>
      </c>
    </row>
    <row r="164" spans="1:5" x14ac:dyDescent="0.2">
      <c r="A164" s="7">
        <v>10308</v>
      </c>
      <c r="B164" s="8">
        <v>70</v>
      </c>
      <c r="C164" s="8">
        <v>12</v>
      </c>
      <c r="D164" s="8">
        <v>5</v>
      </c>
      <c r="E164" s="8">
        <v>0</v>
      </c>
    </row>
    <row r="165" spans="1:5" x14ac:dyDescent="0.2">
      <c r="A165" s="7">
        <v>10309</v>
      </c>
      <c r="B165" s="8">
        <v>4</v>
      </c>
      <c r="C165" s="8">
        <v>17.600000000000001</v>
      </c>
      <c r="D165" s="8">
        <v>20</v>
      </c>
      <c r="E165" s="8">
        <v>0</v>
      </c>
    </row>
    <row r="166" spans="1:5" x14ac:dyDescent="0.2">
      <c r="A166" s="7">
        <v>10309</v>
      </c>
      <c r="B166" s="8">
        <v>6</v>
      </c>
      <c r="C166" s="8">
        <v>20</v>
      </c>
      <c r="D166" s="8">
        <v>30</v>
      </c>
      <c r="E166" s="8">
        <v>0</v>
      </c>
    </row>
    <row r="167" spans="1:5" x14ac:dyDescent="0.2">
      <c r="A167" s="7">
        <v>10309</v>
      </c>
      <c r="B167" s="8">
        <v>42</v>
      </c>
      <c r="C167" s="8">
        <v>11.2</v>
      </c>
      <c r="D167" s="8">
        <v>2</v>
      </c>
      <c r="E167" s="8">
        <v>0</v>
      </c>
    </row>
    <row r="168" spans="1:5" x14ac:dyDescent="0.2">
      <c r="A168" s="7">
        <v>10309</v>
      </c>
      <c r="B168" s="8">
        <v>43</v>
      </c>
      <c r="C168" s="8">
        <v>36.799999999999997</v>
      </c>
      <c r="D168" s="8">
        <v>20</v>
      </c>
      <c r="E168" s="8">
        <v>0</v>
      </c>
    </row>
    <row r="169" spans="1:5" x14ac:dyDescent="0.2">
      <c r="A169" s="7">
        <v>10309</v>
      </c>
      <c r="B169" s="8">
        <v>71</v>
      </c>
      <c r="C169" s="8">
        <v>17.2</v>
      </c>
      <c r="D169" s="8">
        <v>3</v>
      </c>
      <c r="E169" s="8">
        <v>0</v>
      </c>
    </row>
    <row r="170" spans="1:5" x14ac:dyDescent="0.2">
      <c r="A170" s="7">
        <v>10310</v>
      </c>
      <c r="B170" s="8">
        <v>16</v>
      </c>
      <c r="C170" s="8">
        <v>13.9</v>
      </c>
      <c r="D170" s="8">
        <v>10</v>
      </c>
      <c r="E170" s="8">
        <v>0</v>
      </c>
    </row>
    <row r="171" spans="1:5" x14ac:dyDescent="0.2">
      <c r="A171" s="7">
        <v>10310</v>
      </c>
      <c r="B171" s="8">
        <v>62</v>
      </c>
      <c r="C171" s="8">
        <v>39.4</v>
      </c>
      <c r="D171" s="8">
        <v>5</v>
      </c>
      <c r="E171" s="8">
        <v>0</v>
      </c>
    </row>
    <row r="172" spans="1:5" x14ac:dyDescent="0.2">
      <c r="A172" s="7">
        <v>10311</v>
      </c>
      <c r="B172" s="8">
        <v>42</v>
      </c>
      <c r="C172" s="8">
        <v>11.2</v>
      </c>
      <c r="D172" s="8">
        <v>6</v>
      </c>
      <c r="E172" s="8">
        <v>0</v>
      </c>
    </row>
    <row r="173" spans="1:5" x14ac:dyDescent="0.2">
      <c r="A173" s="7">
        <v>10311</v>
      </c>
      <c r="B173" s="8">
        <v>69</v>
      </c>
      <c r="C173" s="8">
        <v>28.8</v>
      </c>
      <c r="D173" s="8">
        <v>7</v>
      </c>
      <c r="E173" s="8">
        <v>0</v>
      </c>
    </row>
    <row r="174" spans="1:5" x14ac:dyDescent="0.2">
      <c r="A174" s="7">
        <v>10312</v>
      </c>
      <c r="B174" s="8">
        <v>28</v>
      </c>
      <c r="C174" s="8">
        <v>36.4</v>
      </c>
      <c r="D174" s="8">
        <v>4</v>
      </c>
      <c r="E174" s="8">
        <v>0</v>
      </c>
    </row>
    <row r="175" spans="1:5" x14ac:dyDescent="0.2">
      <c r="A175" s="7">
        <v>10312</v>
      </c>
      <c r="B175" s="8">
        <v>43</v>
      </c>
      <c r="C175" s="8">
        <v>36.799999999999997</v>
      </c>
      <c r="D175" s="8">
        <v>24</v>
      </c>
      <c r="E175" s="8">
        <v>0</v>
      </c>
    </row>
    <row r="176" spans="1:5" x14ac:dyDescent="0.2">
      <c r="A176" s="7">
        <v>10312</v>
      </c>
      <c r="B176" s="8">
        <v>53</v>
      </c>
      <c r="C176" s="8">
        <v>26.2</v>
      </c>
      <c r="D176" s="8">
        <v>20</v>
      </c>
      <c r="E176" s="8">
        <v>0</v>
      </c>
    </row>
    <row r="177" spans="1:5" x14ac:dyDescent="0.2">
      <c r="A177" s="7">
        <v>10312</v>
      </c>
      <c r="B177" s="8">
        <v>75</v>
      </c>
      <c r="C177" s="8">
        <v>6.2</v>
      </c>
      <c r="D177" s="8">
        <v>10</v>
      </c>
      <c r="E177" s="8">
        <v>0</v>
      </c>
    </row>
    <row r="178" spans="1:5" x14ac:dyDescent="0.2">
      <c r="A178" s="7">
        <v>10313</v>
      </c>
      <c r="B178" s="8">
        <v>36</v>
      </c>
      <c r="C178" s="8">
        <v>15.2</v>
      </c>
      <c r="D178" s="8">
        <v>12</v>
      </c>
      <c r="E178" s="8">
        <v>0</v>
      </c>
    </row>
    <row r="179" spans="1:5" x14ac:dyDescent="0.2">
      <c r="A179" s="7">
        <v>10314</v>
      </c>
      <c r="B179" s="8">
        <v>32</v>
      </c>
      <c r="C179" s="8">
        <v>25.6</v>
      </c>
      <c r="D179" s="8">
        <v>40</v>
      </c>
      <c r="E179" s="8">
        <v>0.1</v>
      </c>
    </row>
    <row r="180" spans="1:5" x14ac:dyDescent="0.2">
      <c r="A180" s="7">
        <v>10314</v>
      </c>
      <c r="B180" s="8">
        <v>58</v>
      </c>
      <c r="C180" s="8">
        <v>10.6</v>
      </c>
      <c r="D180" s="8">
        <v>30</v>
      </c>
      <c r="E180" s="8">
        <v>0.1</v>
      </c>
    </row>
    <row r="181" spans="1:5" x14ac:dyDescent="0.2">
      <c r="A181" s="7">
        <v>10314</v>
      </c>
      <c r="B181" s="8">
        <v>62</v>
      </c>
      <c r="C181" s="8">
        <v>39.4</v>
      </c>
      <c r="D181" s="8">
        <v>25</v>
      </c>
      <c r="E181" s="8">
        <v>0.1</v>
      </c>
    </row>
    <row r="182" spans="1:5" x14ac:dyDescent="0.2">
      <c r="A182" s="7">
        <v>10315</v>
      </c>
      <c r="B182" s="8">
        <v>34</v>
      </c>
      <c r="C182" s="8">
        <v>11.2</v>
      </c>
      <c r="D182" s="8">
        <v>14</v>
      </c>
      <c r="E182" s="8">
        <v>0</v>
      </c>
    </row>
    <row r="183" spans="1:5" x14ac:dyDescent="0.2">
      <c r="A183" s="7">
        <v>10315</v>
      </c>
      <c r="B183" s="8">
        <v>70</v>
      </c>
      <c r="C183" s="8">
        <v>12</v>
      </c>
      <c r="D183" s="8">
        <v>30</v>
      </c>
      <c r="E183" s="8">
        <v>0</v>
      </c>
    </row>
    <row r="184" spans="1:5" x14ac:dyDescent="0.2">
      <c r="A184" s="7">
        <v>10316</v>
      </c>
      <c r="B184" s="8">
        <v>41</v>
      </c>
      <c r="C184" s="8">
        <v>7.7</v>
      </c>
      <c r="D184" s="8">
        <v>10</v>
      </c>
      <c r="E184" s="8">
        <v>0</v>
      </c>
    </row>
    <row r="185" spans="1:5" x14ac:dyDescent="0.2">
      <c r="A185" s="7">
        <v>10316</v>
      </c>
      <c r="B185" s="8">
        <v>62</v>
      </c>
      <c r="C185" s="8">
        <v>39.4</v>
      </c>
      <c r="D185" s="8">
        <v>70</v>
      </c>
      <c r="E185" s="8">
        <v>0</v>
      </c>
    </row>
    <row r="186" spans="1:5" x14ac:dyDescent="0.2">
      <c r="A186" s="7">
        <v>10317</v>
      </c>
      <c r="B186" s="8">
        <v>1</v>
      </c>
      <c r="C186" s="8">
        <v>14.4</v>
      </c>
      <c r="D186" s="8">
        <v>20</v>
      </c>
      <c r="E186" s="8">
        <v>0</v>
      </c>
    </row>
    <row r="187" spans="1:5" x14ac:dyDescent="0.2">
      <c r="A187" s="7">
        <v>10318</v>
      </c>
      <c r="B187" s="8">
        <v>41</v>
      </c>
      <c r="C187" s="8">
        <v>7.7</v>
      </c>
      <c r="D187" s="8">
        <v>20</v>
      </c>
      <c r="E187" s="8">
        <v>0</v>
      </c>
    </row>
    <row r="188" spans="1:5" x14ac:dyDescent="0.2">
      <c r="A188" s="7">
        <v>10318</v>
      </c>
      <c r="B188" s="8">
        <v>76</v>
      </c>
      <c r="C188" s="8">
        <v>14.4</v>
      </c>
      <c r="D188" s="8">
        <v>6</v>
      </c>
      <c r="E188" s="8">
        <v>0</v>
      </c>
    </row>
    <row r="189" spans="1:5" x14ac:dyDescent="0.2">
      <c r="A189" s="7">
        <v>10319</v>
      </c>
      <c r="B189" s="8">
        <v>17</v>
      </c>
      <c r="C189" s="8">
        <v>31.2</v>
      </c>
      <c r="D189" s="8">
        <v>8</v>
      </c>
      <c r="E189" s="8">
        <v>0</v>
      </c>
    </row>
    <row r="190" spans="1:5" x14ac:dyDescent="0.2">
      <c r="A190" s="7">
        <v>10319</v>
      </c>
      <c r="B190" s="8">
        <v>28</v>
      </c>
      <c r="C190" s="8">
        <v>36.4</v>
      </c>
      <c r="D190" s="8">
        <v>14</v>
      </c>
      <c r="E190" s="8">
        <v>0</v>
      </c>
    </row>
    <row r="191" spans="1:5" x14ac:dyDescent="0.2">
      <c r="A191" s="7">
        <v>10319</v>
      </c>
      <c r="B191" s="8">
        <v>76</v>
      </c>
      <c r="C191" s="8">
        <v>14.4</v>
      </c>
      <c r="D191" s="8">
        <v>30</v>
      </c>
      <c r="E191" s="8">
        <v>0</v>
      </c>
    </row>
    <row r="192" spans="1:5" x14ac:dyDescent="0.2">
      <c r="A192" s="7">
        <v>10320</v>
      </c>
      <c r="B192" s="8">
        <v>71</v>
      </c>
      <c r="C192" s="8">
        <v>17.2</v>
      </c>
      <c r="D192" s="8">
        <v>30</v>
      </c>
      <c r="E192" s="8">
        <v>0</v>
      </c>
    </row>
    <row r="193" spans="1:5" x14ac:dyDescent="0.2">
      <c r="A193" s="7">
        <v>10321</v>
      </c>
      <c r="B193" s="8">
        <v>35</v>
      </c>
      <c r="C193" s="8">
        <v>14.4</v>
      </c>
      <c r="D193" s="8">
        <v>10</v>
      </c>
      <c r="E193" s="8">
        <v>0</v>
      </c>
    </row>
    <row r="194" spans="1:5" x14ac:dyDescent="0.2">
      <c r="A194" s="7">
        <v>10322</v>
      </c>
      <c r="B194" s="8">
        <v>52</v>
      </c>
      <c r="C194" s="8">
        <v>5.6</v>
      </c>
      <c r="D194" s="8">
        <v>20</v>
      </c>
      <c r="E194" s="8">
        <v>0</v>
      </c>
    </row>
    <row r="195" spans="1:5" x14ac:dyDescent="0.2">
      <c r="A195" s="7">
        <v>10323</v>
      </c>
      <c r="B195" s="8">
        <v>15</v>
      </c>
      <c r="C195" s="8">
        <v>12.4</v>
      </c>
      <c r="D195" s="8">
        <v>5</v>
      </c>
      <c r="E195" s="8">
        <v>0</v>
      </c>
    </row>
    <row r="196" spans="1:5" x14ac:dyDescent="0.2">
      <c r="A196" s="7">
        <v>10323</v>
      </c>
      <c r="B196" s="8">
        <v>25</v>
      </c>
      <c r="C196" s="8">
        <v>11.2</v>
      </c>
      <c r="D196" s="8">
        <v>4</v>
      </c>
      <c r="E196" s="8">
        <v>0</v>
      </c>
    </row>
    <row r="197" spans="1:5" x14ac:dyDescent="0.2">
      <c r="A197" s="7">
        <v>10323</v>
      </c>
      <c r="B197" s="8">
        <v>39</v>
      </c>
      <c r="C197" s="8">
        <v>14.4</v>
      </c>
      <c r="D197" s="8">
        <v>4</v>
      </c>
      <c r="E197" s="8">
        <v>0</v>
      </c>
    </row>
    <row r="198" spans="1:5" x14ac:dyDescent="0.2">
      <c r="A198" s="7">
        <v>10324</v>
      </c>
      <c r="B198" s="8">
        <v>16</v>
      </c>
      <c r="C198" s="8">
        <v>13.9</v>
      </c>
      <c r="D198" s="8">
        <v>21</v>
      </c>
      <c r="E198" s="8">
        <v>0.15</v>
      </c>
    </row>
    <row r="199" spans="1:5" x14ac:dyDescent="0.2">
      <c r="A199" s="7">
        <v>10324</v>
      </c>
      <c r="B199" s="8">
        <v>35</v>
      </c>
      <c r="C199" s="8">
        <v>14.4</v>
      </c>
      <c r="D199" s="8">
        <v>70</v>
      </c>
      <c r="E199" s="8">
        <v>0.15</v>
      </c>
    </row>
    <row r="200" spans="1:5" x14ac:dyDescent="0.2">
      <c r="A200" s="7">
        <v>10324</v>
      </c>
      <c r="B200" s="8">
        <v>46</v>
      </c>
      <c r="C200" s="8">
        <v>9.6</v>
      </c>
      <c r="D200" s="8">
        <v>30</v>
      </c>
      <c r="E200" s="8">
        <v>0</v>
      </c>
    </row>
    <row r="201" spans="1:5" x14ac:dyDescent="0.2">
      <c r="A201" s="7">
        <v>10324</v>
      </c>
      <c r="B201" s="8">
        <v>59</v>
      </c>
      <c r="C201" s="8">
        <v>44</v>
      </c>
      <c r="D201" s="8">
        <v>40</v>
      </c>
      <c r="E201" s="8">
        <v>0.15</v>
      </c>
    </row>
    <row r="202" spans="1:5" x14ac:dyDescent="0.2">
      <c r="A202" s="7">
        <v>10324</v>
      </c>
      <c r="B202" s="8">
        <v>63</v>
      </c>
      <c r="C202" s="8">
        <v>35.1</v>
      </c>
      <c r="D202" s="8">
        <v>80</v>
      </c>
      <c r="E202" s="8">
        <v>0.15</v>
      </c>
    </row>
    <row r="203" spans="1:5" x14ac:dyDescent="0.2">
      <c r="A203" s="7">
        <v>10325</v>
      </c>
      <c r="B203" s="8">
        <v>6</v>
      </c>
      <c r="C203" s="8">
        <v>20</v>
      </c>
      <c r="D203" s="8">
        <v>6</v>
      </c>
      <c r="E203" s="8">
        <v>0</v>
      </c>
    </row>
    <row r="204" spans="1:5" x14ac:dyDescent="0.2">
      <c r="A204" s="7">
        <v>10325</v>
      </c>
      <c r="B204" s="8">
        <v>13</v>
      </c>
      <c r="C204" s="8">
        <v>4.8</v>
      </c>
      <c r="D204" s="8">
        <v>12</v>
      </c>
      <c r="E204" s="8">
        <v>0</v>
      </c>
    </row>
    <row r="205" spans="1:5" x14ac:dyDescent="0.2">
      <c r="A205" s="7">
        <v>10325</v>
      </c>
      <c r="B205" s="8">
        <v>14</v>
      </c>
      <c r="C205" s="8">
        <v>18.600000000000001</v>
      </c>
      <c r="D205" s="8">
        <v>9</v>
      </c>
      <c r="E205" s="8">
        <v>0</v>
      </c>
    </row>
    <row r="206" spans="1:5" x14ac:dyDescent="0.2">
      <c r="A206" s="7">
        <v>10325</v>
      </c>
      <c r="B206" s="8">
        <v>31</v>
      </c>
      <c r="C206" s="8">
        <v>10</v>
      </c>
      <c r="D206" s="8">
        <v>4</v>
      </c>
      <c r="E206" s="8">
        <v>0</v>
      </c>
    </row>
    <row r="207" spans="1:5" x14ac:dyDescent="0.2">
      <c r="A207" s="7">
        <v>10325</v>
      </c>
      <c r="B207" s="8">
        <v>72</v>
      </c>
      <c r="C207" s="8">
        <v>27.8</v>
      </c>
      <c r="D207" s="8">
        <v>40</v>
      </c>
      <c r="E207" s="8">
        <v>0</v>
      </c>
    </row>
    <row r="208" spans="1:5" x14ac:dyDescent="0.2">
      <c r="A208" s="7">
        <v>10326</v>
      </c>
      <c r="B208" s="8">
        <v>4</v>
      </c>
      <c r="C208" s="8">
        <v>17.600000000000001</v>
      </c>
      <c r="D208" s="8">
        <v>24</v>
      </c>
      <c r="E208" s="8">
        <v>0</v>
      </c>
    </row>
    <row r="209" spans="1:5" x14ac:dyDescent="0.2">
      <c r="A209" s="7">
        <v>10326</v>
      </c>
      <c r="B209" s="8">
        <v>57</v>
      </c>
      <c r="C209" s="8">
        <v>15.6</v>
      </c>
      <c r="D209" s="8">
        <v>16</v>
      </c>
      <c r="E209" s="8">
        <v>0</v>
      </c>
    </row>
    <row r="210" spans="1:5" x14ac:dyDescent="0.2">
      <c r="A210" s="7">
        <v>10326</v>
      </c>
      <c r="B210" s="8">
        <v>75</v>
      </c>
      <c r="C210" s="8">
        <v>6.2</v>
      </c>
      <c r="D210" s="8">
        <v>50</v>
      </c>
      <c r="E210" s="8">
        <v>0</v>
      </c>
    </row>
    <row r="211" spans="1:5" x14ac:dyDescent="0.2">
      <c r="A211" s="7">
        <v>10327</v>
      </c>
      <c r="B211" s="8">
        <v>2</v>
      </c>
      <c r="C211" s="8">
        <v>15.2</v>
      </c>
      <c r="D211" s="8">
        <v>25</v>
      </c>
      <c r="E211" s="8">
        <v>0.2</v>
      </c>
    </row>
    <row r="212" spans="1:5" x14ac:dyDescent="0.2">
      <c r="A212" s="7">
        <v>10327</v>
      </c>
      <c r="B212" s="8">
        <v>11</v>
      </c>
      <c r="C212" s="8">
        <v>16.8</v>
      </c>
      <c r="D212" s="8">
        <v>50</v>
      </c>
      <c r="E212" s="8">
        <v>0.2</v>
      </c>
    </row>
    <row r="213" spans="1:5" x14ac:dyDescent="0.2">
      <c r="A213" s="7">
        <v>10327</v>
      </c>
      <c r="B213" s="8">
        <v>30</v>
      </c>
      <c r="C213" s="8">
        <v>20.7</v>
      </c>
      <c r="D213" s="8">
        <v>35</v>
      </c>
      <c r="E213" s="8">
        <v>0.2</v>
      </c>
    </row>
    <row r="214" spans="1:5" x14ac:dyDescent="0.2">
      <c r="A214" s="7">
        <v>10327</v>
      </c>
      <c r="B214" s="8">
        <v>58</v>
      </c>
      <c r="C214" s="8">
        <v>10.6</v>
      </c>
      <c r="D214" s="8">
        <v>30</v>
      </c>
      <c r="E214" s="8">
        <v>0.2</v>
      </c>
    </row>
    <row r="215" spans="1:5" x14ac:dyDescent="0.2">
      <c r="A215" s="7">
        <v>10328</v>
      </c>
      <c r="B215" s="8">
        <v>59</v>
      </c>
      <c r="C215" s="8">
        <v>44</v>
      </c>
      <c r="D215" s="8">
        <v>9</v>
      </c>
      <c r="E215" s="8">
        <v>0</v>
      </c>
    </row>
    <row r="216" spans="1:5" x14ac:dyDescent="0.2">
      <c r="A216" s="7">
        <v>10328</v>
      </c>
      <c r="B216" s="8">
        <v>65</v>
      </c>
      <c r="C216" s="8">
        <v>16.8</v>
      </c>
      <c r="D216" s="8">
        <v>40</v>
      </c>
      <c r="E216" s="8">
        <v>0</v>
      </c>
    </row>
    <row r="217" spans="1:5" x14ac:dyDescent="0.2">
      <c r="A217" s="7">
        <v>10328</v>
      </c>
      <c r="B217" s="8">
        <v>68</v>
      </c>
      <c r="C217" s="8">
        <v>10</v>
      </c>
      <c r="D217" s="8">
        <v>10</v>
      </c>
      <c r="E217" s="8">
        <v>0</v>
      </c>
    </row>
    <row r="218" spans="1:5" x14ac:dyDescent="0.2">
      <c r="A218" s="7">
        <v>10329</v>
      </c>
      <c r="B218" s="8">
        <v>19</v>
      </c>
      <c r="C218" s="8">
        <v>7.3</v>
      </c>
      <c r="D218" s="8">
        <v>10</v>
      </c>
      <c r="E218" s="8">
        <v>0.05</v>
      </c>
    </row>
    <row r="219" spans="1:5" x14ac:dyDescent="0.2">
      <c r="A219" s="7">
        <v>10329</v>
      </c>
      <c r="B219" s="8">
        <v>30</v>
      </c>
      <c r="C219" s="8">
        <v>20.7</v>
      </c>
      <c r="D219" s="8">
        <v>8</v>
      </c>
      <c r="E219" s="8">
        <v>0.05</v>
      </c>
    </row>
    <row r="220" spans="1:5" x14ac:dyDescent="0.2">
      <c r="A220" s="7">
        <v>10329</v>
      </c>
      <c r="B220" s="8">
        <v>38</v>
      </c>
      <c r="C220" s="8">
        <v>210.8</v>
      </c>
      <c r="D220" s="8">
        <v>20</v>
      </c>
      <c r="E220" s="8">
        <v>0.05</v>
      </c>
    </row>
    <row r="221" spans="1:5" x14ac:dyDescent="0.2">
      <c r="A221" s="7">
        <v>10329</v>
      </c>
      <c r="B221" s="8">
        <v>56</v>
      </c>
      <c r="C221" s="8">
        <v>30.4</v>
      </c>
      <c r="D221" s="8">
        <v>12</v>
      </c>
      <c r="E221" s="8">
        <v>0.05</v>
      </c>
    </row>
    <row r="222" spans="1:5" x14ac:dyDescent="0.2">
      <c r="A222" s="7">
        <v>10330</v>
      </c>
      <c r="B222" s="8">
        <v>26</v>
      </c>
      <c r="C222" s="8">
        <v>24.9</v>
      </c>
      <c r="D222" s="8">
        <v>50</v>
      </c>
      <c r="E222" s="8">
        <v>0.15</v>
      </c>
    </row>
    <row r="223" spans="1:5" x14ac:dyDescent="0.2">
      <c r="A223" s="7">
        <v>10330</v>
      </c>
      <c r="B223" s="8">
        <v>72</v>
      </c>
      <c r="C223" s="8">
        <v>27.8</v>
      </c>
      <c r="D223" s="8">
        <v>25</v>
      </c>
      <c r="E223" s="8">
        <v>0.15</v>
      </c>
    </row>
    <row r="224" spans="1:5" x14ac:dyDescent="0.2">
      <c r="A224" s="7">
        <v>10331</v>
      </c>
      <c r="B224" s="8">
        <v>54</v>
      </c>
      <c r="C224" s="8">
        <v>5.9</v>
      </c>
      <c r="D224" s="8">
        <v>15</v>
      </c>
      <c r="E224" s="8">
        <v>0</v>
      </c>
    </row>
    <row r="225" spans="1:5" x14ac:dyDescent="0.2">
      <c r="A225" s="7">
        <v>10332</v>
      </c>
      <c r="B225" s="8">
        <v>18</v>
      </c>
      <c r="C225" s="8">
        <v>50</v>
      </c>
      <c r="D225" s="8">
        <v>40</v>
      </c>
      <c r="E225" s="8">
        <v>0.2</v>
      </c>
    </row>
    <row r="226" spans="1:5" x14ac:dyDescent="0.2">
      <c r="A226" s="7">
        <v>10332</v>
      </c>
      <c r="B226" s="8">
        <v>42</v>
      </c>
      <c r="C226" s="8">
        <v>11.2</v>
      </c>
      <c r="D226" s="8">
        <v>10</v>
      </c>
      <c r="E226" s="8">
        <v>0.2</v>
      </c>
    </row>
    <row r="227" spans="1:5" x14ac:dyDescent="0.2">
      <c r="A227" s="7">
        <v>10332</v>
      </c>
      <c r="B227" s="8">
        <v>47</v>
      </c>
      <c r="C227" s="8">
        <v>7.6</v>
      </c>
      <c r="D227" s="8">
        <v>16</v>
      </c>
      <c r="E227" s="8">
        <v>0.2</v>
      </c>
    </row>
    <row r="228" spans="1:5" x14ac:dyDescent="0.2">
      <c r="A228" s="7">
        <v>10333</v>
      </c>
      <c r="B228" s="8">
        <v>14</v>
      </c>
      <c r="C228" s="8">
        <v>18.600000000000001</v>
      </c>
      <c r="D228" s="8">
        <v>10</v>
      </c>
      <c r="E228" s="8">
        <v>0</v>
      </c>
    </row>
    <row r="229" spans="1:5" x14ac:dyDescent="0.2">
      <c r="A229" s="7">
        <v>10333</v>
      </c>
      <c r="B229" s="8">
        <v>21</v>
      </c>
      <c r="C229" s="8">
        <v>8</v>
      </c>
      <c r="D229" s="8">
        <v>10</v>
      </c>
      <c r="E229" s="8">
        <v>0.1</v>
      </c>
    </row>
    <row r="230" spans="1:5" x14ac:dyDescent="0.2">
      <c r="A230" s="7">
        <v>10333</v>
      </c>
      <c r="B230" s="8">
        <v>71</v>
      </c>
      <c r="C230" s="8">
        <v>17.2</v>
      </c>
      <c r="D230" s="8">
        <v>40</v>
      </c>
      <c r="E230" s="8">
        <v>0.1</v>
      </c>
    </row>
    <row r="231" spans="1:5" x14ac:dyDescent="0.2">
      <c r="A231" s="7">
        <v>10334</v>
      </c>
      <c r="B231" s="8">
        <v>52</v>
      </c>
      <c r="C231" s="8">
        <v>5.6</v>
      </c>
      <c r="D231" s="8">
        <v>8</v>
      </c>
      <c r="E231" s="8">
        <v>0</v>
      </c>
    </row>
    <row r="232" spans="1:5" x14ac:dyDescent="0.2">
      <c r="A232" s="7">
        <v>10334</v>
      </c>
      <c r="B232" s="8">
        <v>68</v>
      </c>
      <c r="C232" s="8">
        <v>10</v>
      </c>
      <c r="D232" s="8">
        <v>10</v>
      </c>
      <c r="E232" s="8">
        <v>0</v>
      </c>
    </row>
    <row r="233" spans="1:5" x14ac:dyDescent="0.2">
      <c r="A233" s="7">
        <v>10335</v>
      </c>
      <c r="B233" s="8">
        <v>2</v>
      </c>
      <c r="C233" s="8">
        <v>15.2</v>
      </c>
      <c r="D233" s="8">
        <v>7</v>
      </c>
      <c r="E233" s="8">
        <v>0.2</v>
      </c>
    </row>
    <row r="234" spans="1:5" x14ac:dyDescent="0.2">
      <c r="A234" s="7">
        <v>10335</v>
      </c>
      <c r="B234" s="8">
        <v>31</v>
      </c>
      <c r="C234" s="8">
        <v>10</v>
      </c>
      <c r="D234" s="8">
        <v>25</v>
      </c>
      <c r="E234" s="8">
        <v>0.2</v>
      </c>
    </row>
    <row r="235" spans="1:5" x14ac:dyDescent="0.2">
      <c r="A235" s="7">
        <v>10335</v>
      </c>
      <c r="B235" s="8">
        <v>32</v>
      </c>
      <c r="C235" s="8">
        <v>25.6</v>
      </c>
      <c r="D235" s="8">
        <v>6</v>
      </c>
      <c r="E235" s="8">
        <v>0.2</v>
      </c>
    </row>
    <row r="236" spans="1:5" x14ac:dyDescent="0.2">
      <c r="A236" s="7">
        <v>10335</v>
      </c>
      <c r="B236" s="8">
        <v>51</v>
      </c>
      <c r="C236" s="8">
        <v>42.4</v>
      </c>
      <c r="D236" s="8">
        <v>48</v>
      </c>
      <c r="E236" s="8">
        <v>0.2</v>
      </c>
    </row>
    <row r="237" spans="1:5" x14ac:dyDescent="0.2">
      <c r="A237" s="7">
        <v>10336</v>
      </c>
      <c r="B237" s="8">
        <v>4</v>
      </c>
      <c r="C237" s="8">
        <v>17.600000000000001</v>
      </c>
      <c r="D237" s="8">
        <v>18</v>
      </c>
      <c r="E237" s="8">
        <v>0.1</v>
      </c>
    </row>
    <row r="238" spans="1:5" x14ac:dyDescent="0.2">
      <c r="A238" s="7">
        <v>10337</v>
      </c>
      <c r="B238" s="8">
        <v>23</v>
      </c>
      <c r="C238" s="8">
        <v>7.2</v>
      </c>
      <c r="D238" s="8">
        <v>40</v>
      </c>
      <c r="E238" s="8">
        <v>0</v>
      </c>
    </row>
    <row r="239" spans="1:5" x14ac:dyDescent="0.2">
      <c r="A239" s="7">
        <v>10337</v>
      </c>
      <c r="B239" s="8">
        <v>26</v>
      </c>
      <c r="C239" s="8">
        <v>24.9</v>
      </c>
      <c r="D239" s="8">
        <v>24</v>
      </c>
      <c r="E239" s="8">
        <v>0</v>
      </c>
    </row>
    <row r="240" spans="1:5" x14ac:dyDescent="0.2">
      <c r="A240" s="7">
        <v>10337</v>
      </c>
      <c r="B240" s="8">
        <v>36</v>
      </c>
      <c r="C240" s="8">
        <v>15.2</v>
      </c>
      <c r="D240" s="8">
        <v>20</v>
      </c>
      <c r="E240" s="8">
        <v>0</v>
      </c>
    </row>
    <row r="241" spans="1:5" x14ac:dyDescent="0.2">
      <c r="A241" s="7">
        <v>10337</v>
      </c>
      <c r="B241" s="8">
        <v>37</v>
      </c>
      <c r="C241" s="8">
        <v>20.8</v>
      </c>
      <c r="D241" s="8">
        <v>28</v>
      </c>
      <c r="E241" s="8">
        <v>0</v>
      </c>
    </row>
    <row r="242" spans="1:5" x14ac:dyDescent="0.2">
      <c r="A242" s="7">
        <v>10337</v>
      </c>
      <c r="B242" s="8">
        <v>72</v>
      </c>
      <c r="C242" s="8">
        <v>27.8</v>
      </c>
      <c r="D242" s="8">
        <v>25</v>
      </c>
      <c r="E242" s="8">
        <v>0</v>
      </c>
    </row>
    <row r="243" spans="1:5" x14ac:dyDescent="0.2">
      <c r="A243" s="7">
        <v>10338</v>
      </c>
      <c r="B243" s="8">
        <v>17</v>
      </c>
      <c r="C243" s="8">
        <v>31.2</v>
      </c>
      <c r="D243" s="8">
        <v>20</v>
      </c>
      <c r="E243" s="8">
        <v>0</v>
      </c>
    </row>
    <row r="244" spans="1:5" x14ac:dyDescent="0.2">
      <c r="A244" s="7">
        <v>10338</v>
      </c>
      <c r="B244" s="8">
        <v>30</v>
      </c>
      <c r="C244" s="8">
        <v>20.7</v>
      </c>
      <c r="D244" s="8">
        <v>15</v>
      </c>
      <c r="E244" s="8">
        <v>0</v>
      </c>
    </row>
    <row r="245" spans="1:5" x14ac:dyDescent="0.2">
      <c r="A245" s="7">
        <v>10339</v>
      </c>
      <c r="B245" s="8">
        <v>4</v>
      </c>
      <c r="C245" s="8">
        <v>17.600000000000001</v>
      </c>
      <c r="D245" s="8">
        <v>10</v>
      </c>
      <c r="E245" s="8">
        <v>0</v>
      </c>
    </row>
    <row r="246" spans="1:5" x14ac:dyDescent="0.2">
      <c r="A246" s="7">
        <v>10339</v>
      </c>
      <c r="B246" s="8">
        <v>17</v>
      </c>
      <c r="C246" s="8">
        <v>31.2</v>
      </c>
      <c r="D246" s="8">
        <v>70</v>
      </c>
      <c r="E246" s="8">
        <v>0.05</v>
      </c>
    </row>
    <row r="247" spans="1:5" x14ac:dyDescent="0.2">
      <c r="A247" s="7">
        <v>10339</v>
      </c>
      <c r="B247" s="8">
        <v>62</v>
      </c>
      <c r="C247" s="8">
        <v>39.4</v>
      </c>
      <c r="D247" s="8">
        <v>28</v>
      </c>
      <c r="E247" s="8">
        <v>0</v>
      </c>
    </row>
    <row r="248" spans="1:5" x14ac:dyDescent="0.2">
      <c r="A248" s="7">
        <v>10340</v>
      </c>
      <c r="B248" s="8">
        <v>18</v>
      </c>
      <c r="C248" s="8">
        <v>50</v>
      </c>
      <c r="D248" s="8">
        <v>20</v>
      </c>
      <c r="E248" s="8">
        <v>0.05</v>
      </c>
    </row>
    <row r="249" spans="1:5" x14ac:dyDescent="0.2">
      <c r="A249" s="7">
        <v>10340</v>
      </c>
      <c r="B249" s="8">
        <v>41</v>
      </c>
      <c r="C249" s="8">
        <v>7.7</v>
      </c>
      <c r="D249" s="8">
        <v>12</v>
      </c>
      <c r="E249" s="8">
        <v>0.05</v>
      </c>
    </row>
    <row r="250" spans="1:5" x14ac:dyDescent="0.2">
      <c r="A250" s="7">
        <v>10340</v>
      </c>
      <c r="B250" s="8">
        <v>43</v>
      </c>
      <c r="C250" s="8">
        <v>36.799999999999997</v>
      </c>
      <c r="D250" s="8">
        <v>40</v>
      </c>
      <c r="E250" s="8">
        <v>0.05</v>
      </c>
    </row>
    <row r="251" spans="1:5" x14ac:dyDescent="0.2">
      <c r="A251" s="7">
        <v>10341</v>
      </c>
      <c r="B251" s="8">
        <v>33</v>
      </c>
      <c r="C251" s="8">
        <v>2</v>
      </c>
      <c r="D251" s="8">
        <v>8</v>
      </c>
      <c r="E251" s="8">
        <v>0</v>
      </c>
    </row>
    <row r="252" spans="1:5" x14ac:dyDescent="0.2">
      <c r="A252" s="7">
        <v>10341</v>
      </c>
      <c r="B252" s="8">
        <v>59</v>
      </c>
      <c r="C252" s="8">
        <v>44</v>
      </c>
      <c r="D252" s="8">
        <v>9</v>
      </c>
      <c r="E252" s="8">
        <v>0.15</v>
      </c>
    </row>
    <row r="253" spans="1:5" x14ac:dyDescent="0.2">
      <c r="A253" s="7">
        <v>10342</v>
      </c>
      <c r="B253" s="8">
        <v>2</v>
      </c>
      <c r="C253" s="8">
        <v>15.2</v>
      </c>
      <c r="D253" s="8">
        <v>24</v>
      </c>
      <c r="E253" s="8">
        <v>0.2</v>
      </c>
    </row>
    <row r="254" spans="1:5" x14ac:dyDescent="0.2">
      <c r="A254" s="7">
        <v>10342</v>
      </c>
      <c r="B254" s="8">
        <v>31</v>
      </c>
      <c r="C254" s="8">
        <v>10</v>
      </c>
      <c r="D254" s="8">
        <v>56</v>
      </c>
      <c r="E254" s="8">
        <v>0.2</v>
      </c>
    </row>
    <row r="255" spans="1:5" x14ac:dyDescent="0.2">
      <c r="A255" s="7">
        <v>10342</v>
      </c>
      <c r="B255" s="8">
        <v>36</v>
      </c>
      <c r="C255" s="8">
        <v>15.2</v>
      </c>
      <c r="D255" s="8">
        <v>40</v>
      </c>
      <c r="E255" s="8">
        <v>0.2</v>
      </c>
    </row>
    <row r="256" spans="1:5" x14ac:dyDescent="0.2">
      <c r="A256" s="7">
        <v>10342</v>
      </c>
      <c r="B256" s="8">
        <v>55</v>
      </c>
      <c r="C256" s="8">
        <v>19.2</v>
      </c>
      <c r="D256" s="8">
        <v>40</v>
      </c>
      <c r="E256" s="8">
        <v>0.2</v>
      </c>
    </row>
    <row r="257" spans="1:5" x14ac:dyDescent="0.2">
      <c r="A257" s="7">
        <v>10343</v>
      </c>
      <c r="B257" s="8">
        <v>64</v>
      </c>
      <c r="C257" s="8">
        <v>26.6</v>
      </c>
      <c r="D257" s="8">
        <v>50</v>
      </c>
      <c r="E257" s="8">
        <v>0</v>
      </c>
    </row>
    <row r="258" spans="1:5" x14ac:dyDescent="0.2">
      <c r="A258" s="7">
        <v>10343</v>
      </c>
      <c r="B258" s="8">
        <v>68</v>
      </c>
      <c r="C258" s="8">
        <v>10</v>
      </c>
      <c r="D258" s="8">
        <v>4</v>
      </c>
      <c r="E258" s="8">
        <v>0.05</v>
      </c>
    </row>
    <row r="259" spans="1:5" x14ac:dyDescent="0.2">
      <c r="A259" s="7">
        <v>10343</v>
      </c>
      <c r="B259" s="8">
        <v>76</v>
      </c>
      <c r="C259" s="8">
        <v>14.4</v>
      </c>
      <c r="D259" s="8">
        <v>15</v>
      </c>
      <c r="E259" s="8">
        <v>0</v>
      </c>
    </row>
    <row r="260" spans="1:5" x14ac:dyDescent="0.2">
      <c r="A260" s="7">
        <v>10344</v>
      </c>
      <c r="B260" s="8">
        <v>4</v>
      </c>
      <c r="C260" s="8">
        <v>17.600000000000001</v>
      </c>
      <c r="D260" s="8">
        <v>35</v>
      </c>
      <c r="E260" s="8">
        <v>0</v>
      </c>
    </row>
    <row r="261" spans="1:5" x14ac:dyDescent="0.2">
      <c r="A261" s="7">
        <v>10344</v>
      </c>
      <c r="B261" s="8">
        <v>8</v>
      </c>
      <c r="C261" s="8">
        <v>32</v>
      </c>
      <c r="D261" s="8">
        <v>70</v>
      </c>
      <c r="E261" s="8">
        <v>0.25</v>
      </c>
    </row>
    <row r="262" spans="1:5" x14ac:dyDescent="0.2">
      <c r="A262" s="7">
        <v>10345</v>
      </c>
      <c r="B262" s="8">
        <v>8</v>
      </c>
      <c r="C262" s="8">
        <v>32</v>
      </c>
      <c r="D262" s="8">
        <v>70</v>
      </c>
      <c r="E262" s="8">
        <v>0</v>
      </c>
    </row>
    <row r="263" spans="1:5" x14ac:dyDescent="0.2">
      <c r="A263" s="7">
        <v>10345</v>
      </c>
      <c r="B263" s="8">
        <v>19</v>
      </c>
      <c r="C263" s="8">
        <v>7.3</v>
      </c>
      <c r="D263" s="8">
        <v>80</v>
      </c>
      <c r="E263" s="8">
        <v>0</v>
      </c>
    </row>
    <row r="264" spans="1:5" x14ac:dyDescent="0.2">
      <c r="A264" s="7">
        <v>10345</v>
      </c>
      <c r="B264" s="8">
        <v>42</v>
      </c>
      <c r="C264" s="8">
        <v>11.2</v>
      </c>
      <c r="D264" s="8">
        <v>9</v>
      </c>
      <c r="E264" s="8">
        <v>0</v>
      </c>
    </row>
    <row r="265" spans="1:5" x14ac:dyDescent="0.2">
      <c r="A265" s="7">
        <v>10346</v>
      </c>
      <c r="B265" s="8">
        <v>17</v>
      </c>
      <c r="C265" s="8">
        <v>31.2</v>
      </c>
      <c r="D265" s="8">
        <v>36</v>
      </c>
      <c r="E265" s="8">
        <v>0.1</v>
      </c>
    </row>
    <row r="266" spans="1:5" x14ac:dyDescent="0.2">
      <c r="A266" s="7">
        <v>10346</v>
      </c>
      <c r="B266" s="8">
        <v>56</v>
      </c>
      <c r="C266" s="8">
        <v>30.4</v>
      </c>
      <c r="D266" s="8">
        <v>20</v>
      </c>
      <c r="E266" s="8">
        <v>0</v>
      </c>
    </row>
    <row r="267" spans="1:5" x14ac:dyDescent="0.2">
      <c r="A267" s="7">
        <v>10347</v>
      </c>
      <c r="B267" s="8">
        <v>25</v>
      </c>
      <c r="C267" s="8">
        <v>11.2</v>
      </c>
      <c r="D267" s="8">
        <v>10</v>
      </c>
      <c r="E267" s="8">
        <v>0</v>
      </c>
    </row>
    <row r="268" spans="1:5" x14ac:dyDescent="0.2">
      <c r="A268" s="7">
        <v>10347</v>
      </c>
      <c r="B268" s="8">
        <v>39</v>
      </c>
      <c r="C268" s="8">
        <v>14.4</v>
      </c>
      <c r="D268" s="8">
        <v>50</v>
      </c>
      <c r="E268" s="8">
        <v>0.15</v>
      </c>
    </row>
    <row r="269" spans="1:5" x14ac:dyDescent="0.2">
      <c r="A269" s="7">
        <v>10347</v>
      </c>
      <c r="B269" s="8">
        <v>40</v>
      </c>
      <c r="C269" s="8">
        <v>14.7</v>
      </c>
      <c r="D269" s="8">
        <v>4</v>
      </c>
      <c r="E269" s="8">
        <v>0</v>
      </c>
    </row>
    <row r="270" spans="1:5" x14ac:dyDescent="0.2">
      <c r="A270" s="7">
        <v>10347</v>
      </c>
      <c r="B270" s="8">
        <v>75</v>
      </c>
      <c r="C270" s="8">
        <v>6.2</v>
      </c>
      <c r="D270" s="8">
        <v>6</v>
      </c>
      <c r="E270" s="8">
        <v>0.15</v>
      </c>
    </row>
    <row r="271" spans="1:5" x14ac:dyDescent="0.2">
      <c r="A271" s="7">
        <v>10348</v>
      </c>
      <c r="B271" s="8">
        <v>1</v>
      </c>
      <c r="C271" s="8">
        <v>14.4</v>
      </c>
      <c r="D271" s="8">
        <v>15</v>
      </c>
      <c r="E271" s="8">
        <v>0.15</v>
      </c>
    </row>
    <row r="272" spans="1:5" x14ac:dyDescent="0.2">
      <c r="A272" s="7">
        <v>10348</v>
      </c>
      <c r="B272" s="8">
        <v>23</v>
      </c>
      <c r="C272" s="8">
        <v>7.2</v>
      </c>
      <c r="D272" s="8">
        <v>25</v>
      </c>
      <c r="E272" s="8">
        <v>0</v>
      </c>
    </row>
    <row r="273" spans="1:5" x14ac:dyDescent="0.2">
      <c r="A273" s="7">
        <v>10349</v>
      </c>
      <c r="B273" s="8">
        <v>54</v>
      </c>
      <c r="C273" s="8">
        <v>5.9</v>
      </c>
      <c r="D273" s="8">
        <v>24</v>
      </c>
      <c r="E273" s="8">
        <v>0</v>
      </c>
    </row>
    <row r="274" spans="1:5" x14ac:dyDescent="0.2">
      <c r="A274" s="7">
        <v>10350</v>
      </c>
      <c r="B274" s="8">
        <v>50</v>
      </c>
      <c r="C274" s="8">
        <v>13</v>
      </c>
      <c r="D274" s="8">
        <v>15</v>
      </c>
      <c r="E274" s="8">
        <v>0.1</v>
      </c>
    </row>
    <row r="275" spans="1:5" x14ac:dyDescent="0.2">
      <c r="A275" s="7">
        <v>10350</v>
      </c>
      <c r="B275" s="8">
        <v>69</v>
      </c>
      <c r="C275" s="8">
        <v>28.8</v>
      </c>
      <c r="D275" s="8">
        <v>18</v>
      </c>
      <c r="E275" s="8">
        <v>0.1</v>
      </c>
    </row>
    <row r="276" spans="1:5" x14ac:dyDescent="0.2">
      <c r="A276" s="7">
        <v>10351</v>
      </c>
      <c r="B276" s="8">
        <v>38</v>
      </c>
      <c r="C276" s="8">
        <v>210.8</v>
      </c>
      <c r="D276" s="8">
        <v>20</v>
      </c>
      <c r="E276" s="8">
        <v>0.05</v>
      </c>
    </row>
    <row r="277" spans="1:5" x14ac:dyDescent="0.2">
      <c r="A277" s="7">
        <v>10351</v>
      </c>
      <c r="B277" s="8">
        <v>41</v>
      </c>
      <c r="C277" s="8">
        <v>7.7</v>
      </c>
      <c r="D277" s="8">
        <v>13</v>
      </c>
      <c r="E277" s="8">
        <v>0</v>
      </c>
    </row>
    <row r="278" spans="1:5" x14ac:dyDescent="0.2">
      <c r="A278" s="7">
        <v>10351</v>
      </c>
      <c r="B278" s="8">
        <v>44</v>
      </c>
      <c r="C278" s="8">
        <v>15.5</v>
      </c>
      <c r="D278" s="8">
        <v>77</v>
      </c>
      <c r="E278" s="8">
        <v>0.05</v>
      </c>
    </row>
    <row r="279" spans="1:5" x14ac:dyDescent="0.2">
      <c r="A279" s="7">
        <v>10351</v>
      </c>
      <c r="B279" s="8">
        <v>65</v>
      </c>
      <c r="C279" s="8">
        <v>16.8</v>
      </c>
      <c r="D279" s="8">
        <v>10</v>
      </c>
      <c r="E279" s="8">
        <v>0.05</v>
      </c>
    </row>
    <row r="280" spans="1:5" x14ac:dyDescent="0.2">
      <c r="A280" s="7">
        <v>10352</v>
      </c>
      <c r="B280" s="8">
        <v>24</v>
      </c>
      <c r="C280" s="8">
        <v>3.6</v>
      </c>
      <c r="D280" s="8">
        <v>10</v>
      </c>
      <c r="E280" s="8">
        <v>0</v>
      </c>
    </row>
    <row r="281" spans="1:5" x14ac:dyDescent="0.2">
      <c r="A281" s="7">
        <v>10352</v>
      </c>
      <c r="B281" s="8">
        <v>54</v>
      </c>
      <c r="C281" s="8">
        <v>5.9</v>
      </c>
      <c r="D281" s="8">
        <v>20</v>
      </c>
      <c r="E281" s="8">
        <v>0.15</v>
      </c>
    </row>
    <row r="282" spans="1:5" x14ac:dyDescent="0.2">
      <c r="A282" s="7">
        <v>10353</v>
      </c>
      <c r="B282" s="8">
        <v>11</v>
      </c>
      <c r="C282" s="8">
        <v>16.8</v>
      </c>
      <c r="D282" s="8">
        <v>12</v>
      </c>
      <c r="E282" s="8">
        <v>0.2</v>
      </c>
    </row>
    <row r="283" spans="1:5" x14ac:dyDescent="0.2">
      <c r="A283" s="7">
        <v>10353</v>
      </c>
      <c r="B283" s="8">
        <v>38</v>
      </c>
      <c r="C283" s="8">
        <v>210.8</v>
      </c>
      <c r="D283" s="8">
        <v>50</v>
      </c>
      <c r="E283" s="8">
        <v>0.2</v>
      </c>
    </row>
    <row r="284" spans="1:5" x14ac:dyDescent="0.2">
      <c r="A284" s="7">
        <v>10354</v>
      </c>
      <c r="B284" s="8">
        <v>1</v>
      </c>
      <c r="C284" s="8">
        <v>14.4</v>
      </c>
      <c r="D284" s="8">
        <v>12</v>
      </c>
      <c r="E284" s="8">
        <v>0</v>
      </c>
    </row>
    <row r="285" spans="1:5" x14ac:dyDescent="0.2">
      <c r="A285" s="7">
        <v>10354</v>
      </c>
      <c r="B285" s="8">
        <v>29</v>
      </c>
      <c r="C285" s="8">
        <v>99</v>
      </c>
      <c r="D285" s="8">
        <v>4</v>
      </c>
      <c r="E285" s="8">
        <v>0</v>
      </c>
    </row>
    <row r="286" spans="1:5" x14ac:dyDescent="0.2">
      <c r="A286" s="7">
        <v>10355</v>
      </c>
      <c r="B286" s="8">
        <v>24</v>
      </c>
      <c r="C286" s="8">
        <v>3.6</v>
      </c>
      <c r="D286" s="8">
        <v>25</v>
      </c>
      <c r="E286" s="8">
        <v>0</v>
      </c>
    </row>
    <row r="287" spans="1:5" x14ac:dyDescent="0.2">
      <c r="A287" s="7">
        <v>10355</v>
      </c>
      <c r="B287" s="8">
        <v>57</v>
      </c>
      <c r="C287" s="8">
        <v>15.6</v>
      </c>
      <c r="D287" s="8">
        <v>25</v>
      </c>
      <c r="E287" s="8">
        <v>0</v>
      </c>
    </row>
    <row r="288" spans="1:5" x14ac:dyDescent="0.2">
      <c r="A288" s="7">
        <v>10356</v>
      </c>
      <c r="B288" s="8">
        <v>31</v>
      </c>
      <c r="C288" s="8">
        <v>10</v>
      </c>
      <c r="D288" s="8">
        <v>30</v>
      </c>
      <c r="E288" s="8">
        <v>0</v>
      </c>
    </row>
    <row r="289" spans="1:5" x14ac:dyDescent="0.2">
      <c r="A289" s="7">
        <v>10356</v>
      </c>
      <c r="B289" s="8">
        <v>55</v>
      </c>
      <c r="C289" s="8">
        <v>19.2</v>
      </c>
      <c r="D289" s="8">
        <v>12</v>
      </c>
      <c r="E289" s="8">
        <v>0</v>
      </c>
    </row>
    <row r="290" spans="1:5" x14ac:dyDescent="0.2">
      <c r="A290" s="7">
        <v>10356</v>
      </c>
      <c r="B290" s="8">
        <v>69</v>
      </c>
      <c r="C290" s="8">
        <v>28.8</v>
      </c>
      <c r="D290" s="8">
        <v>20</v>
      </c>
      <c r="E290" s="8">
        <v>0</v>
      </c>
    </row>
    <row r="291" spans="1:5" x14ac:dyDescent="0.2">
      <c r="A291" s="7">
        <v>10357</v>
      </c>
      <c r="B291" s="8">
        <v>10</v>
      </c>
      <c r="C291" s="8">
        <v>24.8</v>
      </c>
      <c r="D291" s="8">
        <v>30</v>
      </c>
      <c r="E291" s="8">
        <v>0.2</v>
      </c>
    </row>
    <row r="292" spans="1:5" x14ac:dyDescent="0.2">
      <c r="A292" s="7">
        <v>10357</v>
      </c>
      <c r="B292" s="8">
        <v>26</v>
      </c>
      <c r="C292" s="8">
        <v>24.9</v>
      </c>
      <c r="D292" s="8">
        <v>16</v>
      </c>
      <c r="E292" s="8">
        <v>0</v>
      </c>
    </row>
    <row r="293" spans="1:5" x14ac:dyDescent="0.2">
      <c r="A293" s="7">
        <v>10357</v>
      </c>
      <c r="B293" s="8">
        <v>60</v>
      </c>
      <c r="C293" s="8">
        <v>27.2</v>
      </c>
      <c r="D293" s="8">
        <v>8</v>
      </c>
      <c r="E293" s="8">
        <v>0.2</v>
      </c>
    </row>
    <row r="294" spans="1:5" x14ac:dyDescent="0.2">
      <c r="A294" s="7">
        <v>10358</v>
      </c>
      <c r="B294" s="8">
        <v>24</v>
      </c>
      <c r="C294" s="8">
        <v>3.6</v>
      </c>
      <c r="D294" s="8">
        <v>10</v>
      </c>
      <c r="E294" s="8">
        <v>0.05</v>
      </c>
    </row>
    <row r="295" spans="1:5" x14ac:dyDescent="0.2">
      <c r="A295" s="7">
        <v>10358</v>
      </c>
      <c r="B295" s="8">
        <v>34</v>
      </c>
      <c r="C295" s="8">
        <v>11.2</v>
      </c>
      <c r="D295" s="8">
        <v>10</v>
      </c>
      <c r="E295" s="8">
        <v>0.05</v>
      </c>
    </row>
    <row r="296" spans="1:5" x14ac:dyDescent="0.2">
      <c r="A296" s="7">
        <v>10358</v>
      </c>
      <c r="B296" s="8">
        <v>36</v>
      </c>
      <c r="C296" s="8">
        <v>15.2</v>
      </c>
      <c r="D296" s="8">
        <v>20</v>
      </c>
      <c r="E296" s="8">
        <v>0.05</v>
      </c>
    </row>
    <row r="297" spans="1:5" x14ac:dyDescent="0.2">
      <c r="A297" s="7">
        <v>10359</v>
      </c>
      <c r="B297" s="8">
        <v>16</v>
      </c>
      <c r="C297" s="8">
        <v>13.9</v>
      </c>
      <c r="D297" s="8">
        <v>56</v>
      </c>
      <c r="E297" s="8">
        <v>0.05</v>
      </c>
    </row>
    <row r="298" spans="1:5" x14ac:dyDescent="0.2">
      <c r="A298" s="7">
        <v>10359</v>
      </c>
      <c r="B298" s="8">
        <v>31</v>
      </c>
      <c r="C298" s="8">
        <v>10</v>
      </c>
      <c r="D298" s="8">
        <v>70</v>
      </c>
      <c r="E298" s="8">
        <v>0.05</v>
      </c>
    </row>
    <row r="299" spans="1:5" x14ac:dyDescent="0.2">
      <c r="A299" s="7">
        <v>10359</v>
      </c>
      <c r="B299" s="8">
        <v>60</v>
      </c>
      <c r="C299" s="8">
        <v>27.2</v>
      </c>
      <c r="D299" s="8">
        <v>80</v>
      </c>
      <c r="E299" s="8">
        <v>0.05</v>
      </c>
    </row>
    <row r="300" spans="1:5" x14ac:dyDescent="0.2">
      <c r="A300" s="7">
        <v>10360</v>
      </c>
      <c r="B300" s="8">
        <v>28</v>
      </c>
      <c r="C300" s="8">
        <v>36.4</v>
      </c>
      <c r="D300" s="8">
        <v>30</v>
      </c>
      <c r="E300" s="8">
        <v>0</v>
      </c>
    </row>
    <row r="301" spans="1:5" x14ac:dyDescent="0.2">
      <c r="A301" s="7">
        <v>10360</v>
      </c>
      <c r="B301" s="8">
        <v>29</v>
      </c>
      <c r="C301" s="8">
        <v>99</v>
      </c>
      <c r="D301" s="8">
        <v>35</v>
      </c>
      <c r="E301" s="8">
        <v>0</v>
      </c>
    </row>
    <row r="302" spans="1:5" x14ac:dyDescent="0.2">
      <c r="A302" s="7">
        <v>10360</v>
      </c>
      <c r="B302" s="8">
        <v>38</v>
      </c>
      <c r="C302" s="8">
        <v>210.8</v>
      </c>
      <c r="D302" s="8">
        <v>10</v>
      </c>
      <c r="E302" s="8">
        <v>0</v>
      </c>
    </row>
    <row r="303" spans="1:5" x14ac:dyDescent="0.2">
      <c r="A303" s="7">
        <v>10360</v>
      </c>
      <c r="B303" s="8">
        <v>49</v>
      </c>
      <c r="C303" s="8">
        <v>16</v>
      </c>
      <c r="D303" s="8">
        <v>35</v>
      </c>
      <c r="E303" s="8">
        <v>0</v>
      </c>
    </row>
    <row r="304" spans="1:5" x14ac:dyDescent="0.2">
      <c r="A304" s="7">
        <v>10360</v>
      </c>
      <c r="B304" s="8">
        <v>54</v>
      </c>
      <c r="C304" s="8">
        <v>5.9</v>
      </c>
      <c r="D304" s="8">
        <v>28</v>
      </c>
      <c r="E304" s="8">
        <v>0</v>
      </c>
    </row>
    <row r="305" spans="1:5" x14ac:dyDescent="0.2">
      <c r="A305" s="7">
        <v>10361</v>
      </c>
      <c r="B305" s="8">
        <v>39</v>
      </c>
      <c r="C305" s="8">
        <v>14.4</v>
      </c>
      <c r="D305" s="8">
        <v>54</v>
      </c>
      <c r="E305" s="8">
        <v>0.1</v>
      </c>
    </row>
    <row r="306" spans="1:5" x14ac:dyDescent="0.2">
      <c r="A306" s="7">
        <v>10361</v>
      </c>
      <c r="B306" s="8">
        <v>60</v>
      </c>
      <c r="C306" s="8">
        <v>27.2</v>
      </c>
      <c r="D306" s="8">
        <v>55</v>
      </c>
      <c r="E306" s="8">
        <v>0.1</v>
      </c>
    </row>
    <row r="307" spans="1:5" x14ac:dyDescent="0.2">
      <c r="A307" s="7">
        <v>10362</v>
      </c>
      <c r="B307" s="8">
        <v>25</v>
      </c>
      <c r="C307" s="8">
        <v>11.2</v>
      </c>
      <c r="D307" s="8">
        <v>50</v>
      </c>
      <c r="E307" s="8">
        <v>0</v>
      </c>
    </row>
    <row r="308" spans="1:5" x14ac:dyDescent="0.2">
      <c r="A308" s="7">
        <v>10362</v>
      </c>
      <c r="B308" s="8">
        <v>51</v>
      </c>
      <c r="C308" s="8">
        <v>42.4</v>
      </c>
      <c r="D308" s="8">
        <v>20</v>
      </c>
      <c r="E308" s="8">
        <v>0</v>
      </c>
    </row>
    <row r="309" spans="1:5" x14ac:dyDescent="0.2">
      <c r="A309" s="7">
        <v>10362</v>
      </c>
      <c r="B309" s="8">
        <v>54</v>
      </c>
      <c r="C309" s="8">
        <v>5.9</v>
      </c>
      <c r="D309" s="8">
        <v>24</v>
      </c>
      <c r="E309" s="8">
        <v>0</v>
      </c>
    </row>
    <row r="310" spans="1:5" x14ac:dyDescent="0.2">
      <c r="A310" s="7">
        <v>10363</v>
      </c>
      <c r="B310" s="8">
        <v>31</v>
      </c>
      <c r="C310" s="8">
        <v>10</v>
      </c>
      <c r="D310" s="8">
        <v>20</v>
      </c>
      <c r="E310" s="8">
        <v>0</v>
      </c>
    </row>
    <row r="311" spans="1:5" x14ac:dyDescent="0.2">
      <c r="A311" s="7">
        <v>10363</v>
      </c>
      <c r="B311" s="8">
        <v>75</v>
      </c>
      <c r="C311" s="8">
        <v>6.2</v>
      </c>
      <c r="D311" s="8">
        <v>12</v>
      </c>
      <c r="E311" s="8">
        <v>0</v>
      </c>
    </row>
    <row r="312" spans="1:5" x14ac:dyDescent="0.2">
      <c r="A312" s="7">
        <v>10363</v>
      </c>
      <c r="B312" s="8">
        <v>76</v>
      </c>
      <c r="C312" s="8">
        <v>14.4</v>
      </c>
      <c r="D312" s="8">
        <v>12</v>
      </c>
      <c r="E312" s="8">
        <v>0</v>
      </c>
    </row>
    <row r="313" spans="1:5" x14ac:dyDescent="0.2">
      <c r="A313" s="7">
        <v>10364</v>
      </c>
      <c r="B313" s="8">
        <v>69</v>
      </c>
      <c r="C313" s="8">
        <v>28.8</v>
      </c>
      <c r="D313" s="8">
        <v>30</v>
      </c>
      <c r="E313" s="8">
        <v>0</v>
      </c>
    </row>
    <row r="314" spans="1:5" x14ac:dyDescent="0.2">
      <c r="A314" s="7">
        <v>10364</v>
      </c>
      <c r="B314" s="8">
        <v>71</v>
      </c>
      <c r="C314" s="8">
        <v>17.2</v>
      </c>
      <c r="D314" s="8">
        <v>5</v>
      </c>
      <c r="E314" s="8">
        <v>0</v>
      </c>
    </row>
    <row r="315" spans="1:5" x14ac:dyDescent="0.2">
      <c r="A315" s="7">
        <v>10365</v>
      </c>
      <c r="B315" s="8">
        <v>11</v>
      </c>
      <c r="C315" s="8">
        <v>16.8</v>
      </c>
      <c r="D315" s="8">
        <v>24</v>
      </c>
      <c r="E315" s="8">
        <v>0</v>
      </c>
    </row>
    <row r="316" spans="1:5" x14ac:dyDescent="0.2">
      <c r="A316" s="7">
        <v>10366</v>
      </c>
      <c r="B316" s="8">
        <v>65</v>
      </c>
      <c r="C316" s="8">
        <v>16.8</v>
      </c>
      <c r="D316" s="8">
        <v>5</v>
      </c>
      <c r="E316" s="8">
        <v>0</v>
      </c>
    </row>
    <row r="317" spans="1:5" x14ac:dyDescent="0.2">
      <c r="A317" s="7">
        <v>10366</v>
      </c>
      <c r="B317" s="8">
        <v>77</v>
      </c>
      <c r="C317" s="8">
        <v>10.4</v>
      </c>
      <c r="D317" s="8">
        <v>5</v>
      </c>
      <c r="E317" s="8">
        <v>0</v>
      </c>
    </row>
    <row r="318" spans="1:5" x14ac:dyDescent="0.2">
      <c r="A318" s="7">
        <v>10367</v>
      </c>
      <c r="B318" s="8">
        <v>34</v>
      </c>
      <c r="C318" s="8">
        <v>11.2</v>
      </c>
      <c r="D318" s="8">
        <v>36</v>
      </c>
      <c r="E318" s="8">
        <v>0</v>
      </c>
    </row>
    <row r="319" spans="1:5" x14ac:dyDescent="0.2">
      <c r="A319" s="7">
        <v>10367</v>
      </c>
      <c r="B319" s="8">
        <v>54</v>
      </c>
      <c r="C319" s="8">
        <v>5.9</v>
      </c>
      <c r="D319" s="8">
        <v>18</v>
      </c>
      <c r="E319" s="8">
        <v>0</v>
      </c>
    </row>
    <row r="320" spans="1:5" x14ac:dyDescent="0.2">
      <c r="A320" s="7">
        <v>10367</v>
      </c>
      <c r="B320" s="8">
        <v>65</v>
      </c>
      <c r="C320" s="8">
        <v>16.8</v>
      </c>
      <c r="D320" s="8">
        <v>15</v>
      </c>
      <c r="E320" s="8">
        <v>0</v>
      </c>
    </row>
    <row r="321" spans="1:5" x14ac:dyDescent="0.2">
      <c r="A321" s="7">
        <v>10367</v>
      </c>
      <c r="B321" s="8">
        <v>77</v>
      </c>
      <c r="C321" s="8">
        <v>10.4</v>
      </c>
      <c r="D321" s="8">
        <v>7</v>
      </c>
      <c r="E321" s="8">
        <v>0</v>
      </c>
    </row>
    <row r="322" spans="1:5" x14ac:dyDescent="0.2">
      <c r="A322" s="7">
        <v>10368</v>
      </c>
      <c r="B322" s="8">
        <v>21</v>
      </c>
      <c r="C322" s="8">
        <v>8</v>
      </c>
      <c r="D322" s="8">
        <v>5</v>
      </c>
      <c r="E322" s="8">
        <v>0.1</v>
      </c>
    </row>
    <row r="323" spans="1:5" x14ac:dyDescent="0.2">
      <c r="A323" s="7">
        <v>10368</v>
      </c>
      <c r="B323" s="8">
        <v>28</v>
      </c>
      <c r="C323" s="8">
        <v>36.4</v>
      </c>
      <c r="D323" s="8">
        <v>13</v>
      </c>
      <c r="E323" s="8">
        <v>0.1</v>
      </c>
    </row>
    <row r="324" spans="1:5" x14ac:dyDescent="0.2">
      <c r="A324" s="7">
        <v>10368</v>
      </c>
      <c r="B324" s="8">
        <v>57</v>
      </c>
      <c r="C324" s="8">
        <v>15.6</v>
      </c>
      <c r="D324" s="8">
        <v>25</v>
      </c>
      <c r="E324" s="8">
        <v>0</v>
      </c>
    </row>
    <row r="325" spans="1:5" x14ac:dyDescent="0.2">
      <c r="A325" s="7">
        <v>10368</v>
      </c>
      <c r="B325" s="8">
        <v>64</v>
      </c>
      <c r="C325" s="8">
        <v>26.6</v>
      </c>
      <c r="D325" s="8">
        <v>35</v>
      </c>
      <c r="E325" s="8">
        <v>0.1</v>
      </c>
    </row>
    <row r="326" spans="1:5" x14ac:dyDescent="0.2">
      <c r="A326" s="7">
        <v>10369</v>
      </c>
      <c r="B326" s="8">
        <v>29</v>
      </c>
      <c r="C326" s="8">
        <v>99</v>
      </c>
      <c r="D326" s="8">
        <v>20</v>
      </c>
      <c r="E326" s="8">
        <v>0</v>
      </c>
    </row>
    <row r="327" spans="1:5" x14ac:dyDescent="0.2">
      <c r="A327" s="7">
        <v>10369</v>
      </c>
      <c r="B327" s="8">
        <v>56</v>
      </c>
      <c r="C327" s="8">
        <v>30.4</v>
      </c>
      <c r="D327" s="8">
        <v>18</v>
      </c>
      <c r="E327" s="8">
        <v>0.25</v>
      </c>
    </row>
    <row r="328" spans="1:5" x14ac:dyDescent="0.2">
      <c r="A328" s="7">
        <v>10370</v>
      </c>
      <c r="B328" s="8">
        <v>1</v>
      </c>
      <c r="C328" s="8">
        <v>14.4</v>
      </c>
      <c r="D328" s="8">
        <v>15</v>
      </c>
      <c r="E328" s="8">
        <v>0.15</v>
      </c>
    </row>
    <row r="329" spans="1:5" x14ac:dyDescent="0.2">
      <c r="A329" s="7">
        <v>10370</v>
      </c>
      <c r="B329" s="8">
        <v>64</v>
      </c>
      <c r="C329" s="8">
        <v>26.6</v>
      </c>
      <c r="D329" s="8">
        <v>30</v>
      </c>
      <c r="E329" s="8">
        <v>0</v>
      </c>
    </row>
    <row r="330" spans="1:5" x14ac:dyDescent="0.2">
      <c r="A330" s="7">
        <v>10370</v>
      </c>
      <c r="B330" s="8">
        <v>74</v>
      </c>
      <c r="C330" s="8">
        <v>8</v>
      </c>
      <c r="D330" s="8">
        <v>20</v>
      </c>
      <c r="E330" s="8">
        <v>0.15</v>
      </c>
    </row>
    <row r="331" spans="1:5" x14ac:dyDescent="0.2">
      <c r="A331" s="7">
        <v>10371</v>
      </c>
      <c r="B331" s="8">
        <v>36</v>
      </c>
      <c r="C331" s="8">
        <v>15.2</v>
      </c>
      <c r="D331" s="8">
        <v>6</v>
      </c>
      <c r="E331" s="8">
        <v>0.2</v>
      </c>
    </row>
    <row r="332" spans="1:5" x14ac:dyDescent="0.2">
      <c r="A332" s="7">
        <v>10372</v>
      </c>
      <c r="B332" s="8">
        <v>20</v>
      </c>
      <c r="C332" s="8">
        <v>64.8</v>
      </c>
      <c r="D332" s="8">
        <v>12</v>
      </c>
      <c r="E332" s="8">
        <v>0.25</v>
      </c>
    </row>
    <row r="333" spans="1:5" x14ac:dyDescent="0.2">
      <c r="A333" s="7">
        <v>10372</v>
      </c>
      <c r="B333" s="8">
        <v>38</v>
      </c>
      <c r="C333" s="8">
        <v>210.8</v>
      </c>
      <c r="D333" s="8">
        <v>40</v>
      </c>
      <c r="E333" s="8">
        <v>0.25</v>
      </c>
    </row>
    <row r="334" spans="1:5" x14ac:dyDescent="0.2">
      <c r="A334" s="7">
        <v>10372</v>
      </c>
      <c r="B334" s="8">
        <v>60</v>
      </c>
      <c r="C334" s="8">
        <v>27.2</v>
      </c>
      <c r="D334" s="8">
        <v>70</v>
      </c>
      <c r="E334" s="8">
        <v>0.25</v>
      </c>
    </row>
    <row r="335" spans="1:5" x14ac:dyDescent="0.2">
      <c r="A335" s="7">
        <v>10372</v>
      </c>
      <c r="B335" s="8">
        <v>72</v>
      </c>
      <c r="C335" s="8">
        <v>27.8</v>
      </c>
      <c r="D335" s="8">
        <v>42</v>
      </c>
      <c r="E335" s="8">
        <v>0.25</v>
      </c>
    </row>
    <row r="336" spans="1:5" x14ac:dyDescent="0.2">
      <c r="A336" s="7">
        <v>10373</v>
      </c>
      <c r="B336" s="8">
        <v>58</v>
      </c>
      <c r="C336" s="8">
        <v>10.6</v>
      </c>
      <c r="D336" s="8">
        <v>80</v>
      </c>
      <c r="E336" s="8">
        <v>0.2</v>
      </c>
    </row>
    <row r="337" spans="1:5" x14ac:dyDescent="0.2">
      <c r="A337" s="7">
        <v>10373</v>
      </c>
      <c r="B337" s="8">
        <v>71</v>
      </c>
      <c r="C337" s="8">
        <v>17.2</v>
      </c>
      <c r="D337" s="8">
        <v>50</v>
      </c>
      <c r="E337" s="8">
        <v>0.2</v>
      </c>
    </row>
    <row r="338" spans="1:5" x14ac:dyDescent="0.2">
      <c r="A338" s="7">
        <v>10374</v>
      </c>
      <c r="B338" s="8">
        <v>31</v>
      </c>
      <c r="C338" s="8">
        <v>10</v>
      </c>
      <c r="D338" s="8">
        <v>30</v>
      </c>
      <c r="E338" s="8">
        <v>0</v>
      </c>
    </row>
    <row r="339" spans="1:5" x14ac:dyDescent="0.2">
      <c r="A339" s="7">
        <v>10374</v>
      </c>
      <c r="B339" s="8">
        <v>58</v>
      </c>
      <c r="C339" s="8">
        <v>10.6</v>
      </c>
      <c r="D339" s="8">
        <v>15</v>
      </c>
      <c r="E339" s="8">
        <v>0</v>
      </c>
    </row>
    <row r="340" spans="1:5" x14ac:dyDescent="0.2">
      <c r="A340" s="7">
        <v>10375</v>
      </c>
      <c r="B340" s="8">
        <v>14</v>
      </c>
      <c r="C340" s="8">
        <v>18.600000000000001</v>
      </c>
      <c r="D340" s="8">
        <v>15</v>
      </c>
      <c r="E340" s="8">
        <v>0</v>
      </c>
    </row>
    <row r="341" spans="1:5" x14ac:dyDescent="0.2">
      <c r="A341" s="7">
        <v>10375</v>
      </c>
      <c r="B341" s="8">
        <v>54</v>
      </c>
      <c r="C341" s="8">
        <v>5.9</v>
      </c>
      <c r="D341" s="8">
        <v>10</v>
      </c>
      <c r="E341" s="8">
        <v>0</v>
      </c>
    </row>
    <row r="342" spans="1:5" x14ac:dyDescent="0.2">
      <c r="A342" s="7">
        <v>10376</v>
      </c>
      <c r="B342" s="8">
        <v>31</v>
      </c>
      <c r="C342" s="8">
        <v>10</v>
      </c>
      <c r="D342" s="8">
        <v>42</v>
      </c>
      <c r="E342" s="8">
        <v>0.05</v>
      </c>
    </row>
    <row r="343" spans="1:5" x14ac:dyDescent="0.2">
      <c r="A343" s="7">
        <v>10377</v>
      </c>
      <c r="B343" s="8">
        <v>28</v>
      </c>
      <c r="C343" s="8">
        <v>36.4</v>
      </c>
      <c r="D343" s="8">
        <v>20</v>
      </c>
      <c r="E343" s="8">
        <v>0.15</v>
      </c>
    </row>
    <row r="344" spans="1:5" x14ac:dyDescent="0.2">
      <c r="A344" s="7">
        <v>10377</v>
      </c>
      <c r="B344" s="8">
        <v>39</v>
      </c>
      <c r="C344" s="8">
        <v>14.4</v>
      </c>
      <c r="D344" s="8">
        <v>20</v>
      </c>
      <c r="E344" s="8">
        <v>0.15</v>
      </c>
    </row>
    <row r="345" spans="1:5" x14ac:dyDescent="0.2">
      <c r="A345" s="7">
        <v>10378</v>
      </c>
      <c r="B345" s="8">
        <v>71</v>
      </c>
      <c r="C345" s="8">
        <v>17.2</v>
      </c>
      <c r="D345" s="8">
        <v>6</v>
      </c>
      <c r="E345" s="8">
        <v>0</v>
      </c>
    </row>
    <row r="346" spans="1:5" x14ac:dyDescent="0.2">
      <c r="A346" s="7">
        <v>10379</v>
      </c>
      <c r="B346" s="8">
        <v>41</v>
      </c>
      <c r="C346" s="8">
        <v>7.7</v>
      </c>
      <c r="D346" s="8">
        <v>8</v>
      </c>
      <c r="E346" s="8">
        <v>0.1</v>
      </c>
    </row>
    <row r="347" spans="1:5" x14ac:dyDescent="0.2">
      <c r="A347" s="7">
        <v>10379</v>
      </c>
      <c r="B347" s="8">
        <v>63</v>
      </c>
      <c r="C347" s="8">
        <v>35.1</v>
      </c>
      <c r="D347" s="8">
        <v>16</v>
      </c>
      <c r="E347" s="8">
        <v>0.1</v>
      </c>
    </row>
    <row r="348" spans="1:5" x14ac:dyDescent="0.2">
      <c r="A348" s="7">
        <v>10379</v>
      </c>
      <c r="B348" s="8">
        <v>65</v>
      </c>
      <c r="C348" s="8">
        <v>16.8</v>
      </c>
      <c r="D348" s="8">
        <v>20</v>
      </c>
      <c r="E348" s="8">
        <v>0.1</v>
      </c>
    </row>
    <row r="349" spans="1:5" x14ac:dyDescent="0.2">
      <c r="A349" s="7">
        <v>10380</v>
      </c>
      <c r="B349" s="8">
        <v>30</v>
      </c>
      <c r="C349" s="8">
        <v>20.7</v>
      </c>
      <c r="D349" s="8">
        <v>18</v>
      </c>
      <c r="E349" s="8">
        <v>0.1</v>
      </c>
    </row>
    <row r="350" spans="1:5" x14ac:dyDescent="0.2">
      <c r="A350" s="7">
        <v>10380</v>
      </c>
      <c r="B350" s="8">
        <v>53</v>
      </c>
      <c r="C350" s="8">
        <v>26.2</v>
      </c>
      <c r="D350" s="8">
        <v>20</v>
      </c>
      <c r="E350" s="8">
        <v>0.1</v>
      </c>
    </row>
    <row r="351" spans="1:5" x14ac:dyDescent="0.2">
      <c r="A351" s="7">
        <v>10380</v>
      </c>
      <c r="B351" s="8">
        <v>60</v>
      </c>
      <c r="C351" s="8">
        <v>27.2</v>
      </c>
      <c r="D351" s="8">
        <v>6</v>
      </c>
      <c r="E351" s="8">
        <v>0.1</v>
      </c>
    </row>
    <row r="352" spans="1:5" x14ac:dyDescent="0.2">
      <c r="A352" s="7">
        <v>10380</v>
      </c>
      <c r="B352" s="8">
        <v>70</v>
      </c>
      <c r="C352" s="8">
        <v>12</v>
      </c>
      <c r="D352" s="8">
        <v>30</v>
      </c>
      <c r="E352" s="8">
        <v>0</v>
      </c>
    </row>
    <row r="353" spans="1:5" x14ac:dyDescent="0.2">
      <c r="A353" s="7">
        <v>10381</v>
      </c>
      <c r="B353" s="8">
        <v>74</v>
      </c>
      <c r="C353" s="8">
        <v>8</v>
      </c>
      <c r="D353" s="8">
        <v>14</v>
      </c>
      <c r="E353" s="8">
        <v>0</v>
      </c>
    </row>
    <row r="354" spans="1:5" x14ac:dyDescent="0.2">
      <c r="A354" s="7">
        <v>10382</v>
      </c>
      <c r="B354" s="8">
        <v>5</v>
      </c>
      <c r="C354" s="8">
        <v>17</v>
      </c>
      <c r="D354" s="8">
        <v>32</v>
      </c>
      <c r="E354" s="8">
        <v>0</v>
      </c>
    </row>
    <row r="355" spans="1:5" x14ac:dyDescent="0.2">
      <c r="A355" s="7">
        <v>10382</v>
      </c>
      <c r="B355" s="8">
        <v>18</v>
      </c>
      <c r="C355" s="8">
        <v>50</v>
      </c>
      <c r="D355" s="8">
        <v>9</v>
      </c>
      <c r="E355" s="8">
        <v>0</v>
      </c>
    </row>
    <row r="356" spans="1:5" x14ac:dyDescent="0.2">
      <c r="A356" s="7">
        <v>10382</v>
      </c>
      <c r="B356" s="8">
        <v>29</v>
      </c>
      <c r="C356" s="8">
        <v>99</v>
      </c>
      <c r="D356" s="8">
        <v>14</v>
      </c>
      <c r="E356" s="8">
        <v>0</v>
      </c>
    </row>
    <row r="357" spans="1:5" x14ac:dyDescent="0.2">
      <c r="A357" s="7">
        <v>10382</v>
      </c>
      <c r="B357" s="8">
        <v>33</v>
      </c>
      <c r="C357" s="8">
        <v>2</v>
      </c>
      <c r="D357" s="8">
        <v>60</v>
      </c>
      <c r="E357" s="8">
        <v>0</v>
      </c>
    </row>
    <row r="358" spans="1:5" x14ac:dyDescent="0.2">
      <c r="A358" s="7">
        <v>10382</v>
      </c>
      <c r="B358" s="8">
        <v>74</v>
      </c>
      <c r="C358" s="8">
        <v>8</v>
      </c>
      <c r="D358" s="8">
        <v>50</v>
      </c>
      <c r="E358" s="8">
        <v>0</v>
      </c>
    </row>
    <row r="359" spans="1:5" x14ac:dyDescent="0.2">
      <c r="A359" s="7">
        <v>10383</v>
      </c>
      <c r="B359" s="8">
        <v>13</v>
      </c>
      <c r="C359" s="8">
        <v>4.8</v>
      </c>
      <c r="D359" s="8">
        <v>20</v>
      </c>
      <c r="E359" s="8">
        <v>0</v>
      </c>
    </row>
    <row r="360" spans="1:5" x14ac:dyDescent="0.2">
      <c r="A360" s="7">
        <v>10383</v>
      </c>
      <c r="B360" s="8">
        <v>50</v>
      </c>
      <c r="C360" s="8">
        <v>13</v>
      </c>
      <c r="D360" s="8">
        <v>15</v>
      </c>
      <c r="E360" s="8">
        <v>0</v>
      </c>
    </row>
    <row r="361" spans="1:5" x14ac:dyDescent="0.2">
      <c r="A361" s="7">
        <v>10383</v>
      </c>
      <c r="B361" s="8">
        <v>56</v>
      </c>
      <c r="C361" s="8">
        <v>30.4</v>
      </c>
      <c r="D361" s="8">
        <v>20</v>
      </c>
      <c r="E361" s="8">
        <v>0</v>
      </c>
    </row>
    <row r="362" spans="1:5" x14ac:dyDescent="0.2">
      <c r="A362" s="7">
        <v>10384</v>
      </c>
      <c r="B362" s="8">
        <v>20</v>
      </c>
      <c r="C362" s="8">
        <v>64.8</v>
      </c>
      <c r="D362" s="8">
        <v>28</v>
      </c>
      <c r="E362" s="8">
        <v>0</v>
      </c>
    </row>
    <row r="363" spans="1:5" x14ac:dyDescent="0.2">
      <c r="A363" s="7">
        <v>10384</v>
      </c>
      <c r="B363" s="8">
        <v>60</v>
      </c>
      <c r="C363" s="8">
        <v>27.2</v>
      </c>
      <c r="D363" s="8">
        <v>15</v>
      </c>
      <c r="E363" s="8">
        <v>0</v>
      </c>
    </row>
    <row r="364" spans="1:5" x14ac:dyDescent="0.2">
      <c r="A364" s="7">
        <v>10385</v>
      </c>
      <c r="B364" s="8">
        <v>7</v>
      </c>
      <c r="C364" s="8">
        <v>24</v>
      </c>
      <c r="D364" s="8">
        <v>10</v>
      </c>
      <c r="E364" s="8">
        <v>0.2</v>
      </c>
    </row>
    <row r="365" spans="1:5" x14ac:dyDescent="0.2">
      <c r="A365" s="7">
        <v>10385</v>
      </c>
      <c r="B365" s="8">
        <v>60</v>
      </c>
      <c r="C365" s="8">
        <v>27.2</v>
      </c>
      <c r="D365" s="8">
        <v>20</v>
      </c>
      <c r="E365" s="8">
        <v>0.2</v>
      </c>
    </row>
    <row r="366" spans="1:5" x14ac:dyDescent="0.2">
      <c r="A366" s="7">
        <v>10385</v>
      </c>
      <c r="B366" s="8">
        <v>68</v>
      </c>
      <c r="C366" s="8">
        <v>10</v>
      </c>
      <c r="D366" s="8">
        <v>8</v>
      </c>
      <c r="E366" s="8">
        <v>0.2</v>
      </c>
    </row>
    <row r="367" spans="1:5" x14ac:dyDescent="0.2">
      <c r="A367" s="7">
        <v>10386</v>
      </c>
      <c r="B367" s="8">
        <v>24</v>
      </c>
      <c r="C367" s="8">
        <v>3.6</v>
      </c>
      <c r="D367" s="8">
        <v>15</v>
      </c>
      <c r="E367" s="8">
        <v>0</v>
      </c>
    </row>
    <row r="368" spans="1:5" x14ac:dyDescent="0.2">
      <c r="A368" s="7">
        <v>10386</v>
      </c>
      <c r="B368" s="8">
        <v>34</v>
      </c>
      <c r="C368" s="8">
        <v>11.2</v>
      </c>
      <c r="D368" s="8">
        <v>10</v>
      </c>
      <c r="E368" s="8">
        <v>0</v>
      </c>
    </row>
    <row r="369" spans="1:5" x14ac:dyDescent="0.2">
      <c r="A369" s="7">
        <v>10387</v>
      </c>
      <c r="B369" s="8">
        <v>24</v>
      </c>
      <c r="C369" s="8">
        <v>3.6</v>
      </c>
      <c r="D369" s="8">
        <v>15</v>
      </c>
      <c r="E369" s="8">
        <v>0</v>
      </c>
    </row>
    <row r="370" spans="1:5" x14ac:dyDescent="0.2">
      <c r="A370" s="7">
        <v>10387</v>
      </c>
      <c r="B370" s="8">
        <v>28</v>
      </c>
      <c r="C370" s="8">
        <v>36.4</v>
      </c>
      <c r="D370" s="8">
        <v>6</v>
      </c>
      <c r="E370" s="8">
        <v>0</v>
      </c>
    </row>
    <row r="371" spans="1:5" x14ac:dyDescent="0.2">
      <c r="A371" s="7">
        <v>10387</v>
      </c>
      <c r="B371" s="8">
        <v>59</v>
      </c>
      <c r="C371" s="8">
        <v>44</v>
      </c>
      <c r="D371" s="8">
        <v>12</v>
      </c>
      <c r="E371" s="8">
        <v>0</v>
      </c>
    </row>
    <row r="372" spans="1:5" x14ac:dyDescent="0.2">
      <c r="A372" s="7">
        <v>10387</v>
      </c>
      <c r="B372" s="8">
        <v>71</v>
      </c>
      <c r="C372" s="8">
        <v>17.2</v>
      </c>
      <c r="D372" s="8">
        <v>15</v>
      </c>
      <c r="E372" s="8">
        <v>0</v>
      </c>
    </row>
    <row r="373" spans="1:5" x14ac:dyDescent="0.2">
      <c r="A373" s="7">
        <v>10388</v>
      </c>
      <c r="B373" s="8">
        <v>45</v>
      </c>
      <c r="C373" s="8">
        <v>7.6</v>
      </c>
      <c r="D373" s="8">
        <v>15</v>
      </c>
      <c r="E373" s="8">
        <v>0.2</v>
      </c>
    </row>
    <row r="374" spans="1:5" x14ac:dyDescent="0.2">
      <c r="A374" s="7">
        <v>10388</v>
      </c>
      <c r="B374" s="8">
        <v>52</v>
      </c>
      <c r="C374" s="8">
        <v>5.6</v>
      </c>
      <c r="D374" s="8">
        <v>20</v>
      </c>
      <c r="E374" s="8">
        <v>0.2</v>
      </c>
    </row>
    <row r="375" spans="1:5" x14ac:dyDescent="0.2">
      <c r="A375" s="7">
        <v>10388</v>
      </c>
      <c r="B375" s="8">
        <v>53</v>
      </c>
      <c r="C375" s="8">
        <v>26.2</v>
      </c>
      <c r="D375" s="8">
        <v>40</v>
      </c>
      <c r="E375" s="8">
        <v>0</v>
      </c>
    </row>
    <row r="376" spans="1:5" x14ac:dyDescent="0.2">
      <c r="A376" s="7">
        <v>10389</v>
      </c>
      <c r="B376" s="8">
        <v>10</v>
      </c>
      <c r="C376" s="8">
        <v>24.8</v>
      </c>
      <c r="D376" s="8">
        <v>16</v>
      </c>
      <c r="E376" s="8">
        <v>0</v>
      </c>
    </row>
    <row r="377" spans="1:5" x14ac:dyDescent="0.2">
      <c r="A377" s="7">
        <v>10389</v>
      </c>
      <c r="B377" s="8">
        <v>55</v>
      </c>
      <c r="C377" s="8">
        <v>19.2</v>
      </c>
      <c r="D377" s="8">
        <v>15</v>
      </c>
      <c r="E377" s="8">
        <v>0</v>
      </c>
    </row>
    <row r="378" spans="1:5" x14ac:dyDescent="0.2">
      <c r="A378" s="7">
        <v>10389</v>
      </c>
      <c r="B378" s="8">
        <v>62</v>
      </c>
      <c r="C378" s="8">
        <v>39.4</v>
      </c>
      <c r="D378" s="8">
        <v>20</v>
      </c>
      <c r="E378" s="8">
        <v>0</v>
      </c>
    </row>
    <row r="379" spans="1:5" x14ac:dyDescent="0.2">
      <c r="A379" s="7">
        <v>10389</v>
      </c>
      <c r="B379" s="8">
        <v>70</v>
      </c>
      <c r="C379" s="8">
        <v>12</v>
      </c>
      <c r="D379" s="8">
        <v>30</v>
      </c>
      <c r="E379" s="8">
        <v>0</v>
      </c>
    </row>
    <row r="380" spans="1:5" x14ac:dyDescent="0.2">
      <c r="A380" s="7">
        <v>10390</v>
      </c>
      <c r="B380" s="8">
        <v>31</v>
      </c>
      <c r="C380" s="8">
        <v>10</v>
      </c>
      <c r="D380" s="8">
        <v>60</v>
      </c>
      <c r="E380" s="8">
        <v>0.1</v>
      </c>
    </row>
    <row r="381" spans="1:5" x14ac:dyDescent="0.2">
      <c r="A381" s="7">
        <v>10390</v>
      </c>
      <c r="B381" s="8">
        <v>35</v>
      </c>
      <c r="C381" s="8">
        <v>14.4</v>
      </c>
      <c r="D381" s="8">
        <v>40</v>
      </c>
      <c r="E381" s="8">
        <v>0.1</v>
      </c>
    </row>
    <row r="382" spans="1:5" x14ac:dyDescent="0.2">
      <c r="A382" s="7">
        <v>10390</v>
      </c>
      <c r="B382" s="8">
        <v>46</v>
      </c>
      <c r="C382" s="8">
        <v>9.6</v>
      </c>
      <c r="D382" s="8">
        <v>45</v>
      </c>
      <c r="E382" s="8">
        <v>0</v>
      </c>
    </row>
    <row r="383" spans="1:5" x14ac:dyDescent="0.2">
      <c r="A383" s="7">
        <v>10390</v>
      </c>
      <c r="B383" s="8">
        <v>72</v>
      </c>
      <c r="C383" s="8">
        <v>27.8</v>
      </c>
      <c r="D383" s="8">
        <v>24</v>
      </c>
      <c r="E383" s="8">
        <v>0.1</v>
      </c>
    </row>
    <row r="384" spans="1:5" x14ac:dyDescent="0.2">
      <c r="A384" s="7">
        <v>10391</v>
      </c>
      <c r="B384" s="8">
        <v>13</v>
      </c>
      <c r="C384" s="8">
        <v>4.8</v>
      </c>
      <c r="D384" s="8">
        <v>18</v>
      </c>
      <c r="E384" s="8">
        <v>0</v>
      </c>
    </row>
    <row r="385" spans="1:5" x14ac:dyDescent="0.2">
      <c r="A385" s="7">
        <v>10392</v>
      </c>
      <c r="B385" s="8">
        <v>69</v>
      </c>
      <c r="C385" s="8">
        <v>28.8</v>
      </c>
      <c r="D385" s="8">
        <v>50</v>
      </c>
      <c r="E385" s="8">
        <v>0</v>
      </c>
    </row>
    <row r="386" spans="1:5" x14ac:dyDescent="0.2">
      <c r="A386" s="7">
        <v>10393</v>
      </c>
      <c r="B386" s="8">
        <v>2</v>
      </c>
      <c r="C386" s="8">
        <v>15.2</v>
      </c>
      <c r="D386" s="8">
        <v>25</v>
      </c>
      <c r="E386" s="8">
        <v>0.25</v>
      </c>
    </row>
    <row r="387" spans="1:5" x14ac:dyDescent="0.2">
      <c r="A387" s="7">
        <v>10393</v>
      </c>
      <c r="B387" s="8">
        <v>14</v>
      </c>
      <c r="C387" s="8">
        <v>18.600000000000001</v>
      </c>
      <c r="D387" s="8">
        <v>42</v>
      </c>
      <c r="E387" s="8">
        <v>0.25</v>
      </c>
    </row>
    <row r="388" spans="1:5" x14ac:dyDescent="0.2">
      <c r="A388" s="7">
        <v>10393</v>
      </c>
      <c r="B388" s="8">
        <v>25</v>
      </c>
      <c r="C388" s="8">
        <v>11.2</v>
      </c>
      <c r="D388" s="8">
        <v>7</v>
      </c>
      <c r="E388" s="8">
        <v>0.25</v>
      </c>
    </row>
    <row r="389" spans="1:5" x14ac:dyDescent="0.2">
      <c r="A389" s="7">
        <v>10393</v>
      </c>
      <c r="B389" s="8">
        <v>26</v>
      </c>
      <c r="C389" s="8">
        <v>24.9</v>
      </c>
      <c r="D389" s="8">
        <v>70</v>
      </c>
      <c r="E389" s="8">
        <v>0.25</v>
      </c>
    </row>
    <row r="390" spans="1:5" x14ac:dyDescent="0.2">
      <c r="A390" s="7">
        <v>10393</v>
      </c>
      <c r="B390" s="8">
        <v>31</v>
      </c>
      <c r="C390" s="8">
        <v>10</v>
      </c>
      <c r="D390" s="8">
        <v>32</v>
      </c>
      <c r="E390" s="8">
        <v>0</v>
      </c>
    </row>
    <row r="391" spans="1:5" x14ac:dyDescent="0.2">
      <c r="A391" s="7">
        <v>10394</v>
      </c>
      <c r="B391" s="8">
        <v>13</v>
      </c>
      <c r="C391" s="8">
        <v>4.8</v>
      </c>
      <c r="D391" s="8">
        <v>10</v>
      </c>
      <c r="E391" s="8">
        <v>0</v>
      </c>
    </row>
    <row r="392" spans="1:5" x14ac:dyDescent="0.2">
      <c r="A392" s="7">
        <v>10394</v>
      </c>
      <c r="B392" s="8">
        <v>62</v>
      </c>
      <c r="C392" s="8">
        <v>39.4</v>
      </c>
      <c r="D392" s="8">
        <v>10</v>
      </c>
      <c r="E392" s="8">
        <v>0</v>
      </c>
    </row>
    <row r="393" spans="1:5" x14ac:dyDescent="0.2">
      <c r="A393" s="7">
        <v>10395</v>
      </c>
      <c r="B393" s="8">
        <v>46</v>
      </c>
      <c r="C393" s="8">
        <v>9.6</v>
      </c>
      <c r="D393" s="8">
        <v>28</v>
      </c>
      <c r="E393" s="8">
        <v>0.1</v>
      </c>
    </row>
    <row r="394" spans="1:5" x14ac:dyDescent="0.2">
      <c r="A394" s="7">
        <v>10395</v>
      </c>
      <c r="B394" s="8">
        <v>53</v>
      </c>
      <c r="C394" s="8">
        <v>26.2</v>
      </c>
      <c r="D394" s="8">
        <v>70</v>
      </c>
      <c r="E394" s="8">
        <v>0.1</v>
      </c>
    </row>
    <row r="395" spans="1:5" x14ac:dyDescent="0.2">
      <c r="A395" s="7">
        <v>10395</v>
      </c>
      <c r="B395" s="8">
        <v>69</v>
      </c>
      <c r="C395" s="8">
        <v>28.8</v>
      </c>
      <c r="D395" s="8">
        <v>8</v>
      </c>
      <c r="E395" s="8">
        <v>0</v>
      </c>
    </row>
    <row r="396" spans="1:5" x14ac:dyDescent="0.2">
      <c r="A396" s="7">
        <v>10396</v>
      </c>
      <c r="B396" s="8">
        <v>23</v>
      </c>
      <c r="C396" s="8">
        <v>7.2</v>
      </c>
      <c r="D396" s="8">
        <v>40</v>
      </c>
      <c r="E396" s="8">
        <v>0</v>
      </c>
    </row>
    <row r="397" spans="1:5" x14ac:dyDescent="0.2">
      <c r="A397" s="7">
        <v>10396</v>
      </c>
      <c r="B397" s="8">
        <v>71</v>
      </c>
      <c r="C397" s="8">
        <v>17.2</v>
      </c>
      <c r="D397" s="8">
        <v>60</v>
      </c>
      <c r="E397" s="8">
        <v>0</v>
      </c>
    </row>
    <row r="398" spans="1:5" x14ac:dyDescent="0.2">
      <c r="A398" s="7">
        <v>10396</v>
      </c>
      <c r="B398" s="8">
        <v>72</v>
      </c>
      <c r="C398" s="8">
        <v>27.8</v>
      </c>
      <c r="D398" s="8">
        <v>21</v>
      </c>
      <c r="E398" s="8">
        <v>0</v>
      </c>
    </row>
    <row r="399" spans="1:5" x14ac:dyDescent="0.2">
      <c r="A399" s="7">
        <v>10397</v>
      </c>
      <c r="B399" s="8">
        <v>21</v>
      </c>
      <c r="C399" s="8">
        <v>8</v>
      </c>
      <c r="D399" s="8">
        <v>10</v>
      </c>
      <c r="E399" s="8">
        <v>0.15</v>
      </c>
    </row>
    <row r="400" spans="1:5" x14ac:dyDescent="0.2">
      <c r="A400" s="7">
        <v>10397</v>
      </c>
      <c r="B400" s="8">
        <v>51</v>
      </c>
      <c r="C400" s="8">
        <v>42.4</v>
      </c>
      <c r="D400" s="8">
        <v>18</v>
      </c>
      <c r="E400" s="8">
        <v>0.15</v>
      </c>
    </row>
    <row r="401" spans="1:5" x14ac:dyDescent="0.2">
      <c r="A401" s="7">
        <v>10398</v>
      </c>
      <c r="B401" s="8">
        <v>35</v>
      </c>
      <c r="C401" s="8">
        <v>14.4</v>
      </c>
      <c r="D401" s="8">
        <v>30</v>
      </c>
      <c r="E401" s="8">
        <v>0</v>
      </c>
    </row>
    <row r="402" spans="1:5" x14ac:dyDescent="0.2">
      <c r="A402" s="7">
        <v>10398</v>
      </c>
      <c r="B402" s="8">
        <v>55</v>
      </c>
      <c r="C402" s="8">
        <v>19.2</v>
      </c>
      <c r="D402" s="8">
        <v>120</v>
      </c>
      <c r="E402" s="8">
        <v>0.1</v>
      </c>
    </row>
    <row r="403" spans="1:5" x14ac:dyDescent="0.2">
      <c r="A403" s="7">
        <v>10399</v>
      </c>
      <c r="B403" s="8">
        <v>68</v>
      </c>
      <c r="C403" s="8">
        <v>10</v>
      </c>
      <c r="D403" s="8">
        <v>60</v>
      </c>
      <c r="E403" s="8">
        <v>0</v>
      </c>
    </row>
    <row r="404" spans="1:5" x14ac:dyDescent="0.2">
      <c r="A404" s="7">
        <v>10399</v>
      </c>
      <c r="B404" s="8">
        <v>71</v>
      </c>
      <c r="C404" s="8">
        <v>17.2</v>
      </c>
      <c r="D404" s="8">
        <v>30</v>
      </c>
      <c r="E404" s="8">
        <v>0</v>
      </c>
    </row>
    <row r="405" spans="1:5" x14ac:dyDescent="0.2">
      <c r="A405" s="7">
        <v>10399</v>
      </c>
      <c r="B405" s="8">
        <v>76</v>
      </c>
      <c r="C405" s="8">
        <v>14.4</v>
      </c>
      <c r="D405" s="8">
        <v>35</v>
      </c>
      <c r="E405" s="8">
        <v>0</v>
      </c>
    </row>
    <row r="406" spans="1:5" x14ac:dyDescent="0.2">
      <c r="A406" s="7">
        <v>10399</v>
      </c>
      <c r="B406" s="8">
        <v>77</v>
      </c>
      <c r="C406" s="8">
        <v>10.4</v>
      </c>
      <c r="D406" s="8">
        <v>14</v>
      </c>
      <c r="E406" s="8">
        <v>0</v>
      </c>
    </row>
    <row r="407" spans="1:5" x14ac:dyDescent="0.2">
      <c r="A407" s="7">
        <v>10400</v>
      </c>
      <c r="B407" s="8">
        <v>29</v>
      </c>
      <c r="C407" s="8">
        <v>99</v>
      </c>
      <c r="D407" s="8">
        <v>21</v>
      </c>
      <c r="E407" s="8">
        <v>0</v>
      </c>
    </row>
    <row r="408" spans="1:5" x14ac:dyDescent="0.2">
      <c r="A408" s="7">
        <v>10400</v>
      </c>
      <c r="B408" s="8">
        <v>35</v>
      </c>
      <c r="C408" s="8">
        <v>14.4</v>
      </c>
      <c r="D408" s="8">
        <v>35</v>
      </c>
      <c r="E408" s="8">
        <v>0</v>
      </c>
    </row>
    <row r="409" spans="1:5" x14ac:dyDescent="0.2">
      <c r="A409" s="7">
        <v>10400</v>
      </c>
      <c r="B409" s="8">
        <v>49</v>
      </c>
      <c r="C409" s="8">
        <v>16</v>
      </c>
      <c r="D409" s="8">
        <v>30</v>
      </c>
      <c r="E409" s="8">
        <v>0</v>
      </c>
    </row>
    <row r="410" spans="1:5" x14ac:dyDescent="0.2">
      <c r="A410" s="7">
        <v>10401</v>
      </c>
      <c r="B410" s="8">
        <v>30</v>
      </c>
      <c r="C410" s="8">
        <v>20.7</v>
      </c>
      <c r="D410" s="8">
        <v>18</v>
      </c>
      <c r="E410" s="8">
        <v>0</v>
      </c>
    </row>
    <row r="411" spans="1:5" x14ac:dyDescent="0.2">
      <c r="A411" s="7">
        <v>10401</v>
      </c>
      <c r="B411" s="8">
        <v>56</v>
      </c>
      <c r="C411" s="8">
        <v>30.4</v>
      </c>
      <c r="D411" s="8">
        <v>70</v>
      </c>
      <c r="E411" s="8">
        <v>0</v>
      </c>
    </row>
    <row r="412" spans="1:5" x14ac:dyDescent="0.2">
      <c r="A412" s="7">
        <v>10401</v>
      </c>
      <c r="B412" s="8">
        <v>65</v>
      </c>
      <c r="C412" s="8">
        <v>16.8</v>
      </c>
      <c r="D412" s="8">
        <v>20</v>
      </c>
      <c r="E412" s="8">
        <v>0</v>
      </c>
    </row>
    <row r="413" spans="1:5" x14ac:dyDescent="0.2">
      <c r="A413" s="7">
        <v>10401</v>
      </c>
      <c r="B413" s="8">
        <v>71</v>
      </c>
      <c r="C413" s="8">
        <v>17.2</v>
      </c>
      <c r="D413" s="8">
        <v>60</v>
      </c>
      <c r="E413" s="8">
        <v>0</v>
      </c>
    </row>
    <row r="414" spans="1:5" x14ac:dyDescent="0.2">
      <c r="A414" s="7">
        <v>10402</v>
      </c>
      <c r="B414" s="8">
        <v>23</v>
      </c>
      <c r="C414" s="8">
        <v>7.2</v>
      </c>
      <c r="D414" s="8">
        <v>60</v>
      </c>
      <c r="E414" s="8">
        <v>0</v>
      </c>
    </row>
    <row r="415" spans="1:5" x14ac:dyDescent="0.2">
      <c r="A415" s="7">
        <v>10402</v>
      </c>
      <c r="B415" s="8">
        <v>63</v>
      </c>
      <c r="C415" s="8">
        <v>35.1</v>
      </c>
      <c r="D415" s="8">
        <v>65</v>
      </c>
      <c r="E415" s="8">
        <v>0</v>
      </c>
    </row>
    <row r="416" spans="1:5" x14ac:dyDescent="0.2">
      <c r="A416" s="7">
        <v>10403</v>
      </c>
      <c r="B416" s="8">
        <v>16</v>
      </c>
      <c r="C416" s="8">
        <v>13.9</v>
      </c>
      <c r="D416" s="8">
        <v>21</v>
      </c>
      <c r="E416" s="8">
        <v>0.15</v>
      </c>
    </row>
    <row r="417" spans="1:5" x14ac:dyDescent="0.2">
      <c r="A417" s="7">
        <v>10403</v>
      </c>
      <c r="B417" s="8">
        <v>48</v>
      </c>
      <c r="C417" s="8">
        <v>10.199999999999999</v>
      </c>
      <c r="D417" s="8">
        <v>70</v>
      </c>
      <c r="E417" s="8">
        <v>0.15</v>
      </c>
    </row>
    <row r="418" spans="1:5" x14ac:dyDescent="0.2">
      <c r="A418" s="7">
        <v>10404</v>
      </c>
      <c r="B418" s="8">
        <v>26</v>
      </c>
      <c r="C418" s="8">
        <v>24.9</v>
      </c>
      <c r="D418" s="8">
        <v>30</v>
      </c>
      <c r="E418" s="8">
        <v>0.05</v>
      </c>
    </row>
    <row r="419" spans="1:5" x14ac:dyDescent="0.2">
      <c r="A419" s="7">
        <v>10404</v>
      </c>
      <c r="B419" s="8">
        <v>42</v>
      </c>
      <c r="C419" s="8">
        <v>11.2</v>
      </c>
      <c r="D419" s="8">
        <v>40</v>
      </c>
      <c r="E419" s="8">
        <v>0.05</v>
      </c>
    </row>
    <row r="420" spans="1:5" x14ac:dyDescent="0.2">
      <c r="A420" s="7">
        <v>10404</v>
      </c>
      <c r="B420" s="8">
        <v>49</v>
      </c>
      <c r="C420" s="8">
        <v>16</v>
      </c>
      <c r="D420" s="8">
        <v>30</v>
      </c>
      <c r="E420" s="8">
        <v>0.05</v>
      </c>
    </row>
    <row r="421" spans="1:5" x14ac:dyDescent="0.2">
      <c r="A421" s="7">
        <v>10405</v>
      </c>
      <c r="B421" s="8">
        <v>3</v>
      </c>
      <c r="C421" s="8">
        <v>8</v>
      </c>
      <c r="D421" s="8">
        <v>50</v>
      </c>
      <c r="E421" s="8">
        <v>0</v>
      </c>
    </row>
    <row r="422" spans="1:5" x14ac:dyDescent="0.2">
      <c r="A422" s="7">
        <v>10406</v>
      </c>
      <c r="B422" s="8">
        <v>1</v>
      </c>
      <c r="C422" s="8">
        <v>14.4</v>
      </c>
      <c r="D422" s="8">
        <v>10</v>
      </c>
      <c r="E422" s="8">
        <v>0</v>
      </c>
    </row>
    <row r="423" spans="1:5" x14ac:dyDescent="0.2">
      <c r="A423" s="7">
        <v>10406</v>
      </c>
      <c r="B423" s="8">
        <v>21</v>
      </c>
      <c r="C423" s="8">
        <v>8</v>
      </c>
      <c r="D423" s="8">
        <v>30</v>
      </c>
      <c r="E423" s="8">
        <v>0.1</v>
      </c>
    </row>
    <row r="424" spans="1:5" x14ac:dyDescent="0.2">
      <c r="A424" s="7">
        <v>10406</v>
      </c>
      <c r="B424" s="8">
        <v>28</v>
      </c>
      <c r="C424" s="8">
        <v>36.4</v>
      </c>
      <c r="D424" s="8">
        <v>42</v>
      </c>
      <c r="E424" s="8">
        <v>0.1</v>
      </c>
    </row>
    <row r="425" spans="1:5" x14ac:dyDescent="0.2">
      <c r="A425" s="7">
        <v>10406</v>
      </c>
      <c r="B425" s="8">
        <v>36</v>
      </c>
      <c r="C425" s="8">
        <v>15.2</v>
      </c>
      <c r="D425" s="8">
        <v>5</v>
      </c>
      <c r="E425" s="8">
        <v>0.1</v>
      </c>
    </row>
    <row r="426" spans="1:5" x14ac:dyDescent="0.2">
      <c r="A426" s="7">
        <v>10406</v>
      </c>
      <c r="B426" s="8">
        <v>40</v>
      </c>
      <c r="C426" s="8">
        <v>14.7</v>
      </c>
      <c r="D426" s="8">
        <v>2</v>
      </c>
      <c r="E426" s="8">
        <v>0.1</v>
      </c>
    </row>
    <row r="427" spans="1:5" x14ac:dyDescent="0.2">
      <c r="A427" s="7">
        <v>10407</v>
      </c>
      <c r="B427" s="8">
        <v>11</v>
      </c>
      <c r="C427" s="8">
        <v>16.8</v>
      </c>
      <c r="D427" s="8">
        <v>30</v>
      </c>
      <c r="E427" s="8">
        <v>0</v>
      </c>
    </row>
    <row r="428" spans="1:5" x14ac:dyDescent="0.2">
      <c r="A428" s="7">
        <v>10407</v>
      </c>
      <c r="B428" s="8">
        <v>69</v>
      </c>
      <c r="C428" s="8">
        <v>28.8</v>
      </c>
      <c r="D428" s="8">
        <v>15</v>
      </c>
      <c r="E428" s="8">
        <v>0</v>
      </c>
    </row>
    <row r="429" spans="1:5" x14ac:dyDescent="0.2">
      <c r="A429" s="7">
        <v>10407</v>
      </c>
      <c r="B429" s="8">
        <v>71</v>
      </c>
      <c r="C429" s="8">
        <v>17.2</v>
      </c>
      <c r="D429" s="8">
        <v>15</v>
      </c>
      <c r="E429" s="8">
        <v>0</v>
      </c>
    </row>
    <row r="430" spans="1:5" x14ac:dyDescent="0.2">
      <c r="A430" s="7">
        <v>10408</v>
      </c>
      <c r="B430" s="8">
        <v>37</v>
      </c>
      <c r="C430" s="8">
        <v>20.8</v>
      </c>
      <c r="D430" s="8">
        <v>10</v>
      </c>
      <c r="E430" s="8">
        <v>0</v>
      </c>
    </row>
    <row r="431" spans="1:5" x14ac:dyDescent="0.2">
      <c r="A431" s="7">
        <v>10408</v>
      </c>
      <c r="B431" s="8">
        <v>54</v>
      </c>
      <c r="C431" s="8">
        <v>5.9</v>
      </c>
      <c r="D431" s="8">
        <v>6</v>
      </c>
      <c r="E431" s="8">
        <v>0</v>
      </c>
    </row>
    <row r="432" spans="1:5" x14ac:dyDescent="0.2">
      <c r="A432" s="7">
        <v>10408</v>
      </c>
      <c r="B432" s="8">
        <v>62</v>
      </c>
      <c r="C432" s="8">
        <v>39.4</v>
      </c>
      <c r="D432" s="8">
        <v>35</v>
      </c>
      <c r="E432" s="8">
        <v>0</v>
      </c>
    </row>
    <row r="433" spans="1:5" x14ac:dyDescent="0.2">
      <c r="A433" s="7">
        <v>10409</v>
      </c>
      <c r="B433" s="8">
        <v>14</v>
      </c>
      <c r="C433" s="8">
        <v>18.600000000000001</v>
      </c>
      <c r="D433" s="8">
        <v>12</v>
      </c>
      <c r="E433" s="8">
        <v>0</v>
      </c>
    </row>
    <row r="434" spans="1:5" x14ac:dyDescent="0.2">
      <c r="A434" s="7">
        <v>10409</v>
      </c>
      <c r="B434" s="8">
        <v>21</v>
      </c>
      <c r="C434" s="8">
        <v>8</v>
      </c>
      <c r="D434" s="8">
        <v>12</v>
      </c>
      <c r="E434" s="8">
        <v>0</v>
      </c>
    </row>
    <row r="435" spans="1:5" x14ac:dyDescent="0.2">
      <c r="A435" s="7">
        <v>10410</v>
      </c>
      <c r="B435" s="8">
        <v>33</v>
      </c>
      <c r="C435" s="8">
        <v>2</v>
      </c>
      <c r="D435" s="8">
        <v>49</v>
      </c>
      <c r="E435" s="8">
        <v>0</v>
      </c>
    </row>
    <row r="436" spans="1:5" x14ac:dyDescent="0.2">
      <c r="A436" s="7">
        <v>10410</v>
      </c>
      <c r="B436" s="8">
        <v>59</v>
      </c>
      <c r="C436" s="8">
        <v>44</v>
      </c>
      <c r="D436" s="8">
        <v>16</v>
      </c>
      <c r="E436" s="8">
        <v>0</v>
      </c>
    </row>
    <row r="437" spans="1:5" x14ac:dyDescent="0.2">
      <c r="A437" s="7">
        <v>10411</v>
      </c>
      <c r="B437" s="8">
        <v>41</v>
      </c>
      <c r="C437" s="8">
        <v>7.7</v>
      </c>
      <c r="D437" s="8">
        <v>25</v>
      </c>
      <c r="E437" s="8">
        <v>0.2</v>
      </c>
    </row>
    <row r="438" spans="1:5" x14ac:dyDescent="0.2">
      <c r="A438" s="7">
        <v>10411</v>
      </c>
      <c r="B438" s="8">
        <v>44</v>
      </c>
      <c r="C438" s="8">
        <v>15.5</v>
      </c>
      <c r="D438" s="8">
        <v>40</v>
      </c>
      <c r="E438" s="8">
        <v>0.2</v>
      </c>
    </row>
    <row r="439" spans="1:5" x14ac:dyDescent="0.2">
      <c r="A439" s="7">
        <v>10411</v>
      </c>
      <c r="B439" s="8">
        <v>59</v>
      </c>
      <c r="C439" s="8">
        <v>44</v>
      </c>
      <c r="D439" s="8">
        <v>9</v>
      </c>
      <c r="E439" s="8">
        <v>0.2</v>
      </c>
    </row>
    <row r="440" spans="1:5" x14ac:dyDescent="0.2">
      <c r="A440" s="7">
        <v>10412</v>
      </c>
      <c r="B440" s="8">
        <v>14</v>
      </c>
      <c r="C440" s="8">
        <v>18.600000000000001</v>
      </c>
      <c r="D440" s="8">
        <v>20</v>
      </c>
      <c r="E440" s="8">
        <v>0.1</v>
      </c>
    </row>
    <row r="441" spans="1:5" x14ac:dyDescent="0.2">
      <c r="A441" s="7">
        <v>10413</v>
      </c>
      <c r="B441" s="8">
        <v>1</v>
      </c>
      <c r="C441" s="8">
        <v>14.4</v>
      </c>
      <c r="D441" s="8">
        <v>24</v>
      </c>
      <c r="E441" s="8">
        <v>0</v>
      </c>
    </row>
    <row r="442" spans="1:5" x14ac:dyDescent="0.2">
      <c r="A442" s="7">
        <v>10413</v>
      </c>
      <c r="B442" s="8">
        <v>62</v>
      </c>
      <c r="C442" s="8">
        <v>39.4</v>
      </c>
      <c r="D442" s="8">
        <v>40</v>
      </c>
      <c r="E442" s="8">
        <v>0</v>
      </c>
    </row>
    <row r="443" spans="1:5" x14ac:dyDescent="0.2">
      <c r="A443" s="7">
        <v>10413</v>
      </c>
      <c r="B443" s="8">
        <v>76</v>
      </c>
      <c r="C443" s="8">
        <v>14.4</v>
      </c>
      <c r="D443" s="8">
        <v>14</v>
      </c>
      <c r="E443" s="8">
        <v>0</v>
      </c>
    </row>
    <row r="444" spans="1:5" x14ac:dyDescent="0.2">
      <c r="A444" s="7">
        <v>10414</v>
      </c>
      <c r="B444" s="8">
        <v>19</v>
      </c>
      <c r="C444" s="8">
        <v>7.3</v>
      </c>
      <c r="D444" s="8">
        <v>18</v>
      </c>
      <c r="E444" s="8">
        <v>0.05</v>
      </c>
    </row>
    <row r="445" spans="1:5" x14ac:dyDescent="0.2">
      <c r="A445" s="7">
        <v>10414</v>
      </c>
      <c r="B445" s="8">
        <v>33</v>
      </c>
      <c r="C445" s="8">
        <v>2</v>
      </c>
      <c r="D445" s="8">
        <v>50</v>
      </c>
      <c r="E445" s="8">
        <v>0</v>
      </c>
    </row>
    <row r="446" spans="1:5" x14ac:dyDescent="0.2">
      <c r="A446" s="7">
        <v>10415</v>
      </c>
      <c r="B446" s="8">
        <v>17</v>
      </c>
      <c r="C446" s="8">
        <v>31.2</v>
      </c>
      <c r="D446" s="8">
        <v>2</v>
      </c>
      <c r="E446" s="8">
        <v>0</v>
      </c>
    </row>
    <row r="447" spans="1:5" x14ac:dyDescent="0.2">
      <c r="A447" s="7">
        <v>10415</v>
      </c>
      <c r="B447" s="8">
        <v>33</v>
      </c>
      <c r="C447" s="8">
        <v>2</v>
      </c>
      <c r="D447" s="8">
        <v>20</v>
      </c>
      <c r="E447" s="8">
        <v>0</v>
      </c>
    </row>
    <row r="448" spans="1:5" x14ac:dyDescent="0.2">
      <c r="A448" s="7">
        <v>10416</v>
      </c>
      <c r="B448" s="8">
        <v>19</v>
      </c>
      <c r="C448" s="8">
        <v>7.3</v>
      </c>
      <c r="D448" s="8">
        <v>20</v>
      </c>
      <c r="E448" s="8">
        <v>0</v>
      </c>
    </row>
    <row r="449" spans="1:5" x14ac:dyDescent="0.2">
      <c r="A449" s="7">
        <v>10416</v>
      </c>
      <c r="B449" s="8">
        <v>53</v>
      </c>
      <c r="C449" s="8">
        <v>26.2</v>
      </c>
      <c r="D449" s="8">
        <v>10</v>
      </c>
      <c r="E449" s="8">
        <v>0</v>
      </c>
    </row>
    <row r="450" spans="1:5" x14ac:dyDescent="0.2">
      <c r="A450" s="7">
        <v>10416</v>
      </c>
      <c r="B450" s="8">
        <v>57</v>
      </c>
      <c r="C450" s="8">
        <v>15.6</v>
      </c>
      <c r="D450" s="8">
        <v>20</v>
      </c>
      <c r="E450" s="8">
        <v>0</v>
      </c>
    </row>
    <row r="451" spans="1:5" x14ac:dyDescent="0.2">
      <c r="A451" s="7">
        <v>10417</v>
      </c>
      <c r="B451" s="8">
        <v>38</v>
      </c>
      <c r="C451" s="8">
        <v>210.8</v>
      </c>
      <c r="D451" s="8">
        <v>50</v>
      </c>
      <c r="E451" s="8">
        <v>0</v>
      </c>
    </row>
    <row r="452" spans="1:5" x14ac:dyDescent="0.2">
      <c r="A452" s="7">
        <v>10417</v>
      </c>
      <c r="B452" s="8">
        <v>46</v>
      </c>
      <c r="C452" s="8">
        <v>9.6</v>
      </c>
      <c r="D452" s="8">
        <v>2</v>
      </c>
      <c r="E452" s="8">
        <v>0.25</v>
      </c>
    </row>
    <row r="453" spans="1:5" x14ac:dyDescent="0.2">
      <c r="A453" s="7">
        <v>10417</v>
      </c>
      <c r="B453" s="8">
        <v>68</v>
      </c>
      <c r="C453" s="8">
        <v>10</v>
      </c>
      <c r="D453" s="8">
        <v>36</v>
      </c>
      <c r="E453" s="8">
        <v>0.25</v>
      </c>
    </row>
    <row r="454" spans="1:5" x14ac:dyDescent="0.2">
      <c r="A454" s="7">
        <v>10417</v>
      </c>
      <c r="B454" s="8">
        <v>77</v>
      </c>
      <c r="C454" s="8">
        <v>10.4</v>
      </c>
      <c r="D454" s="8">
        <v>35</v>
      </c>
      <c r="E454" s="8">
        <v>0</v>
      </c>
    </row>
    <row r="455" spans="1:5" x14ac:dyDescent="0.2">
      <c r="A455" s="7">
        <v>10418</v>
      </c>
      <c r="B455" s="8">
        <v>2</v>
      </c>
      <c r="C455" s="8">
        <v>15.2</v>
      </c>
      <c r="D455" s="8">
        <v>60</v>
      </c>
      <c r="E455" s="8">
        <v>0</v>
      </c>
    </row>
    <row r="456" spans="1:5" x14ac:dyDescent="0.2">
      <c r="A456" s="7">
        <v>10418</v>
      </c>
      <c r="B456" s="8">
        <v>47</v>
      </c>
      <c r="C456" s="8">
        <v>7.6</v>
      </c>
      <c r="D456" s="8">
        <v>55</v>
      </c>
      <c r="E456" s="8">
        <v>0</v>
      </c>
    </row>
    <row r="457" spans="1:5" x14ac:dyDescent="0.2">
      <c r="A457" s="7">
        <v>10418</v>
      </c>
      <c r="B457" s="8">
        <v>61</v>
      </c>
      <c r="C457" s="8">
        <v>22.8</v>
      </c>
      <c r="D457" s="8">
        <v>16</v>
      </c>
      <c r="E457" s="8">
        <v>0</v>
      </c>
    </row>
    <row r="458" spans="1:5" x14ac:dyDescent="0.2">
      <c r="A458" s="7">
        <v>10418</v>
      </c>
      <c r="B458" s="8">
        <v>74</v>
      </c>
      <c r="C458" s="8">
        <v>8</v>
      </c>
      <c r="D458" s="8">
        <v>15</v>
      </c>
      <c r="E458" s="8">
        <v>0</v>
      </c>
    </row>
    <row r="459" spans="1:5" x14ac:dyDescent="0.2">
      <c r="A459" s="7">
        <v>10419</v>
      </c>
      <c r="B459" s="8">
        <v>60</v>
      </c>
      <c r="C459" s="8">
        <v>27.2</v>
      </c>
      <c r="D459" s="8">
        <v>60</v>
      </c>
      <c r="E459" s="8">
        <v>0.05</v>
      </c>
    </row>
    <row r="460" spans="1:5" x14ac:dyDescent="0.2">
      <c r="A460" s="7">
        <v>10419</v>
      </c>
      <c r="B460" s="8">
        <v>69</v>
      </c>
      <c r="C460" s="8">
        <v>28.8</v>
      </c>
      <c r="D460" s="8">
        <v>20</v>
      </c>
      <c r="E460" s="8">
        <v>0.05</v>
      </c>
    </row>
    <row r="461" spans="1:5" x14ac:dyDescent="0.2">
      <c r="A461" s="7">
        <v>10420</v>
      </c>
      <c r="B461" s="8">
        <v>9</v>
      </c>
      <c r="C461" s="8">
        <v>77.599999999999994</v>
      </c>
      <c r="D461" s="8">
        <v>20</v>
      </c>
      <c r="E461" s="8">
        <v>0.1</v>
      </c>
    </row>
    <row r="462" spans="1:5" x14ac:dyDescent="0.2">
      <c r="A462" s="7">
        <v>10420</v>
      </c>
      <c r="B462" s="8">
        <v>13</v>
      </c>
      <c r="C462" s="8">
        <v>4.8</v>
      </c>
      <c r="D462" s="8">
        <v>2</v>
      </c>
      <c r="E462" s="8">
        <v>0.1</v>
      </c>
    </row>
    <row r="463" spans="1:5" x14ac:dyDescent="0.2">
      <c r="A463" s="7">
        <v>10420</v>
      </c>
      <c r="B463" s="8">
        <v>70</v>
      </c>
      <c r="C463" s="8">
        <v>12</v>
      </c>
      <c r="D463" s="8">
        <v>8</v>
      </c>
      <c r="E463" s="8">
        <v>0.1</v>
      </c>
    </row>
    <row r="464" spans="1:5" x14ac:dyDescent="0.2">
      <c r="A464" s="7">
        <v>10420</v>
      </c>
      <c r="B464" s="8">
        <v>73</v>
      </c>
      <c r="C464" s="8">
        <v>12</v>
      </c>
      <c r="D464" s="8">
        <v>20</v>
      </c>
      <c r="E464" s="8">
        <v>0.1</v>
      </c>
    </row>
    <row r="465" spans="1:5" x14ac:dyDescent="0.2">
      <c r="A465" s="7">
        <v>10421</v>
      </c>
      <c r="B465" s="8">
        <v>19</v>
      </c>
      <c r="C465" s="8">
        <v>7.3</v>
      </c>
      <c r="D465" s="8">
        <v>4</v>
      </c>
      <c r="E465" s="8">
        <v>0.15</v>
      </c>
    </row>
    <row r="466" spans="1:5" x14ac:dyDescent="0.2">
      <c r="A466" s="7">
        <v>10421</v>
      </c>
      <c r="B466" s="8">
        <v>26</v>
      </c>
      <c r="C466" s="8">
        <v>24.9</v>
      </c>
      <c r="D466" s="8">
        <v>30</v>
      </c>
      <c r="E466" s="8">
        <v>0</v>
      </c>
    </row>
    <row r="467" spans="1:5" x14ac:dyDescent="0.2">
      <c r="A467" s="7">
        <v>10421</v>
      </c>
      <c r="B467" s="8">
        <v>53</v>
      </c>
      <c r="C467" s="8">
        <v>26.2</v>
      </c>
      <c r="D467" s="8">
        <v>15</v>
      </c>
      <c r="E467" s="8">
        <v>0.15</v>
      </c>
    </row>
    <row r="468" spans="1:5" x14ac:dyDescent="0.2">
      <c r="A468" s="7">
        <v>10421</v>
      </c>
      <c r="B468" s="8">
        <v>77</v>
      </c>
      <c r="C468" s="8">
        <v>10.4</v>
      </c>
      <c r="D468" s="8">
        <v>10</v>
      </c>
      <c r="E468" s="8">
        <v>0.15</v>
      </c>
    </row>
    <row r="469" spans="1:5" x14ac:dyDescent="0.2">
      <c r="A469" s="7">
        <v>10422</v>
      </c>
      <c r="B469" s="8">
        <v>26</v>
      </c>
      <c r="C469" s="8">
        <v>24.9</v>
      </c>
      <c r="D469" s="8">
        <v>2</v>
      </c>
      <c r="E469" s="8">
        <v>0</v>
      </c>
    </row>
    <row r="470" spans="1:5" x14ac:dyDescent="0.2">
      <c r="A470" s="7">
        <v>10423</v>
      </c>
      <c r="B470" s="8">
        <v>31</v>
      </c>
      <c r="C470" s="8">
        <v>10</v>
      </c>
      <c r="D470" s="8">
        <v>14</v>
      </c>
      <c r="E470" s="8">
        <v>0</v>
      </c>
    </row>
    <row r="471" spans="1:5" x14ac:dyDescent="0.2">
      <c r="A471" s="7">
        <v>10423</v>
      </c>
      <c r="B471" s="8">
        <v>59</v>
      </c>
      <c r="C471" s="8">
        <v>44</v>
      </c>
      <c r="D471" s="8">
        <v>20</v>
      </c>
      <c r="E471" s="8">
        <v>0</v>
      </c>
    </row>
    <row r="472" spans="1:5" x14ac:dyDescent="0.2">
      <c r="A472" s="7">
        <v>10424</v>
      </c>
      <c r="B472" s="8">
        <v>35</v>
      </c>
      <c r="C472" s="8">
        <v>14.4</v>
      </c>
      <c r="D472" s="8">
        <v>60</v>
      </c>
      <c r="E472" s="8">
        <v>0.2</v>
      </c>
    </row>
    <row r="473" spans="1:5" x14ac:dyDescent="0.2">
      <c r="A473" s="7">
        <v>10424</v>
      </c>
      <c r="B473" s="8">
        <v>38</v>
      </c>
      <c r="C473" s="8">
        <v>210.8</v>
      </c>
      <c r="D473" s="8">
        <v>49</v>
      </c>
      <c r="E473" s="8">
        <v>0.2</v>
      </c>
    </row>
    <row r="474" spans="1:5" x14ac:dyDescent="0.2">
      <c r="A474" s="7">
        <v>10424</v>
      </c>
      <c r="B474" s="8">
        <v>68</v>
      </c>
      <c r="C474" s="8">
        <v>10</v>
      </c>
      <c r="D474" s="8">
        <v>30</v>
      </c>
      <c r="E474" s="8">
        <v>0.2</v>
      </c>
    </row>
    <row r="475" spans="1:5" x14ac:dyDescent="0.2">
      <c r="A475" s="7">
        <v>10425</v>
      </c>
      <c r="B475" s="8">
        <v>55</v>
      </c>
      <c r="C475" s="8">
        <v>19.2</v>
      </c>
      <c r="D475" s="8">
        <v>10</v>
      </c>
      <c r="E475" s="8">
        <v>0.25</v>
      </c>
    </row>
    <row r="476" spans="1:5" x14ac:dyDescent="0.2">
      <c r="A476" s="7">
        <v>10425</v>
      </c>
      <c r="B476" s="8">
        <v>76</v>
      </c>
      <c r="C476" s="8">
        <v>14.4</v>
      </c>
      <c r="D476" s="8">
        <v>20</v>
      </c>
      <c r="E476" s="8">
        <v>0.25</v>
      </c>
    </row>
    <row r="477" spans="1:5" x14ac:dyDescent="0.2">
      <c r="A477" s="7">
        <v>10426</v>
      </c>
      <c r="B477" s="8">
        <v>56</v>
      </c>
      <c r="C477" s="8">
        <v>30.4</v>
      </c>
      <c r="D477" s="8">
        <v>5</v>
      </c>
      <c r="E477" s="8">
        <v>0</v>
      </c>
    </row>
    <row r="478" spans="1:5" x14ac:dyDescent="0.2">
      <c r="A478" s="7">
        <v>10426</v>
      </c>
      <c r="B478" s="8">
        <v>64</v>
      </c>
      <c r="C478" s="8">
        <v>26.6</v>
      </c>
      <c r="D478" s="8">
        <v>7</v>
      </c>
      <c r="E478" s="8">
        <v>0</v>
      </c>
    </row>
    <row r="479" spans="1:5" x14ac:dyDescent="0.2">
      <c r="A479" s="7">
        <v>10427</v>
      </c>
      <c r="B479" s="8">
        <v>14</v>
      </c>
      <c r="C479" s="8">
        <v>18.600000000000001</v>
      </c>
      <c r="D479" s="8">
        <v>35</v>
      </c>
      <c r="E479" s="8">
        <v>0</v>
      </c>
    </row>
    <row r="480" spans="1:5" x14ac:dyDescent="0.2">
      <c r="A480" s="7">
        <v>10428</v>
      </c>
      <c r="B480" s="8">
        <v>46</v>
      </c>
      <c r="C480" s="8">
        <v>9.6</v>
      </c>
      <c r="D480" s="8">
        <v>20</v>
      </c>
      <c r="E480" s="8">
        <v>0</v>
      </c>
    </row>
    <row r="481" spans="1:5" x14ac:dyDescent="0.2">
      <c r="A481" s="7">
        <v>10429</v>
      </c>
      <c r="B481" s="8">
        <v>50</v>
      </c>
      <c r="C481" s="8">
        <v>13</v>
      </c>
      <c r="D481" s="8">
        <v>40</v>
      </c>
      <c r="E481" s="8">
        <v>0</v>
      </c>
    </row>
    <row r="482" spans="1:5" x14ac:dyDescent="0.2">
      <c r="A482" s="7">
        <v>10429</v>
      </c>
      <c r="B482" s="8">
        <v>63</v>
      </c>
      <c r="C482" s="8">
        <v>35.1</v>
      </c>
      <c r="D482" s="8">
        <v>35</v>
      </c>
      <c r="E482" s="8">
        <v>0.25</v>
      </c>
    </row>
    <row r="483" spans="1:5" x14ac:dyDescent="0.2">
      <c r="A483" s="7">
        <v>10430</v>
      </c>
      <c r="B483" s="8">
        <v>17</v>
      </c>
      <c r="C483" s="8">
        <v>31.2</v>
      </c>
      <c r="D483" s="8">
        <v>45</v>
      </c>
      <c r="E483" s="8">
        <v>0.2</v>
      </c>
    </row>
    <row r="484" spans="1:5" x14ac:dyDescent="0.2">
      <c r="A484" s="7">
        <v>10430</v>
      </c>
      <c r="B484" s="8">
        <v>21</v>
      </c>
      <c r="C484" s="8">
        <v>8</v>
      </c>
      <c r="D484" s="8">
        <v>50</v>
      </c>
      <c r="E484" s="8">
        <v>0</v>
      </c>
    </row>
    <row r="485" spans="1:5" x14ac:dyDescent="0.2">
      <c r="A485" s="7">
        <v>10430</v>
      </c>
      <c r="B485" s="8">
        <v>56</v>
      </c>
      <c r="C485" s="8">
        <v>30.4</v>
      </c>
      <c r="D485" s="8">
        <v>30</v>
      </c>
      <c r="E485" s="8">
        <v>0</v>
      </c>
    </row>
    <row r="486" spans="1:5" x14ac:dyDescent="0.2">
      <c r="A486" s="7">
        <v>10430</v>
      </c>
      <c r="B486" s="8">
        <v>59</v>
      </c>
      <c r="C486" s="8">
        <v>44</v>
      </c>
      <c r="D486" s="8">
        <v>70</v>
      </c>
      <c r="E486" s="8">
        <v>0.2</v>
      </c>
    </row>
    <row r="487" spans="1:5" x14ac:dyDescent="0.2">
      <c r="A487" s="7">
        <v>10431</v>
      </c>
      <c r="B487" s="8">
        <v>17</v>
      </c>
      <c r="C487" s="8">
        <v>31.2</v>
      </c>
      <c r="D487" s="8">
        <v>50</v>
      </c>
      <c r="E487" s="8">
        <v>0.25</v>
      </c>
    </row>
    <row r="488" spans="1:5" x14ac:dyDescent="0.2">
      <c r="A488" s="7">
        <v>10431</v>
      </c>
      <c r="B488" s="8">
        <v>40</v>
      </c>
      <c r="C488" s="8">
        <v>14.7</v>
      </c>
      <c r="D488" s="8">
        <v>50</v>
      </c>
      <c r="E488" s="8">
        <v>0.25</v>
      </c>
    </row>
    <row r="489" spans="1:5" x14ac:dyDescent="0.2">
      <c r="A489" s="7">
        <v>10431</v>
      </c>
      <c r="B489" s="8">
        <v>47</v>
      </c>
      <c r="C489" s="8">
        <v>7.6</v>
      </c>
      <c r="D489" s="8">
        <v>30</v>
      </c>
      <c r="E489" s="8">
        <v>0.25</v>
      </c>
    </row>
    <row r="490" spans="1:5" x14ac:dyDescent="0.2">
      <c r="A490" s="7">
        <v>10432</v>
      </c>
      <c r="B490" s="8">
        <v>26</v>
      </c>
      <c r="C490" s="8">
        <v>24.9</v>
      </c>
      <c r="D490" s="8">
        <v>10</v>
      </c>
      <c r="E490" s="8">
        <v>0</v>
      </c>
    </row>
    <row r="491" spans="1:5" x14ac:dyDescent="0.2">
      <c r="A491" s="7">
        <v>10432</v>
      </c>
      <c r="B491" s="8">
        <v>54</v>
      </c>
      <c r="C491" s="8">
        <v>5.9</v>
      </c>
      <c r="D491" s="8">
        <v>40</v>
      </c>
      <c r="E491" s="8">
        <v>0</v>
      </c>
    </row>
    <row r="492" spans="1:5" x14ac:dyDescent="0.2">
      <c r="A492" s="7">
        <v>10433</v>
      </c>
      <c r="B492" s="8">
        <v>56</v>
      </c>
      <c r="C492" s="8">
        <v>30.4</v>
      </c>
      <c r="D492" s="8">
        <v>28</v>
      </c>
      <c r="E492" s="8">
        <v>0</v>
      </c>
    </row>
    <row r="493" spans="1:5" x14ac:dyDescent="0.2">
      <c r="A493" s="7">
        <v>10434</v>
      </c>
      <c r="B493" s="8">
        <v>11</v>
      </c>
      <c r="C493" s="8">
        <v>16.8</v>
      </c>
      <c r="D493" s="8">
        <v>6</v>
      </c>
      <c r="E493" s="8">
        <v>0</v>
      </c>
    </row>
    <row r="494" spans="1:5" x14ac:dyDescent="0.2">
      <c r="A494" s="7">
        <v>10434</v>
      </c>
      <c r="B494" s="8">
        <v>76</v>
      </c>
      <c r="C494" s="8">
        <v>14.4</v>
      </c>
      <c r="D494" s="8">
        <v>18</v>
      </c>
      <c r="E494" s="8">
        <v>0.15</v>
      </c>
    </row>
    <row r="495" spans="1:5" x14ac:dyDescent="0.2">
      <c r="A495" s="7">
        <v>10435</v>
      </c>
      <c r="B495" s="8">
        <v>2</v>
      </c>
      <c r="C495" s="8">
        <v>15.2</v>
      </c>
      <c r="D495" s="8">
        <v>10</v>
      </c>
      <c r="E495" s="8">
        <v>0</v>
      </c>
    </row>
    <row r="496" spans="1:5" x14ac:dyDescent="0.2">
      <c r="A496" s="7">
        <v>10435</v>
      </c>
      <c r="B496" s="8">
        <v>22</v>
      </c>
      <c r="C496" s="8">
        <v>16.8</v>
      </c>
      <c r="D496" s="8">
        <v>12</v>
      </c>
      <c r="E496" s="8">
        <v>0</v>
      </c>
    </row>
    <row r="497" spans="1:5" x14ac:dyDescent="0.2">
      <c r="A497" s="7">
        <v>10435</v>
      </c>
      <c r="B497" s="8">
        <v>72</v>
      </c>
      <c r="C497" s="8">
        <v>27.8</v>
      </c>
      <c r="D497" s="8">
        <v>10</v>
      </c>
      <c r="E497" s="8">
        <v>0</v>
      </c>
    </row>
    <row r="498" spans="1:5" x14ac:dyDescent="0.2">
      <c r="A498" s="7">
        <v>10436</v>
      </c>
      <c r="B498" s="8">
        <v>46</v>
      </c>
      <c r="C498" s="8">
        <v>9.6</v>
      </c>
      <c r="D498" s="8">
        <v>5</v>
      </c>
      <c r="E498" s="8">
        <v>0</v>
      </c>
    </row>
    <row r="499" spans="1:5" x14ac:dyDescent="0.2">
      <c r="A499" s="7">
        <v>10436</v>
      </c>
      <c r="B499" s="8">
        <v>56</v>
      </c>
      <c r="C499" s="8">
        <v>30.4</v>
      </c>
      <c r="D499" s="8">
        <v>40</v>
      </c>
      <c r="E499" s="8">
        <v>0.1</v>
      </c>
    </row>
    <row r="500" spans="1:5" x14ac:dyDescent="0.2">
      <c r="A500" s="7">
        <v>10436</v>
      </c>
      <c r="B500" s="8">
        <v>64</v>
      </c>
      <c r="C500" s="8">
        <v>26.6</v>
      </c>
      <c r="D500" s="8">
        <v>30</v>
      </c>
      <c r="E500" s="8">
        <v>0.1</v>
      </c>
    </row>
    <row r="501" spans="1:5" x14ac:dyDescent="0.2">
      <c r="A501" s="7">
        <v>10436</v>
      </c>
      <c r="B501" s="8">
        <v>75</v>
      </c>
      <c r="C501" s="8">
        <v>6.2</v>
      </c>
      <c r="D501" s="8">
        <v>24</v>
      </c>
      <c r="E501" s="8">
        <v>0.1</v>
      </c>
    </row>
    <row r="502" spans="1:5" x14ac:dyDescent="0.2">
      <c r="A502" s="7">
        <v>10437</v>
      </c>
      <c r="B502" s="8">
        <v>53</v>
      </c>
      <c r="C502" s="8">
        <v>26.2</v>
      </c>
      <c r="D502" s="8">
        <v>15</v>
      </c>
      <c r="E502" s="8">
        <v>0</v>
      </c>
    </row>
    <row r="503" spans="1:5" x14ac:dyDescent="0.2">
      <c r="A503" s="7">
        <v>10438</v>
      </c>
      <c r="B503" s="8">
        <v>19</v>
      </c>
      <c r="C503" s="8">
        <v>7.3</v>
      </c>
      <c r="D503" s="8">
        <v>15</v>
      </c>
      <c r="E503" s="8">
        <v>0.2</v>
      </c>
    </row>
    <row r="504" spans="1:5" x14ac:dyDescent="0.2">
      <c r="A504" s="7">
        <v>10438</v>
      </c>
      <c r="B504" s="8">
        <v>34</v>
      </c>
      <c r="C504" s="8">
        <v>11.2</v>
      </c>
      <c r="D504" s="8">
        <v>20</v>
      </c>
      <c r="E504" s="8">
        <v>0.2</v>
      </c>
    </row>
    <row r="505" spans="1:5" x14ac:dyDescent="0.2">
      <c r="A505" s="7">
        <v>10438</v>
      </c>
      <c r="B505" s="8">
        <v>57</v>
      </c>
      <c r="C505" s="8">
        <v>15.6</v>
      </c>
      <c r="D505" s="8">
        <v>15</v>
      </c>
      <c r="E505" s="8">
        <v>0.2</v>
      </c>
    </row>
    <row r="506" spans="1:5" x14ac:dyDescent="0.2">
      <c r="A506" s="7">
        <v>10439</v>
      </c>
      <c r="B506" s="8">
        <v>12</v>
      </c>
      <c r="C506" s="8">
        <v>30.4</v>
      </c>
      <c r="D506" s="8">
        <v>15</v>
      </c>
      <c r="E506" s="8">
        <v>0</v>
      </c>
    </row>
    <row r="507" spans="1:5" x14ac:dyDescent="0.2">
      <c r="A507" s="7">
        <v>10439</v>
      </c>
      <c r="B507" s="8">
        <v>16</v>
      </c>
      <c r="C507" s="8">
        <v>13.9</v>
      </c>
      <c r="D507" s="8">
        <v>16</v>
      </c>
      <c r="E507" s="8">
        <v>0</v>
      </c>
    </row>
    <row r="508" spans="1:5" x14ac:dyDescent="0.2">
      <c r="A508" s="7">
        <v>10439</v>
      </c>
      <c r="B508" s="8">
        <v>64</v>
      </c>
      <c r="C508" s="8">
        <v>26.6</v>
      </c>
      <c r="D508" s="8">
        <v>6</v>
      </c>
      <c r="E508" s="8">
        <v>0</v>
      </c>
    </row>
    <row r="509" spans="1:5" x14ac:dyDescent="0.2">
      <c r="A509" s="7">
        <v>10439</v>
      </c>
      <c r="B509" s="8">
        <v>74</v>
      </c>
      <c r="C509" s="8">
        <v>8</v>
      </c>
      <c r="D509" s="8">
        <v>30</v>
      </c>
      <c r="E509" s="8">
        <v>0</v>
      </c>
    </row>
    <row r="510" spans="1:5" x14ac:dyDescent="0.2">
      <c r="A510" s="7">
        <v>10440</v>
      </c>
      <c r="B510" s="8">
        <v>2</v>
      </c>
      <c r="C510" s="8">
        <v>15.2</v>
      </c>
      <c r="D510" s="8">
        <v>45</v>
      </c>
      <c r="E510" s="8">
        <v>0.15</v>
      </c>
    </row>
    <row r="511" spans="1:5" x14ac:dyDescent="0.2">
      <c r="A511" s="7">
        <v>10440</v>
      </c>
      <c r="B511" s="8">
        <v>16</v>
      </c>
      <c r="C511" s="8">
        <v>13.9</v>
      </c>
      <c r="D511" s="8">
        <v>49</v>
      </c>
      <c r="E511" s="8">
        <v>0.15</v>
      </c>
    </row>
    <row r="512" spans="1:5" x14ac:dyDescent="0.2">
      <c r="A512" s="7">
        <v>10440</v>
      </c>
      <c r="B512" s="8">
        <v>29</v>
      </c>
      <c r="C512" s="8">
        <v>99</v>
      </c>
      <c r="D512" s="8">
        <v>24</v>
      </c>
      <c r="E512" s="8">
        <v>0.15</v>
      </c>
    </row>
    <row r="513" spans="1:5" x14ac:dyDescent="0.2">
      <c r="A513" s="7">
        <v>10440</v>
      </c>
      <c r="B513" s="8">
        <v>61</v>
      </c>
      <c r="C513" s="8">
        <v>22.8</v>
      </c>
      <c r="D513" s="8">
        <v>90</v>
      </c>
      <c r="E513" s="8">
        <v>0.15</v>
      </c>
    </row>
    <row r="514" spans="1:5" x14ac:dyDescent="0.2">
      <c r="A514" s="7">
        <v>10441</v>
      </c>
      <c r="B514" s="8">
        <v>27</v>
      </c>
      <c r="C514" s="8">
        <v>35.1</v>
      </c>
      <c r="D514" s="8">
        <v>50</v>
      </c>
      <c r="E514" s="8">
        <v>0</v>
      </c>
    </row>
    <row r="515" spans="1:5" x14ac:dyDescent="0.2">
      <c r="A515" s="7">
        <v>10442</v>
      </c>
      <c r="B515" s="8">
        <v>11</v>
      </c>
      <c r="C515" s="8">
        <v>16.8</v>
      </c>
      <c r="D515" s="8">
        <v>30</v>
      </c>
      <c r="E515" s="8">
        <v>0</v>
      </c>
    </row>
    <row r="516" spans="1:5" x14ac:dyDescent="0.2">
      <c r="A516" s="7">
        <v>10442</v>
      </c>
      <c r="B516" s="8">
        <v>54</v>
      </c>
      <c r="C516" s="8">
        <v>5.9</v>
      </c>
      <c r="D516" s="8">
        <v>80</v>
      </c>
      <c r="E516" s="8">
        <v>0</v>
      </c>
    </row>
    <row r="517" spans="1:5" x14ac:dyDescent="0.2">
      <c r="A517" s="7">
        <v>10442</v>
      </c>
      <c r="B517" s="8">
        <v>66</v>
      </c>
      <c r="C517" s="8">
        <v>13.6</v>
      </c>
      <c r="D517" s="8">
        <v>60</v>
      </c>
      <c r="E517" s="8">
        <v>0</v>
      </c>
    </row>
    <row r="518" spans="1:5" x14ac:dyDescent="0.2">
      <c r="A518" s="7">
        <v>10443</v>
      </c>
      <c r="B518" s="8">
        <v>11</v>
      </c>
      <c r="C518" s="8">
        <v>16.8</v>
      </c>
      <c r="D518" s="8">
        <v>6</v>
      </c>
      <c r="E518" s="8">
        <v>0.2</v>
      </c>
    </row>
    <row r="519" spans="1:5" x14ac:dyDescent="0.2">
      <c r="A519" s="7">
        <v>10443</v>
      </c>
      <c r="B519" s="8">
        <v>28</v>
      </c>
      <c r="C519" s="8">
        <v>36.4</v>
      </c>
      <c r="D519" s="8">
        <v>12</v>
      </c>
      <c r="E519" s="8">
        <v>0</v>
      </c>
    </row>
    <row r="520" spans="1:5" x14ac:dyDescent="0.2">
      <c r="A520" s="7">
        <v>10444</v>
      </c>
      <c r="B520" s="8">
        <v>17</v>
      </c>
      <c r="C520" s="8">
        <v>31.2</v>
      </c>
      <c r="D520" s="8">
        <v>10</v>
      </c>
      <c r="E520" s="8">
        <v>0</v>
      </c>
    </row>
    <row r="521" spans="1:5" x14ac:dyDescent="0.2">
      <c r="A521" s="7">
        <v>10444</v>
      </c>
      <c r="B521" s="8">
        <v>26</v>
      </c>
      <c r="C521" s="8">
        <v>24.9</v>
      </c>
      <c r="D521" s="8">
        <v>15</v>
      </c>
      <c r="E521" s="8">
        <v>0</v>
      </c>
    </row>
    <row r="522" spans="1:5" x14ac:dyDescent="0.2">
      <c r="A522" s="7">
        <v>10444</v>
      </c>
      <c r="B522" s="8">
        <v>35</v>
      </c>
      <c r="C522" s="8">
        <v>14.4</v>
      </c>
      <c r="D522" s="8">
        <v>8</v>
      </c>
      <c r="E522" s="8">
        <v>0</v>
      </c>
    </row>
    <row r="523" spans="1:5" x14ac:dyDescent="0.2">
      <c r="A523" s="7">
        <v>10444</v>
      </c>
      <c r="B523" s="8">
        <v>41</v>
      </c>
      <c r="C523" s="8">
        <v>7.7</v>
      </c>
      <c r="D523" s="8">
        <v>30</v>
      </c>
      <c r="E523" s="8">
        <v>0</v>
      </c>
    </row>
    <row r="524" spans="1:5" x14ac:dyDescent="0.2">
      <c r="A524" s="7">
        <v>10445</v>
      </c>
      <c r="B524" s="8">
        <v>39</v>
      </c>
      <c r="C524" s="8">
        <v>14.4</v>
      </c>
      <c r="D524" s="8">
        <v>6</v>
      </c>
      <c r="E524" s="8">
        <v>0</v>
      </c>
    </row>
    <row r="525" spans="1:5" x14ac:dyDescent="0.2">
      <c r="A525" s="7">
        <v>10445</v>
      </c>
      <c r="B525" s="8">
        <v>54</v>
      </c>
      <c r="C525" s="8">
        <v>5.9</v>
      </c>
      <c r="D525" s="8">
        <v>15</v>
      </c>
      <c r="E525" s="8">
        <v>0</v>
      </c>
    </row>
    <row r="526" spans="1:5" x14ac:dyDescent="0.2">
      <c r="A526" s="7">
        <v>10446</v>
      </c>
      <c r="B526" s="8">
        <v>19</v>
      </c>
      <c r="C526" s="8">
        <v>7.3</v>
      </c>
      <c r="D526" s="8">
        <v>12</v>
      </c>
      <c r="E526" s="8">
        <v>0.1</v>
      </c>
    </row>
    <row r="527" spans="1:5" x14ac:dyDescent="0.2">
      <c r="A527" s="7">
        <v>10446</v>
      </c>
      <c r="B527" s="8">
        <v>24</v>
      </c>
      <c r="C527" s="8">
        <v>3.6</v>
      </c>
      <c r="D527" s="8">
        <v>20</v>
      </c>
      <c r="E527" s="8">
        <v>0.1</v>
      </c>
    </row>
    <row r="528" spans="1:5" x14ac:dyDescent="0.2">
      <c r="A528" s="7">
        <v>10446</v>
      </c>
      <c r="B528" s="8">
        <v>31</v>
      </c>
      <c r="C528" s="8">
        <v>10</v>
      </c>
      <c r="D528" s="8">
        <v>3</v>
      </c>
      <c r="E528" s="8">
        <v>0.1</v>
      </c>
    </row>
    <row r="529" spans="1:5" x14ac:dyDescent="0.2">
      <c r="A529" s="7">
        <v>10446</v>
      </c>
      <c r="B529" s="8">
        <v>52</v>
      </c>
      <c r="C529" s="8">
        <v>5.6</v>
      </c>
      <c r="D529" s="8">
        <v>15</v>
      </c>
      <c r="E529" s="8">
        <v>0.1</v>
      </c>
    </row>
    <row r="530" spans="1:5" x14ac:dyDescent="0.2">
      <c r="A530" s="7">
        <v>10447</v>
      </c>
      <c r="B530" s="8">
        <v>19</v>
      </c>
      <c r="C530" s="8">
        <v>7.3</v>
      </c>
      <c r="D530" s="8">
        <v>40</v>
      </c>
      <c r="E530" s="8">
        <v>0</v>
      </c>
    </row>
    <row r="531" spans="1:5" x14ac:dyDescent="0.2">
      <c r="A531" s="7">
        <v>10447</v>
      </c>
      <c r="B531" s="8">
        <v>65</v>
      </c>
      <c r="C531" s="8">
        <v>16.8</v>
      </c>
      <c r="D531" s="8">
        <v>35</v>
      </c>
      <c r="E531" s="8">
        <v>0</v>
      </c>
    </row>
    <row r="532" spans="1:5" x14ac:dyDescent="0.2">
      <c r="A532" s="7">
        <v>10447</v>
      </c>
      <c r="B532" s="8">
        <v>71</v>
      </c>
      <c r="C532" s="8">
        <v>17.2</v>
      </c>
      <c r="D532" s="8">
        <v>2</v>
      </c>
      <c r="E532" s="8">
        <v>0</v>
      </c>
    </row>
    <row r="533" spans="1:5" x14ac:dyDescent="0.2">
      <c r="A533" s="7">
        <v>10448</v>
      </c>
      <c r="B533" s="8">
        <v>26</v>
      </c>
      <c r="C533" s="8">
        <v>24.9</v>
      </c>
      <c r="D533" s="8">
        <v>6</v>
      </c>
      <c r="E533" s="8">
        <v>0</v>
      </c>
    </row>
    <row r="534" spans="1:5" x14ac:dyDescent="0.2">
      <c r="A534" s="7">
        <v>10448</v>
      </c>
      <c r="B534" s="8">
        <v>40</v>
      </c>
      <c r="C534" s="8">
        <v>14.7</v>
      </c>
      <c r="D534" s="8">
        <v>20</v>
      </c>
      <c r="E534" s="8">
        <v>0</v>
      </c>
    </row>
    <row r="535" spans="1:5" x14ac:dyDescent="0.2">
      <c r="A535" s="7">
        <v>10449</v>
      </c>
      <c r="B535" s="8">
        <v>10</v>
      </c>
      <c r="C535" s="8">
        <v>24.8</v>
      </c>
      <c r="D535" s="8">
        <v>14</v>
      </c>
      <c r="E535" s="8">
        <v>0</v>
      </c>
    </row>
    <row r="536" spans="1:5" x14ac:dyDescent="0.2">
      <c r="A536" s="7">
        <v>10449</v>
      </c>
      <c r="B536" s="8">
        <v>52</v>
      </c>
      <c r="C536" s="8">
        <v>5.6</v>
      </c>
      <c r="D536" s="8">
        <v>20</v>
      </c>
      <c r="E536" s="8">
        <v>0</v>
      </c>
    </row>
    <row r="537" spans="1:5" x14ac:dyDescent="0.2">
      <c r="A537" s="7">
        <v>10449</v>
      </c>
      <c r="B537" s="8">
        <v>62</v>
      </c>
      <c r="C537" s="8">
        <v>39.4</v>
      </c>
      <c r="D537" s="8">
        <v>35</v>
      </c>
      <c r="E537" s="8">
        <v>0</v>
      </c>
    </row>
    <row r="538" spans="1:5" x14ac:dyDescent="0.2">
      <c r="A538" s="7">
        <v>10450</v>
      </c>
      <c r="B538" s="8">
        <v>10</v>
      </c>
      <c r="C538" s="8">
        <v>24.8</v>
      </c>
      <c r="D538" s="8">
        <v>20</v>
      </c>
      <c r="E538" s="8">
        <v>0.2</v>
      </c>
    </row>
    <row r="539" spans="1:5" x14ac:dyDescent="0.2">
      <c r="A539" s="7">
        <v>10450</v>
      </c>
      <c r="B539" s="8">
        <v>54</v>
      </c>
      <c r="C539" s="8">
        <v>5.9</v>
      </c>
      <c r="D539" s="8">
        <v>6</v>
      </c>
      <c r="E539" s="8">
        <v>0.2</v>
      </c>
    </row>
    <row r="540" spans="1:5" x14ac:dyDescent="0.2">
      <c r="A540" s="7">
        <v>10451</v>
      </c>
      <c r="B540" s="8">
        <v>55</v>
      </c>
      <c r="C540" s="8">
        <v>19.2</v>
      </c>
      <c r="D540" s="8">
        <v>120</v>
      </c>
      <c r="E540" s="8">
        <v>0.1</v>
      </c>
    </row>
    <row r="541" spans="1:5" x14ac:dyDescent="0.2">
      <c r="A541" s="7">
        <v>10451</v>
      </c>
      <c r="B541" s="8">
        <v>64</v>
      </c>
      <c r="C541" s="8">
        <v>26.6</v>
      </c>
      <c r="D541" s="8">
        <v>35</v>
      </c>
      <c r="E541" s="8">
        <v>0.1</v>
      </c>
    </row>
    <row r="542" spans="1:5" x14ac:dyDescent="0.2">
      <c r="A542" s="7">
        <v>10451</v>
      </c>
      <c r="B542" s="8">
        <v>65</v>
      </c>
      <c r="C542" s="8">
        <v>16.8</v>
      </c>
      <c r="D542" s="8">
        <v>28</v>
      </c>
      <c r="E542" s="8">
        <v>0.1</v>
      </c>
    </row>
    <row r="543" spans="1:5" x14ac:dyDescent="0.2">
      <c r="A543" s="7">
        <v>10451</v>
      </c>
      <c r="B543" s="8">
        <v>77</v>
      </c>
      <c r="C543" s="8">
        <v>10.4</v>
      </c>
      <c r="D543" s="8">
        <v>55</v>
      </c>
      <c r="E543" s="8">
        <v>0.1</v>
      </c>
    </row>
    <row r="544" spans="1:5" x14ac:dyDescent="0.2">
      <c r="A544" s="7">
        <v>10452</v>
      </c>
      <c r="B544" s="8">
        <v>28</v>
      </c>
      <c r="C544" s="8">
        <v>36.4</v>
      </c>
      <c r="D544" s="8">
        <v>15</v>
      </c>
      <c r="E544" s="8">
        <v>0</v>
      </c>
    </row>
    <row r="545" spans="1:5" x14ac:dyDescent="0.2">
      <c r="A545" s="7">
        <v>10452</v>
      </c>
      <c r="B545" s="8">
        <v>44</v>
      </c>
      <c r="C545" s="8">
        <v>15.5</v>
      </c>
      <c r="D545" s="8">
        <v>100</v>
      </c>
      <c r="E545" s="8">
        <v>0.05</v>
      </c>
    </row>
    <row r="546" spans="1:5" x14ac:dyDescent="0.2">
      <c r="A546" s="7">
        <v>10453</v>
      </c>
      <c r="B546" s="8">
        <v>48</v>
      </c>
      <c r="C546" s="8">
        <v>10.199999999999999</v>
      </c>
      <c r="D546" s="8">
        <v>15</v>
      </c>
      <c r="E546" s="8">
        <v>0.1</v>
      </c>
    </row>
    <row r="547" spans="1:5" x14ac:dyDescent="0.2">
      <c r="A547" s="7">
        <v>10453</v>
      </c>
      <c r="B547" s="8">
        <v>70</v>
      </c>
      <c r="C547" s="8">
        <v>12</v>
      </c>
      <c r="D547" s="8">
        <v>25</v>
      </c>
      <c r="E547" s="8">
        <v>0.1</v>
      </c>
    </row>
    <row r="548" spans="1:5" x14ac:dyDescent="0.2">
      <c r="A548" s="7">
        <v>10454</v>
      </c>
      <c r="B548" s="8">
        <v>16</v>
      </c>
      <c r="C548" s="8">
        <v>13.9</v>
      </c>
      <c r="D548" s="8">
        <v>20</v>
      </c>
      <c r="E548" s="8">
        <v>0.2</v>
      </c>
    </row>
    <row r="549" spans="1:5" x14ac:dyDescent="0.2">
      <c r="A549" s="7">
        <v>10454</v>
      </c>
      <c r="B549" s="8">
        <v>33</v>
      </c>
      <c r="C549" s="8">
        <v>2</v>
      </c>
      <c r="D549" s="8">
        <v>20</v>
      </c>
      <c r="E549" s="8">
        <v>0.2</v>
      </c>
    </row>
    <row r="550" spans="1:5" x14ac:dyDescent="0.2">
      <c r="A550" s="7">
        <v>10454</v>
      </c>
      <c r="B550" s="8">
        <v>46</v>
      </c>
      <c r="C550" s="8">
        <v>9.6</v>
      </c>
      <c r="D550" s="8">
        <v>10</v>
      </c>
      <c r="E550" s="8">
        <v>0.2</v>
      </c>
    </row>
    <row r="551" spans="1:5" x14ac:dyDescent="0.2">
      <c r="A551" s="7">
        <v>10455</v>
      </c>
      <c r="B551" s="8">
        <v>39</v>
      </c>
      <c r="C551" s="8">
        <v>14.4</v>
      </c>
      <c r="D551" s="8">
        <v>20</v>
      </c>
      <c r="E551" s="8">
        <v>0</v>
      </c>
    </row>
    <row r="552" spans="1:5" x14ac:dyDescent="0.2">
      <c r="A552" s="7">
        <v>10455</v>
      </c>
      <c r="B552" s="8">
        <v>53</v>
      </c>
      <c r="C552" s="8">
        <v>26.2</v>
      </c>
      <c r="D552" s="8">
        <v>50</v>
      </c>
      <c r="E552" s="8">
        <v>0</v>
      </c>
    </row>
    <row r="553" spans="1:5" x14ac:dyDescent="0.2">
      <c r="A553" s="7">
        <v>10455</v>
      </c>
      <c r="B553" s="8">
        <v>61</v>
      </c>
      <c r="C553" s="8">
        <v>22.8</v>
      </c>
      <c r="D553" s="8">
        <v>25</v>
      </c>
      <c r="E553" s="8">
        <v>0</v>
      </c>
    </row>
    <row r="554" spans="1:5" x14ac:dyDescent="0.2">
      <c r="A554" s="7">
        <v>10455</v>
      </c>
      <c r="B554" s="8">
        <v>71</v>
      </c>
      <c r="C554" s="8">
        <v>17.2</v>
      </c>
      <c r="D554" s="8">
        <v>30</v>
      </c>
      <c r="E554" s="8">
        <v>0</v>
      </c>
    </row>
    <row r="555" spans="1:5" x14ac:dyDescent="0.2">
      <c r="A555" s="7">
        <v>10456</v>
      </c>
      <c r="B555" s="8">
        <v>21</v>
      </c>
      <c r="C555" s="8">
        <v>8</v>
      </c>
      <c r="D555" s="8">
        <v>40</v>
      </c>
      <c r="E555" s="8">
        <v>0.15</v>
      </c>
    </row>
    <row r="556" spans="1:5" x14ac:dyDescent="0.2">
      <c r="A556" s="7">
        <v>10456</v>
      </c>
      <c r="B556" s="8">
        <v>49</v>
      </c>
      <c r="C556" s="8">
        <v>16</v>
      </c>
      <c r="D556" s="8">
        <v>21</v>
      </c>
      <c r="E556" s="8">
        <v>0.15</v>
      </c>
    </row>
    <row r="557" spans="1:5" x14ac:dyDescent="0.2">
      <c r="A557" s="7">
        <v>10457</v>
      </c>
      <c r="B557" s="8">
        <v>59</v>
      </c>
      <c r="C557" s="8">
        <v>44</v>
      </c>
      <c r="D557" s="8">
        <v>36</v>
      </c>
      <c r="E557" s="8">
        <v>0</v>
      </c>
    </row>
    <row r="558" spans="1:5" x14ac:dyDescent="0.2">
      <c r="A558" s="7">
        <v>10458</v>
      </c>
      <c r="B558" s="8">
        <v>26</v>
      </c>
      <c r="C558" s="8">
        <v>24.9</v>
      </c>
      <c r="D558" s="8">
        <v>30</v>
      </c>
      <c r="E558" s="8">
        <v>0</v>
      </c>
    </row>
    <row r="559" spans="1:5" x14ac:dyDescent="0.2">
      <c r="A559" s="7">
        <v>10458</v>
      </c>
      <c r="B559" s="8">
        <v>28</v>
      </c>
      <c r="C559" s="8">
        <v>36.4</v>
      </c>
      <c r="D559" s="8">
        <v>30</v>
      </c>
      <c r="E559" s="8">
        <v>0</v>
      </c>
    </row>
    <row r="560" spans="1:5" x14ac:dyDescent="0.2">
      <c r="A560" s="7">
        <v>10458</v>
      </c>
      <c r="B560" s="8">
        <v>43</v>
      </c>
      <c r="C560" s="8">
        <v>36.799999999999997</v>
      </c>
      <c r="D560" s="8">
        <v>20</v>
      </c>
      <c r="E560" s="8">
        <v>0</v>
      </c>
    </row>
    <row r="561" spans="1:5" x14ac:dyDescent="0.2">
      <c r="A561" s="7">
        <v>10458</v>
      </c>
      <c r="B561" s="8">
        <v>56</v>
      </c>
      <c r="C561" s="8">
        <v>30.4</v>
      </c>
      <c r="D561" s="8">
        <v>15</v>
      </c>
      <c r="E561" s="8">
        <v>0</v>
      </c>
    </row>
    <row r="562" spans="1:5" x14ac:dyDescent="0.2">
      <c r="A562" s="7">
        <v>10458</v>
      </c>
      <c r="B562" s="8">
        <v>71</v>
      </c>
      <c r="C562" s="8">
        <v>17.2</v>
      </c>
      <c r="D562" s="8">
        <v>50</v>
      </c>
      <c r="E562" s="8">
        <v>0</v>
      </c>
    </row>
    <row r="563" spans="1:5" x14ac:dyDescent="0.2">
      <c r="A563" s="7">
        <v>10459</v>
      </c>
      <c r="B563" s="8">
        <v>7</v>
      </c>
      <c r="C563" s="8">
        <v>24</v>
      </c>
      <c r="D563" s="8">
        <v>16</v>
      </c>
      <c r="E563" s="8">
        <v>0.05</v>
      </c>
    </row>
    <row r="564" spans="1:5" x14ac:dyDescent="0.2">
      <c r="A564" s="7">
        <v>10459</v>
      </c>
      <c r="B564" s="8">
        <v>46</v>
      </c>
      <c r="C564" s="8">
        <v>9.6</v>
      </c>
      <c r="D564" s="8">
        <v>20</v>
      </c>
      <c r="E564" s="8">
        <v>0.05</v>
      </c>
    </row>
    <row r="565" spans="1:5" x14ac:dyDescent="0.2">
      <c r="A565" s="7">
        <v>10459</v>
      </c>
      <c r="B565" s="8">
        <v>72</v>
      </c>
      <c r="C565" s="8">
        <v>27.8</v>
      </c>
      <c r="D565" s="8">
        <v>40</v>
      </c>
      <c r="E565" s="8">
        <v>0</v>
      </c>
    </row>
    <row r="566" spans="1:5" x14ac:dyDescent="0.2">
      <c r="A566" s="7">
        <v>10460</v>
      </c>
      <c r="B566" s="8">
        <v>68</v>
      </c>
      <c r="C566" s="8">
        <v>10</v>
      </c>
      <c r="D566" s="8">
        <v>21</v>
      </c>
      <c r="E566" s="8">
        <v>0.25</v>
      </c>
    </row>
    <row r="567" spans="1:5" x14ac:dyDescent="0.2">
      <c r="A567" s="7">
        <v>10460</v>
      </c>
      <c r="B567" s="8">
        <v>75</v>
      </c>
      <c r="C567" s="8">
        <v>6.2</v>
      </c>
      <c r="D567" s="8">
        <v>4</v>
      </c>
      <c r="E567" s="8">
        <v>0.25</v>
      </c>
    </row>
    <row r="568" spans="1:5" x14ac:dyDescent="0.2">
      <c r="A568" s="7">
        <v>10461</v>
      </c>
      <c r="B568" s="8">
        <v>21</v>
      </c>
      <c r="C568" s="8">
        <v>8</v>
      </c>
      <c r="D568" s="8">
        <v>40</v>
      </c>
      <c r="E568" s="8">
        <v>0.25</v>
      </c>
    </row>
    <row r="569" spans="1:5" x14ac:dyDescent="0.2">
      <c r="A569" s="7">
        <v>10461</v>
      </c>
      <c r="B569" s="8">
        <v>30</v>
      </c>
      <c r="C569" s="8">
        <v>20.7</v>
      </c>
      <c r="D569" s="8">
        <v>28</v>
      </c>
      <c r="E569" s="8">
        <v>0.25</v>
      </c>
    </row>
    <row r="570" spans="1:5" x14ac:dyDescent="0.2">
      <c r="A570" s="7">
        <v>10461</v>
      </c>
      <c r="B570" s="8">
        <v>55</v>
      </c>
      <c r="C570" s="8">
        <v>19.2</v>
      </c>
      <c r="D570" s="8">
        <v>60</v>
      </c>
      <c r="E570" s="8">
        <v>0.25</v>
      </c>
    </row>
    <row r="571" spans="1:5" x14ac:dyDescent="0.2">
      <c r="A571" s="7">
        <v>10462</v>
      </c>
      <c r="B571" s="8">
        <v>13</v>
      </c>
      <c r="C571" s="8">
        <v>4.8</v>
      </c>
      <c r="D571" s="8">
        <v>1</v>
      </c>
      <c r="E571" s="8">
        <v>0</v>
      </c>
    </row>
    <row r="572" spans="1:5" x14ac:dyDescent="0.2">
      <c r="A572" s="7">
        <v>10462</v>
      </c>
      <c r="B572" s="8">
        <v>23</v>
      </c>
      <c r="C572" s="8">
        <v>7.2</v>
      </c>
      <c r="D572" s="8">
        <v>21</v>
      </c>
      <c r="E572" s="8">
        <v>0</v>
      </c>
    </row>
    <row r="573" spans="1:5" x14ac:dyDescent="0.2">
      <c r="A573" s="7">
        <v>10463</v>
      </c>
      <c r="B573" s="8">
        <v>19</v>
      </c>
      <c r="C573" s="8">
        <v>7.3</v>
      </c>
      <c r="D573" s="8">
        <v>21</v>
      </c>
      <c r="E573" s="8">
        <v>0</v>
      </c>
    </row>
    <row r="574" spans="1:5" x14ac:dyDescent="0.2">
      <c r="A574" s="7">
        <v>10463</v>
      </c>
      <c r="B574" s="8">
        <v>42</v>
      </c>
      <c r="C574" s="8">
        <v>11.2</v>
      </c>
      <c r="D574" s="8">
        <v>50</v>
      </c>
      <c r="E574" s="8">
        <v>0</v>
      </c>
    </row>
    <row r="575" spans="1:5" x14ac:dyDescent="0.2">
      <c r="A575" s="7">
        <v>10464</v>
      </c>
      <c r="B575" s="8">
        <v>4</v>
      </c>
      <c r="C575" s="8">
        <v>17.600000000000001</v>
      </c>
      <c r="D575" s="8">
        <v>16</v>
      </c>
      <c r="E575" s="8">
        <v>0.2</v>
      </c>
    </row>
    <row r="576" spans="1:5" x14ac:dyDescent="0.2">
      <c r="A576" s="7">
        <v>10464</v>
      </c>
      <c r="B576" s="8">
        <v>43</v>
      </c>
      <c r="C576" s="8">
        <v>36.799999999999997</v>
      </c>
      <c r="D576" s="8">
        <v>3</v>
      </c>
      <c r="E576" s="8">
        <v>0</v>
      </c>
    </row>
    <row r="577" spans="1:5" x14ac:dyDescent="0.2">
      <c r="A577" s="7">
        <v>10464</v>
      </c>
      <c r="B577" s="8">
        <v>56</v>
      </c>
      <c r="C577" s="8">
        <v>30.4</v>
      </c>
      <c r="D577" s="8">
        <v>30</v>
      </c>
      <c r="E577" s="8">
        <v>0.2</v>
      </c>
    </row>
    <row r="578" spans="1:5" x14ac:dyDescent="0.2">
      <c r="A578" s="7">
        <v>10464</v>
      </c>
      <c r="B578" s="8">
        <v>60</v>
      </c>
      <c r="C578" s="8">
        <v>27.2</v>
      </c>
      <c r="D578" s="8">
        <v>20</v>
      </c>
      <c r="E578" s="8">
        <v>0</v>
      </c>
    </row>
    <row r="579" spans="1:5" x14ac:dyDescent="0.2">
      <c r="A579" s="7">
        <v>10465</v>
      </c>
      <c r="B579" s="8">
        <v>24</v>
      </c>
      <c r="C579" s="8">
        <v>3.6</v>
      </c>
      <c r="D579" s="8">
        <v>25</v>
      </c>
      <c r="E579" s="8">
        <v>0</v>
      </c>
    </row>
    <row r="580" spans="1:5" x14ac:dyDescent="0.2">
      <c r="A580" s="7">
        <v>10465</v>
      </c>
      <c r="B580" s="8">
        <v>29</v>
      </c>
      <c r="C580" s="8">
        <v>99</v>
      </c>
      <c r="D580" s="8">
        <v>18</v>
      </c>
      <c r="E580" s="8">
        <v>0.1</v>
      </c>
    </row>
    <row r="581" spans="1:5" x14ac:dyDescent="0.2">
      <c r="A581" s="7">
        <v>10465</v>
      </c>
      <c r="B581" s="8">
        <v>40</v>
      </c>
      <c r="C581" s="8">
        <v>14.7</v>
      </c>
      <c r="D581" s="8">
        <v>20</v>
      </c>
      <c r="E581" s="8">
        <v>0</v>
      </c>
    </row>
    <row r="582" spans="1:5" x14ac:dyDescent="0.2">
      <c r="A582" s="7">
        <v>10465</v>
      </c>
      <c r="B582" s="8">
        <v>45</v>
      </c>
      <c r="C582" s="8">
        <v>7.6</v>
      </c>
      <c r="D582" s="8">
        <v>30</v>
      </c>
      <c r="E582" s="8">
        <v>0.1</v>
      </c>
    </row>
    <row r="583" spans="1:5" x14ac:dyDescent="0.2">
      <c r="A583" s="7">
        <v>10465</v>
      </c>
      <c r="B583" s="8">
        <v>50</v>
      </c>
      <c r="C583" s="8">
        <v>13</v>
      </c>
      <c r="D583" s="8">
        <v>25</v>
      </c>
      <c r="E583" s="8">
        <v>0</v>
      </c>
    </row>
    <row r="584" spans="1:5" x14ac:dyDescent="0.2">
      <c r="A584" s="7">
        <v>10466</v>
      </c>
      <c r="B584" s="8">
        <v>11</v>
      </c>
      <c r="C584" s="8">
        <v>16.8</v>
      </c>
      <c r="D584" s="8">
        <v>10</v>
      </c>
      <c r="E584" s="8">
        <v>0</v>
      </c>
    </row>
    <row r="585" spans="1:5" x14ac:dyDescent="0.2">
      <c r="A585" s="7">
        <v>10466</v>
      </c>
      <c r="B585" s="8">
        <v>46</v>
      </c>
      <c r="C585" s="8">
        <v>9.6</v>
      </c>
      <c r="D585" s="8">
        <v>5</v>
      </c>
      <c r="E585" s="8">
        <v>0</v>
      </c>
    </row>
    <row r="586" spans="1:5" x14ac:dyDescent="0.2">
      <c r="A586" s="7">
        <v>10467</v>
      </c>
      <c r="B586" s="8">
        <v>24</v>
      </c>
      <c r="C586" s="8">
        <v>3.6</v>
      </c>
      <c r="D586" s="8">
        <v>28</v>
      </c>
      <c r="E586" s="8">
        <v>0</v>
      </c>
    </row>
    <row r="587" spans="1:5" x14ac:dyDescent="0.2">
      <c r="A587" s="7">
        <v>10467</v>
      </c>
      <c r="B587" s="8">
        <v>25</v>
      </c>
      <c r="C587" s="8">
        <v>11.2</v>
      </c>
      <c r="D587" s="8">
        <v>12</v>
      </c>
      <c r="E587" s="8">
        <v>0</v>
      </c>
    </row>
    <row r="588" spans="1:5" x14ac:dyDescent="0.2">
      <c r="A588" s="7">
        <v>10468</v>
      </c>
      <c r="B588" s="8">
        <v>30</v>
      </c>
      <c r="C588" s="8">
        <v>20.7</v>
      </c>
      <c r="D588" s="8">
        <v>8</v>
      </c>
      <c r="E588" s="8">
        <v>0</v>
      </c>
    </row>
    <row r="589" spans="1:5" x14ac:dyDescent="0.2">
      <c r="A589" s="7">
        <v>10468</v>
      </c>
      <c r="B589" s="8">
        <v>43</v>
      </c>
      <c r="C589" s="8">
        <v>36.799999999999997</v>
      </c>
      <c r="D589" s="8">
        <v>15</v>
      </c>
      <c r="E589" s="8">
        <v>0</v>
      </c>
    </row>
    <row r="590" spans="1:5" x14ac:dyDescent="0.2">
      <c r="A590" s="7">
        <v>10469</v>
      </c>
      <c r="B590" s="8">
        <v>2</v>
      </c>
      <c r="C590" s="8">
        <v>15.2</v>
      </c>
      <c r="D590" s="8">
        <v>40</v>
      </c>
      <c r="E590" s="8">
        <v>0.15</v>
      </c>
    </row>
    <row r="591" spans="1:5" x14ac:dyDescent="0.2">
      <c r="A591" s="7">
        <v>10469</v>
      </c>
      <c r="B591" s="8">
        <v>16</v>
      </c>
      <c r="C591" s="8">
        <v>13.9</v>
      </c>
      <c r="D591" s="8">
        <v>35</v>
      </c>
      <c r="E591" s="8">
        <v>0.15</v>
      </c>
    </row>
    <row r="592" spans="1:5" x14ac:dyDescent="0.2">
      <c r="A592" s="7">
        <v>10469</v>
      </c>
      <c r="B592" s="8">
        <v>44</v>
      </c>
      <c r="C592" s="8">
        <v>15.5</v>
      </c>
      <c r="D592" s="8">
        <v>2</v>
      </c>
      <c r="E592" s="8">
        <v>0.15</v>
      </c>
    </row>
    <row r="593" spans="1:5" x14ac:dyDescent="0.2">
      <c r="A593" s="7">
        <v>10470</v>
      </c>
      <c r="B593" s="8">
        <v>18</v>
      </c>
      <c r="C593" s="8">
        <v>50</v>
      </c>
      <c r="D593" s="8">
        <v>30</v>
      </c>
      <c r="E593" s="8">
        <v>0</v>
      </c>
    </row>
    <row r="594" spans="1:5" x14ac:dyDescent="0.2">
      <c r="A594" s="7">
        <v>10470</v>
      </c>
      <c r="B594" s="8">
        <v>23</v>
      </c>
      <c r="C594" s="8">
        <v>7.2</v>
      </c>
      <c r="D594" s="8">
        <v>15</v>
      </c>
      <c r="E594" s="8">
        <v>0</v>
      </c>
    </row>
    <row r="595" spans="1:5" x14ac:dyDescent="0.2">
      <c r="A595" s="7">
        <v>10470</v>
      </c>
      <c r="B595" s="8">
        <v>64</v>
      </c>
      <c r="C595" s="8">
        <v>26.6</v>
      </c>
      <c r="D595" s="8">
        <v>8</v>
      </c>
      <c r="E595" s="8">
        <v>0</v>
      </c>
    </row>
    <row r="596" spans="1:5" x14ac:dyDescent="0.2">
      <c r="A596" s="7">
        <v>10471</v>
      </c>
      <c r="B596" s="8">
        <v>7</v>
      </c>
      <c r="C596" s="8">
        <v>24</v>
      </c>
      <c r="D596" s="8">
        <v>30</v>
      </c>
      <c r="E596" s="8">
        <v>0</v>
      </c>
    </row>
    <row r="597" spans="1:5" x14ac:dyDescent="0.2">
      <c r="A597" s="7">
        <v>10471</v>
      </c>
      <c r="B597" s="8">
        <v>56</v>
      </c>
      <c r="C597" s="8">
        <v>30.4</v>
      </c>
      <c r="D597" s="8">
        <v>20</v>
      </c>
      <c r="E597" s="8">
        <v>0</v>
      </c>
    </row>
    <row r="598" spans="1:5" x14ac:dyDescent="0.2">
      <c r="A598" s="7">
        <v>10472</v>
      </c>
      <c r="B598" s="8">
        <v>24</v>
      </c>
      <c r="C598" s="8">
        <v>3.6</v>
      </c>
      <c r="D598" s="8">
        <v>80</v>
      </c>
      <c r="E598" s="8">
        <v>0.05</v>
      </c>
    </row>
    <row r="599" spans="1:5" x14ac:dyDescent="0.2">
      <c r="A599" s="7">
        <v>10472</v>
      </c>
      <c r="B599" s="8">
        <v>51</v>
      </c>
      <c r="C599" s="8">
        <v>42.4</v>
      </c>
      <c r="D599" s="8">
        <v>18</v>
      </c>
      <c r="E599" s="8">
        <v>0</v>
      </c>
    </row>
    <row r="600" spans="1:5" x14ac:dyDescent="0.2">
      <c r="A600" s="7">
        <v>10473</v>
      </c>
      <c r="B600" s="8">
        <v>33</v>
      </c>
      <c r="C600" s="8">
        <v>2</v>
      </c>
      <c r="D600" s="8">
        <v>12</v>
      </c>
      <c r="E600" s="8">
        <v>0</v>
      </c>
    </row>
    <row r="601" spans="1:5" x14ac:dyDescent="0.2">
      <c r="A601" s="7">
        <v>10473</v>
      </c>
      <c r="B601" s="8">
        <v>71</v>
      </c>
      <c r="C601" s="8">
        <v>17.2</v>
      </c>
      <c r="D601" s="8">
        <v>12</v>
      </c>
      <c r="E601" s="8">
        <v>0</v>
      </c>
    </row>
    <row r="602" spans="1:5" x14ac:dyDescent="0.2">
      <c r="A602" s="7">
        <v>10474</v>
      </c>
      <c r="B602" s="8">
        <v>14</v>
      </c>
      <c r="C602" s="8">
        <v>18.600000000000001</v>
      </c>
      <c r="D602" s="8">
        <v>12</v>
      </c>
      <c r="E602" s="8">
        <v>0</v>
      </c>
    </row>
    <row r="603" spans="1:5" x14ac:dyDescent="0.2">
      <c r="A603" s="7">
        <v>10474</v>
      </c>
      <c r="B603" s="8">
        <v>28</v>
      </c>
      <c r="C603" s="8">
        <v>36.4</v>
      </c>
      <c r="D603" s="8">
        <v>18</v>
      </c>
      <c r="E603" s="8">
        <v>0</v>
      </c>
    </row>
    <row r="604" spans="1:5" x14ac:dyDescent="0.2">
      <c r="A604" s="7">
        <v>10474</v>
      </c>
      <c r="B604" s="8">
        <v>40</v>
      </c>
      <c r="C604" s="8">
        <v>14.7</v>
      </c>
      <c r="D604" s="8">
        <v>21</v>
      </c>
      <c r="E604" s="8">
        <v>0</v>
      </c>
    </row>
    <row r="605" spans="1:5" x14ac:dyDescent="0.2">
      <c r="A605" s="7">
        <v>10474</v>
      </c>
      <c r="B605" s="8">
        <v>75</v>
      </c>
      <c r="C605" s="8">
        <v>6.2</v>
      </c>
      <c r="D605" s="8">
        <v>10</v>
      </c>
      <c r="E605" s="8">
        <v>0</v>
      </c>
    </row>
    <row r="606" spans="1:5" x14ac:dyDescent="0.2">
      <c r="A606" s="7">
        <v>10475</v>
      </c>
      <c r="B606" s="8">
        <v>31</v>
      </c>
      <c r="C606" s="8">
        <v>10</v>
      </c>
      <c r="D606" s="8">
        <v>35</v>
      </c>
      <c r="E606" s="8">
        <v>0.15</v>
      </c>
    </row>
    <row r="607" spans="1:5" x14ac:dyDescent="0.2">
      <c r="A607" s="7">
        <v>10475</v>
      </c>
      <c r="B607" s="8">
        <v>66</v>
      </c>
      <c r="C607" s="8">
        <v>13.6</v>
      </c>
      <c r="D607" s="8">
        <v>60</v>
      </c>
      <c r="E607" s="8">
        <v>0.15</v>
      </c>
    </row>
    <row r="608" spans="1:5" x14ac:dyDescent="0.2">
      <c r="A608" s="7">
        <v>10475</v>
      </c>
      <c r="B608" s="8">
        <v>76</v>
      </c>
      <c r="C608" s="8">
        <v>14.4</v>
      </c>
      <c r="D608" s="8">
        <v>42</v>
      </c>
      <c r="E608" s="8">
        <v>0.15</v>
      </c>
    </row>
    <row r="609" spans="1:5" x14ac:dyDescent="0.2">
      <c r="A609" s="7">
        <v>10476</v>
      </c>
      <c r="B609" s="8">
        <v>55</v>
      </c>
      <c r="C609" s="8">
        <v>19.2</v>
      </c>
      <c r="D609" s="8">
        <v>2</v>
      </c>
      <c r="E609" s="8">
        <v>0.05</v>
      </c>
    </row>
    <row r="610" spans="1:5" x14ac:dyDescent="0.2">
      <c r="A610" s="7">
        <v>10476</v>
      </c>
      <c r="B610" s="8">
        <v>70</v>
      </c>
      <c r="C610" s="8">
        <v>12</v>
      </c>
      <c r="D610" s="8">
        <v>12</v>
      </c>
      <c r="E610" s="8">
        <v>0</v>
      </c>
    </row>
    <row r="611" spans="1:5" x14ac:dyDescent="0.2">
      <c r="A611" s="7">
        <v>10477</v>
      </c>
      <c r="B611" s="8">
        <v>1</v>
      </c>
      <c r="C611" s="8">
        <v>14.4</v>
      </c>
      <c r="D611" s="8">
        <v>15</v>
      </c>
      <c r="E611" s="8">
        <v>0</v>
      </c>
    </row>
    <row r="612" spans="1:5" x14ac:dyDescent="0.2">
      <c r="A612" s="7">
        <v>10477</v>
      </c>
      <c r="B612" s="8">
        <v>21</v>
      </c>
      <c r="C612" s="8">
        <v>8</v>
      </c>
      <c r="D612" s="8">
        <v>21</v>
      </c>
      <c r="E612" s="8">
        <v>0.25</v>
      </c>
    </row>
    <row r="613" spans="1:5" x14ac:dyDescent="0.2">
      <c r="A613" s="7">
        <v>10477</v>
      </c>
      <c r="B613" s="8">
        <v>39</v>
      </c>
      <c r="C613" s="8">
        <v>14.4</v>
      </c>
      <c r="D613" s="8">
        <v>20</v>
      </c>
      <c r="E613" s="8">
        <v>0.25</v>
      </c>
    </row>
    <row r="614" spans="1:5" x14ac:dyDescent="0.2">
      <c r="A614" s="7">
        <v>10478</v>
      </c>
      <c r="B614" s="8">
        <v>10</v>
      </c>
      <c r="C614" s="8">
        <v>24.8</v>
      </c>
      <c r="D614" s="8">
        <v>20</v>
      </c>
      <c r="E614" s="8">
        <v>0.05</v>
      </c>
    </row>
    <row r="615" spans="1:5" x14ac:dyDescent="0.2">
      <c r="A615" s="7">
        <v>10479</v>
      </c>
      <c r="B615" s="8">
        <v>38</v>
      </c>
      <c r="C615" s="8">
        <v>210.8</v>
      </c>
      <c r="D615" s="8">
        <v>30</v>
      </c>
      <c r="E615" s="8">
        <v>0</v>
      </c>
    </row>
    <row r="616" spans="1:5" x14ac:dyDescent="0.2">
      <c r="A616" s="7">
        <v>10479</v>
      </c>
      <c r="B616" s="8">
        <v>53</v>
      </c>
      <c r="C616" s="8">
        <v>26.2</v>
      </c>
      <c r="D616" s="8">
        <v>28</v>
      </c>
      <c r="E616" s="8">
        <v>0</v>
      </c>
    </row>
    <row r="617" spans="1:5" x14ac:dyDescent="0.2">
      <c r="A617" s="7">
        <v>10479</v>
      </c>
      <c r="B617" s="8">
        <v>59</v>
      </c>
      <c r="C617" s="8">
        <v>44</v>
      </c>
      <c r="D617" s="8">
        <v>60</v>
      </c>
      <c r="E617" s="8">
        <v>0</v>
      </c>
    </row>
    <row r="618" spans="1:5" x14ac:dyDescent="0.2">
      <c r="A618" s="7">
        <v>10479</v>
      </c>
      <c r="B618" s="8">
        <v>64</v>
      </c>
      <c r="C618" s="8">
        <v>26.6</v>
      </c>
      <c r="D618" s="8">
        <v>30</v>
      </c>
      <c r="E618" s="8">
        <v>0</v>
      </c>
    </row>
    <row r="619" spans="1:5" x14ac:dyDescent="0.2">
      <c r="A619" s="7">
        <v>10480</v>
      </c>
      <c r="B619" s="8">
        <v>47</v>
      </c>
      <c r="C619" s="8">
        <v>7.6</v>
      </c>
      <c r="D619" s="8">
        <v>30</v>
      </c>
      <c r="E619" s="8">
        <v>0</v>
      </c>
    </row>
    <row r="620" spans="1:5" x14ac:dyDescent="0.2">
      <c r="A620" s="7">
        <v>10480</v>
      </c>
      <c r="B620" s="8">
        <v>59</v>
      </c>
      <c r="C620" s="8">
        <v>44</v>
      </c>
      <c r="D620" s="8">
        <v>12</v>
      </c>
      <c r="E620" s="8">
        <v>0</v>
      </c>
    </row>
    <row r="621" spans="1:5" x14ac:dyDescent="0.2">
      <c r="A621" s="7">
        <v>10481</v>
      </c>
      <c r="B621" s="8">
        <v>49</v>
      </c>
      <c r="C621" s="8">
        <v>16</v>
      </c>
      <c r="D621" s="8">
        <v>24</v>
      </c>
      <c r="E621" s="8">
        <v>0</v>
      </c>
    </row>
    <row r="622" spans="1:5" x14ac:dyDescent="0.2">
      <c r="A622" s="7">
        <v>10481</v>
      </c>
      <c r="B622" s="8">
        <v>60</v>
      </c>
      <c r="C622" s="8">
        <v>27.2</v>
      </c>
      <c r="D622" s="8">
        <v>40</v>
      </c>
      <c r="E622" s="8">
        <v>0</v>
      </c>
    </row>
    <row r="623" spans="1:5" x14ac:dyDescent="0.2">
      <c r="A623" s="7">
        <v>10482</v>
      </c>
      <c r="B623" s="8">
        <v>40</v>
      </c>
      <c r="C623" s="8">
        <v>14.7</v>
      </c>
      <c r="D623" s="8">
        <v>10</v>
      </c>
      <c r="E623" s="8">
        <v>0</v>
      </c>
    </row>
    <row r="624" spans="1:5" x14ac:dyDescent="0.2">
      <c r="A624" s="7">
        <v>10483</v>
      </c>
      <c r="B624" s="8">
        <v>34</v>
      </c>
      <c r="C624" s="8">
        <v>11.2</v>
      </c>
      <c r="D624" s="8">
        <v>35</v>
      </c>
      <c r="E624" s="8">
        <v>0.05</v>
      </c>
    </row>
    <row r="625" spans="1:5" x14ac:dyDescent="0.2">
      <c r="A625" s="7">
        <v>10483</v>
      </c>
      <c r="B625" s="8">
        <v>77</v>
      </c>
      <c r="C625" s="8">
        <v>10.4</v>
      </c>
      <c r="D625" s="8">
        <v>30</v>
      </c>
      <c r="E625" s="8">
        <v>0.05</v>
      </c>
    </row>
    <row r="626" spans="1:5" x14ac:dyDescent="0.2">
      <c r="A626" s="7">
        <v>10484</v>
      </c>
      <c r="B626" s="8">
        <v>21</v>
      </c>
      <c r="C626" s="8">
        <v>8</v>
      </c>
      <c r="D626" s="8">
        <v>14</v>
      </c>
      <c r="E626" s="8">
        <v>0</v>
      </c>
    </row>
    <row r="627" spans="1:5" x14ac:dyDescent="0.2">
      <c r="A627" s="7">
        <v>10484</v>
      </c>
      <c r="B627" s="8">
        <v>40</v>
      </c>
      <c r="C627" s="8">
        <v>14.7</v>
      </c>
      <c r="D627" s="8">
        <v>10</v>
      </c>
      <c r="E627" s="8">
        <v>0</v>
      </c>
    </row>
    <row r="628" spans="1:5" x14ac:dyDescent="0.2">
      <c r="A628" s="7">
        <v>10484</v>
      </c>
      <c r="B628" s="8">
        <v>51</v>
      </c>
      <c r="C628" s="8">
        <v>42.4</v>
      </c>
      <c r="D628" s="8">
        <v>3</v>
      </c>
      <c r="E628" s="8">
        <v>0</v>
      </c>
    </row>
    <row r="629" spans="1:5" x14ac:dyDescent="0.2">
      <c r="A629" s="7">
        <v>10485</v>
      </c>
      <c r="B629" s="8">
        <v>2</v>
      </c>
      <c r="C629" s="8">
        <v>15.2</v>
      </c>
      <c r="D629" s="8">
        <v>20</v>
      </c>
      <c r="E629" s="8">
        <v>0.1</v>
      </c>
    </row>
    <row r="630" spans="1:5" x14ac:dyDescent="0.2">
      <c r="A630" s="7">
        <v>10485</v>
      </c>
      <c r="B630" s="8">
        <v>3</v>
      </c>
      <c r="C630" s="8">
        <v>8</v>
      </c>
      <c r="D630" s="8">
        <v>20</v>
      </c>
      <c r="E630" s="8">
        <v>0.1</v>
      </c>
    </row>
    <row r="631" spans="1:5" x14ac:dyDescent="0.2">
      <c r="A631" s="7">
        <v>10485</v>
      </c>
      <c r="B631" s="8">
        <v>55</v>
      </c>
      <c r="C631" s="8">
        <v>19.2</v>
      </c>
      <c r="D631" s="8">
        <v>30</v>
      </c>
      <c r="E631" s="8">
        <v>0.1</v>
      </c>
    </row>
    <row r="632" spans="1:5" x14ac:dyDescent="0.2">
      <c r="A632" s="7">
        <v>10485</v>
      </c>
      <c r="B632" s="8">
        <v>70</v>
      </c>
      <c r="C632" s="8">
        <v>12</v>
      </c>
      <c r="D632" s="8">
        <v>60</v>
      </c>
      <c r="E632" s="8">
        <v>0.1</v>
      </c>
    </row>
    <row r="633" spans="1:5" x14ac:dyDescent="0.2">
      <c r="A633" s="7">
        <v>10486</v>
      </c>
      <c r="B633" s="8">
        <v>11</v>
      </c>
      <c r="C633" s="8">
        <v>16.8</v>
      </c>
      <c r="D633" s="8">
        <v>5</v>
      </c>
      <c r="E633" s="8">
        <v>0</v>
      </c>
    </row>
    <row r="634" spans="1:5" x14ac:dyDescent="0.2">
      <c r="A634" s="7">
        <v>10486</v>
      </c>
      <c r="B634" s="8">
        <v>51</v>
      </c>
      <c r="C634" s="8">
        <v>42.4</v>
      </c>
      <c r="D634" s="8">
        <v>25</v>
      </c>
      <c r="E634" s="8">
        <v>0</v>
      </c>
    </row>
    <row r="635" spans="1:5" x14ac:dyDescent="0.2">
      <c r="A635" s="7">
        <v>10486</v>
      </c>
      <c r="B635" s="8">
        <v>74</v>
      </c>
      <c r="C635" s="8">
        <v>8</v>
      </c>
      <c r="D635" s="8">
        <v>16</v>
      </c>
      <c r="E635" s="8">
        <v>0</v>
      </c>
    </row>
    <row r="636" spans="1:5" x14ac:dyDescent="0.2">
      <c r="A636" s="7">
        <v>10487</v>
      </c>
      <c r="B636" s="8">
        <v>19</v>
      </c>
      <c r="C636" s="8">
        <v>7.3</v>
      </c>
      <c r="D636" s="8">
        <v>5</v>
      </c>
      <c r="E636" s="8">
        <v>0</v>
      </c>
    </row>
    <row r="637" spans="1:5" x14ac:dyDescent="0.2">
      <c r="A637" s="7">
        <v>10487</v>
      </c>
      <c r="B637" s="8">
        <v>26</v>
      </c>
      <c r="C637" s="8">
        <v>24.9</v>
      </c>
      <c r="D637" s="8">
        <v>30</v>
      </c>
      <c r="E637" s="8">
        <v>0</v>
      </c>
    </row>
    <row r="638" spans="1:5" x14ac:dyDescent="0.2">
      <c r="A638" s="7">
        <v>10487</v>
      </c>
      <c r="B638" s="8">
        <v>54</v>
      </c>
      <c r="C638" s="8">
        <v>5.9</v>
      </c>
      <c r="D638" s="8">
        <v>24</v>
      </c>
      <c r="E638" s="8">
        <v>0.25</v>
      </c>
    </row>
    <row r="639" spans="1:5" x14ac:dyDescent="0.2">
      <c r="A639" s="7">
        <v>10488</v>
      </c>
      <c r="B639" s="8">
        <v>59</v>
      </c>
      <c r="C639" s="8">
        <v>44</v>
      </c>
      <c r="D639" s="8">
        <v>30</v>
      </c>
      <c r="E639" s="8">
        <v>0</v>
      </c>
    </row>
    <row r="640" spans="1:5" x14ac:dyDescent="0.2">
      <c r="A640" s="7">
        <v>10488</v>
      </c>
      <c r="B640" s="8">
        <v>73</v>
      </c>
      <c r="C640" s="8">
        <v>12</v>
      </c>
      <c r="D640" s="8">
        <v>20</v>
      </c>
      <c r="E640" s="8">
        <v>0.2</v>
      </c>
    </row>
    <row r="641" spans="1:5" x14ac:dyDescent="0.2">
      <c r="A641" s="7">
        <v>10489</v>
      </c>
      <c r="B641" s="8">
        <v>11</v>
      </c>
      <c r="C641" s="8">
        <v>16.8</v>
      </c>
      <c r="D641" s="8">
        <v>15</v>
      </c>
      <c r="E641" s="8">
        <v>0.25</v>
      </c>
    </row>
    <row r="642" spans="1:5" x14ac:dyDescent="0.2">
      <c r="A642" s="7">
        <v>10489</v>
      </c>
      <c r="B642" s="8">
        <v>16</v>
      </c>
      <c r="C642" s="8">
        <v>13.9</v>
      </c>
      <c r="D642" s="8">
        <v>18</v>
      </c>
      <c r="E642" s="8">
        <v>0</v>
      </c>
    </row>
    <row r="643" spans="1:5" x14ac:dyDescent="0.2">
      <c r="A643" s="7">
        <v>10490</v>
      </c>
      <c r="B643" s="8">
        <v>59</v>
      </c>
      <c r="C643" s="8">
        <v>44</v>
      </c>
      <c r="D643" s="8">
        <v>60</v>
      </c>
      <c r="E643" s="8">
        <v>0</v>
      </c>
    </row>
    <row r="644" spans="1:5" x14ac:dyDescent="0.2">
      <c r="A644" s="7">
        <v>10490</v>
      </c>
      <c r="B644" s="8">
        <v>68</v>
      </c>
      <c r="C644" s="8">
        <v>10</v>
      </c>
      <c r="D644" s="8">
        <v>30</v>
      </c>
      <c r="E644" s="8">
        <v>0</v>
      </c>
    </row>
    <row r="645" spans="1:5" x14ac:dyDescent="0.2">
      <c r="A645" s="7">
        <v>10490</v>
      </c>
      <c r="B645" s="8">
        <v>75</v>
      </c>
      <c r="C645" s="8">
        <v>6.2</v>
      </c>
      <c r="D645" s="8">
        <v>36</v>
      </c>
      <c r="E645" s="8">
        <v>0</v>
      </c>
    </row>
    <row r="646" spans="1:5" x14ac:dyDescent="0.2">
      <c r="A646" s="7">
        <v>10491</v>
      </c>
      <c r="B646" s="8">
        <v>44</v>
      </c>
      <c r="C646" s="8">
        <v>15.5</v>
      </c>
      <c r="D646" s="8">
        <v>15</v>
      </c>
      <c r="E646" s="8">
        <v>0.15</v>
      </c>
    </row>
    <row r="647" spans="1:5" x14ac:dyDescent="0.2">
      <c r="A647" s="7">
        <v>10491</v>
      </c>
      <c r="B647" s="8">
        <v>77</v>
      </c>
      <c r="C647" s="8">
        <v>10.4</v>
      </c>
      <c r="D647" s="8">
        <v>7</v>
      </c>
      <c r="E647" s="8">
        <v>0.15</v>
      </c>
    </row>
    <row r="648" spans="1:5" x14ac:dyDescent="0.2">
      <c r="A648" s="7">
        <v>10492</v>
      </c>
      <c r="B648" s="8">
        <v>25</v>
      </c>
      <c r="C648" s="8">
        <v>11.2</v>
      </c>
      <c r="D648" s="8">
        <v>60</v>
      </c>
      <c r="E648" s="8">
        <v>0.05</v>
      </c>
    </row>
    <row r="649" spans="1:5" x14ac:dyDescent="0.2">
      <c r="A649" s="7">
        <v>10492</v>
      </c>
      <c r="B649" s="8">
        <v>42</v>
      </c>
      <c r="C649" s="8">
        <v>11.2</v>
      </c>
      <c r="D649" s="8">
        <v>20</v>
      </c>
      <c r="E649" s="8">
        <v>0.05</v>
      </c>
    </row>
    <row r="650" spans="1:5" x14ac:dyDescent="0.2">
      <c r="A650" s="7">
        <v>10493</v>
      </c>
      <c r="B650" s="8">
        <v>65</v>
      </c>
      <c r="C650" s="8">
        <v>16.8</v>
      </c>
      <c r="D650" s="8">
        <v>15</v>
      </c>
      <c r="E650" s="8">
        <v>0.1</v>
      </c>
    </row>
    <row r="651" spans="1:5" x14ac:dyDescent="0.2">
      <c r="A651" s="7">
        <v>10493</v>
      </c>
      <c r="B651" s="8">
        <v>66</v>
      </c>
      <c r="C651" s="8">
        <v>13.6</v>
      </c>
      <c r="D651" s="8">
        <v>10</v>
      </c>
      <c r="E651" s="8">
        <v>0.1</v>
      </c>
    </row>
    <row r="652" spans="1:5" x14ac:dyDescent="0.2">
      <c r="A652" s="7">
        <v>10493</v>
      </c>
      <c r="B652" s="8">
        <v>69</v>
      </c>
      <c r="C652" s="8">
        <v>28.8</v>
      </c>
      <c r="D652" s="8">
        <v>10</v>
      </c>
      <c r="E652" s="8">
        <v>0.1</v>
      </c>
    </row>
    <row r="653" spans="1:5" x14ac:dyDescent="0.2">
      <c r="A653" s="7">
        <v>10494</v>
      </c>
      <c r="B653" s="8">
        <v>56</v>
      </c>
      <c r="C653" s="8">
        <v>30.4</v>
      </c>
      <c r="D653" s="8">
        <v>30</v>
      </c>
      <c r="E653" s="8">
        <v>0</v>
      </c>
    </row>
    <row r="654" spans="1:5" x14ac:dyDescent="0.2">
      <c r="A654" s="7">
        <v>10495</v>
      </c>
      <c r="B654" s="8">
        <v>23</v>
      </c>
      <c r="C654" s="8">
        <v>7.2</v>
      </c>
      <c r="D654" s="8">
        <v>10</v>
      </c>
      <c r="E654" s="8">
        <v>0</v>
      </c>
    </row>
    <row r="655" spans="1:5" x14ac:dyDescent="0.2">
      <c r="A655" s="7">
        <v>10495</v>
      </c>
      <c r="B655" s="8">
        <v>41</v>
      </c>
      <c r="C655" s="8">
        <v>7.7</v>
      </c>
      <c r="D655" s="8">
        <v>20</v>
      </c>
      <c r="E655" s="8">
        <v>0</v>
      </c>
    </row>
    <row r="656" spans="1:5" x14ac:dyDescent="0.2">
      <c r="A656" s="7">
        <v>10495</v>
      </c>
      <c r="B656" s="8">
        <v>77</v>
      </c>
      <c r="C656" s="8">
        <v>10.4</v>
      </c>
      <c r="D656" s="8">
        <v>5</v>
      </c>
      <c r="E656" s="8">
        <v>0</v>
      </c>
    </row>
    <row r="657" spans="1:5" x14ac:dyDescent="0.2">
      <c r="A657" s="7">
        <v>10496</v>
      </c>
      <c r="B657" s="8">
        <v>31</v>
      </c>
      <c r="C657" s="8">
        <v>10</v>
      </c>
      <c r="D657" s="8">
        <v>20</v>
      </c>
      <c r="E657" s="8">
        <v>0.05</v>
      </c>
    </row>
    <row r="658" spans="1:5" x14ac:dyDescent="0.2">
      <c r="A658" s="7">
        <v>10497</v>
      </c>
      <c r="B658" s="8">
        <v>56</v>
      </c>
      <c r="C658" s="8">
        <v>30.4</v>
      </c>
      <c r="D658" s="8">
        <v>14</v>
      </c>
      <c r="E658" s="8">
        <v>0</v>
      </c>
    </row>
    <row r="659" spans="1:5" x14ac:dyDescent="0.2">
      <c r="A659" s="7">
        <v>10497</v>
      </c>
      <c r="B659" s="8">
        <v>72</v>
      </c>
      <c r="C659" s="8">
        <v>27.8</v>
      </c>
      <c r="D659" s="8">
        <v>25</v>
      </c>
      <c r="E659" s="8">
        <v>0</v>
      </c>
    </row>
    <row r="660" spans="1:5" x14ac:dyDescent="0.2">
      <c r="A660" s="7">
        <v>10497</v>
      </c>
      <c r="B660" s="8">
        <v>77</v>
      </c>
      <c r="C660" s="8">
        <v>10.4</v>
      </c>
      <c r="D660" s="8">
        <v>25</v>
      </c>
      <c r="E660" s="8">
        <v>0</v>
      </c>
    </row>
    <row r="661" spans="1:5" x14ac:dyDescent="0.2">
      <c r="A661" s="7">
        <v>10498</v>
      </c>
      <c r="B661" s="8">
        <v>24</v>
      </c>
      <c r="C661" s="8">
        <v>4.5</v>
      </c>
      <c r="D661" s="8">
        <v>14</v>
      </c>
      <c r="E661" s="8">
        <v>0</v>
      </c>
    </row>
    <row r="662" spans="1:5" x14ac:dyDescent="0.2">
      <c r="A662" s="7">
        <v>10498</v>
      </c>
      <c r="B662" s="8">
        <v>40</v>
      </c>
      <c r="C662" s="8">
        <v>18.399999999999999</v>
      </c>
      <c r="D662" s="8">
        <v>5</v>
      </c>
      <c r="E662" s="8">
        <v>0</v>
      </c>
    </row>
    <row r="663" spans="1:5" x14ac:dyDescent="0.2">
      <c r="A663" s="7">
        <v>10498</v>
      </c>
      <c r="B663" s="8">
        <v>42</v>
      </c>
      <c r="C663" s="8">
        <v>14</v>
      </c>
      <c r="D663" s="8">
        <v>30</v>
      </c>
      <c r="E663" s="8">
        <v>0</v>
      </c>
    </row>
    <row r="664" spans="1:5" x14ac:dyDescent="0.2">
      <c r="A664" s="7">
        <v>10499</v>
      </c>
      <c r="B664" s="8">
        <v>28</v>
      </c>
      <c r="C664" s="8">
        <v>45.6</v>
      </c>
      <c r="D664" s="8">
        <v>20</v>
      </c>
      <c r="E664" s="8">
        <v>0</v>
      </c>
    </row>
    <row r="665" spans="1:5" x14ac:dyDescent="0.2">
      <c r="A665" s="7">
        <v>10499</v>
      </c>
      <c r="B665" s="8">
        <v>49</v>
      </c>
      <c r="C665" s="8">
        <v>20</v>
      </c>
      <c r="D665" s="8">
        <v>25</v>
      </c>
      <c r="E665" s="8">
        <v>0</v>
      </c>
    </row>
    <row r="666" spans="1:5" x14ac:dyDescent="0.2">
      <c r="A666" s="7">
        <v>10500</v>
      </c>
      <c r="B666" s="8">
        <v>15</v>
      </c>
      <c r="C666" s="8">
        <v>15.5</v>
      </c>
      <c r="D666" s="8">
        <v>12</v>
      </c>
      <c r="E666" s="8">
        <v>0.05</v>
      </c>
    </row>
    <row r="667" spans="1:5" x14ac:dyDescent="0.2">
      <c r="A667" s="7">
        <v>10500</v>
      </c>
      <c r="B667" s="8">
        <v>28</v>
      </c>
      <c r="C667" s="8">
        <v>45.6</v>
      </c>
      <c r="D667" s="8">
        <v>8</v>
      </c>
      <c r="E667" s="8">
        <v>0.05</v>
      </c>
    </row>
    <row r="668" spans="1:5" x14ac:dyDescent="0.2">
      <c r="A668" s="7">
        <v>10501</v>
      </c>
      <c r="B668" s="8">
        <v>54</v>
      </c>
      <c r="C668" s="8">
        <v>7.45</v>
      </c>
      <c r="D668" s="8">
        <v>20</v>
      </c>
      <c r="E668" s="8">
        <v>0</v>
      </c>
    </row>
    <row r="669" spans="1:5" x14ac:dyDescent="0.2">
      <c r="A669" s="7">
        <v>10502</v>
      </c>
      <c r="B669" s="8">
        <v>45</v>
      </c>
      <c r="C669" s="8">
        <v>9.5</v>
      </c>
      <c r="D669" s="8">
        <v>21</v>
      </c>
      <c r="E669" s="8">
        <v>0</v>
      </c>
    </row>
    <row r="670" spans="1:5" x14ac:dyDescent="0.2">
      <c r="A670" s="7">
        <v>10502</v>
      </c>
      <c r="B670" s="8">
        <v>53</v>
      </c>
      <c r="C670" s="8">
        <v>32.799999999999997</v>
      </c>
      <c r="D670" s="8">
        <v>6</v>
      </c>
      <c r="E670" s="8">
        <v>0</v>
      </c>
    </row>
    <row r="671" spans="1:5" x14ac:dyDescent="0.2">
      <c r="A671" s="7">
        <v>10502</v>
      </c>
      <c r="B671" s="8">
        <v>67</v>
      </c>
      <c r="C671" s="8">
        <v>14</v>
      </c>
      <c r="D671" s="8">
        <v>30</v>
      </c>
      <c r="E671" s="8">
        <v>0</v>
      </c>
    </row>
    <row r="672" spans="1:5" x14ac:dyDescent="0.2">
      <c r="A672" s="7">
        <v>10503</v>
      </c>
      <c r="B672" s="8">
        <v>14</v>
      </c>
      <c r="C672" s="8">
        <v>23.25</v>
      </c>
      <c r="D672" s="8">
        <v>70</v>
      </c>
      <c r="E672" s="8">
        <v>0</v>
      </c>
    </row>
    <row r="673" spans="1:5" x14ac:dyDescent="0.2">
      <c r="A673" s="7">
        <v>10503</v>
      </c>
      <c r="B673" s="8">
        <v>65</v>
      </c>
      <c r="C673" s="8">
        <v>21.05</v>
      </c>
      <c r="D673" s="8">
        <v>20</v>
      </c>
      <c r="E673" s="8">
        <v>0</v>
      </c>
    </row>
    <row r="674" spans="1:5" x14ac:dyDescent="0.2">
      <c r="A674" s="7">
        <v>10504</v>
      </c>
      <c r="B674" s="8">
        <v>2</v>
      </c>
      <c r="C674" s="8">
        <v>19</v>
      </c>
      <c r="D674" s="8">
        <v>12</v>
      </c>
      <c r="E674" s="8">
        <v>0</v>
      </c>
    </row>
    <row r="675" spans="1:5" x14ac:dyDescent="0.2">
      <c r="A675" s="7">
        <v>10504</v>
      </c>
      <c r="B675" s="8">
        <v>21</v>
      </c>
      <c r="C675" s="8">
        <v>10</v>
      </c>
      <c r="D675" s="8">
        <v>12</v>
      </c>
      <c r="E675" s="8">
        <v>0</v>
      </c>
    </row>
    <row r="676" spans="1:5" x14ac:dyDescent="0.2">
      <c r="A676" s="7">
        <v>10504</v>
      </c>
      <c r="B676" s="8">
        <v>53</v>
      </c>
      <c r="C676" s="8">
        <v>32.799999999999997</v>
      </c>
      <c r="D676" s="8">
        <v>10</v>
      </c>
      <c r="E676" s="8">
        <v>0</v>
      </c>
    </row>
    <row r="677" spans="1:5" x14ac:dyDescent="0.2">
      <c r="A677" s="7">
        <v>10504</v>
      </c>
      <c r="B677" s="8">
        <v>61</v>
      </c>
      <c r="C677" s="8">
        <v>28.5</v>
      </c>
      <c r="D677" s="8">
        <v>25</v>
      </c>
      <c r="E677" s="8">
        <v>0</v>
      </c>
    </row>
    <row r="678" spans="1:5" x14ac:dyDescent="0.2">
      <c r="A678" s="7">
        <v>10505</v>
      </c>
      <c r="B678" s="8">
        <v>62</v>
      </c>
      <c r="C678" s="8">
        <v>49.3</v>
      </c>
      <c r="D678" s="8">
        <v>3</v>
      </c>
      <c r="E678" s="8">
        <v>0</v>
      </c>
    </row>
    <row r="679" spans="1:5" x14ac:dyDescent="0.2">
      <c r="A679" s="7">
        <v>10506</v>
      </c>
      <c r="B679" s="8">
        <v>25</v>
      </c>
      <c r="C679" s="8">
        <v>14</v>
      </c>
      <c r="D679" s="8">
        <v>18</v>
      </c>
      <c r="E679" s="8">
        <v>0.1</v>
      </c>
    </row>
    <row r="680" spans="1:5" x14ac:dyDescent="0.2">
      <c r="A680" s="7">
        <v>10506</v>
      </c>
      <c r="B680" s="8">
        <v>70</v>
      </c>
      <c r="C680" s="8">
        <v>15</v>
      </c>
      <c r="D680" s="8">
        <v>14</v>
      </c>
      <c r="E680" s="8">
        <v>0.1</v>
      </c>
    </row>
    <row r="681" spans="1:5" x14ac:dyDescent="0.2">
      <c r="A681" s="7">
        <v>10507</v>
      </c>
      <c r="B681" s="8">
        <v>43</v>
      </c>
      <c r="C681" s="8">
        <v>46</v>
      </c>
      <c r="D681" s="8">
        <v>15</v>
      </c>
      <c r="E681" s="8">
        <v>0.15</v>
      </c>
    </row>
    <row r="682" spans="1:5" x14ac:dyDescent="0.2">
      <c r="A682" s="7">
        <v>10507</v>
      </c>
      <c r="B682" s="8">
        <v>48</v>
      </c>
      <c r="C682" s="8">
        <v>12.75</v>
      </c>
      <c r="D682" s="8">
        <v>15</v>
      </c>
      <c r="E682" s="8">
        <v>0.15</v>
      </c>
    </row>
    <row r="683" spans="1:5" x14ac:dyDescent="0.2">
      <c r="A683" s="7">
        <v>10508</v>
      </c>
      <c r="B683" s="8">
        <v>13</v>
      </c>
      <c r="C683" s="8">
        <v>6</v>
      </c>
      <c r="D683" s="8">
        <v>10</v>
      </c>
      <c r="E683" s="8">
        <v>0</v>
      </c>
    </row>
    <row r="684" spans="1:5" x14ac:dyDescent="0.2">
      <c r="A684" s="7">
        <v>10508</v>
      </c>
      <c r="B684" s="8">
        <v>39</v>
      </c>
      <c r="C684" s="8">
        <v>18</v>
      </c>
      <c r="D684" s="8">
        <v>10</v>
      </c>
      <c r="E684" s="8">
        <v>0</v>
      </c>
    </row>
    <row r="685" spans="1:5" x14ac:dyDescent="0.2">
      <c r="A685" s="7">
        <v>10509</v>
      </c>
      <c r="B685" s="8">
        <v>28</v>
      </c>
      <c r="C685" s="8">
        <v>45.6</v>
      </c>
      <c r="D685" s="8">
        <v>3</v>
      </c>
      <c r="E685" s="8">
        <v>0</v>
      </c>
    </row>
    <row r="686" spans="1:5" x14ac:dyDescent="0.2">
      <c r="A686" s="7">
        <v>10510</v>
      </c>
      <c r="B686" s="8">
        <v>29</v>
      </c>
      <c r="C686" s="8">
        <v>123.79</v>
      </c>
      <c r="D686" s="8">
        <v>36</v>
      </c>
      <c r="E686" s="8">
        <v>0</v>
      </c>
    </row>
    <row r="687" spans="1:5" x14ac:dyDescent="0.2">
      <c r="A687" s="7">
        <v>10510</v>
      </c>
      <c r="B687" s="8">
        <v>75</v>
      </c>
      <c r="C687" s="8">
        <v>7.75</v>
      </c>
      <c r="D687" s="8">
        <v>36</v>
      </c>
      <c r="E687" s="8">
        <v>0.1</v>
      </c>
    </row>
    <row r="688" spans="1:5" x14ac:dyDescent="0.2">
      <c r="A688" s="7">
        <v>10511</v>
      </c>
      <c r="B688" s="8">
        <v>4</v>
      </c>
      <c r="C688" s="8">
        <v>22</v>
      </c>
      <c r="D688" s="8">
        <v>50</v>
      </c>
      <c r="E688" s="8">
        <v>0.15</v>
      </c>
    </row>
    <row r="689" spans="1:5" x14ac:dyDescent="0.2">
      <c r="A689" s="7">
        <v>10511</v>
      </c>
      <c r="B689" s="8">
        <v>7</v>
      </c>
      <c r="C689" s="8">
        <v>30</v>
      </c>
      <c r="D689" s="8">
        <v>50</v>
      </c>
      <c r="E689" s="8">
        <v>0.15</v>
      </c>
    </row>
    <row r="690" spans="1:5" x14ac:dyDescent="0.2">
      <c r="A690" s="7">
        <v>10511</v>
      </c>
      <c r="B690" s="8">
        <v>8</v>
      </c>
      <c r="C690" s="8">
        <v>40</v>
      </c>
      <c r="D690" s="8">
        <v>10</v>
      </c>
      <c r="E690" s="8">
        <v>0.15</v>
      </c>
    </row>
    <row r="691" spans="1:5" x14ac:dyDescent="0.2">
      <c r="A691" s="7">
        <v>10512</v>
      </c>
      <c r="B691" s="8">
        <v>24</v>
      </c>
      <c r="C691" s="8">
        <v>4.5</v>
      </c>
      <c r="D691" s="8">
        <v>10</v>
      </c>
      <c r="E691" s="8">
        <v>0.15</v>
      </c>
    </row>
    <row r="692" spans="1:5" x14ac:dyDescent="0.2">
      <c r="A692" s="7">
        <v>10512</v>
      </c>
      <c r="B692" s="8">
        <v>46</v>
      </c>
      <c r="C692" s="8">
        <v>12</v>
      </c>
      <c r="D692" s="8">
        <v>9</v>
      </c>
      <c r="E692" s="8">
        <v>0.15</v>
      </c>
    </row>
    <row r="693" spans="1:5" x14ac:dyDescent="0.2">
      <c r="A693" s="7">
        <v>10512</v>
      </c>
      <c r="B693" s="8">
        <v>47</v>
      </c>
      <c r="C693" s="8">
        <v>9.5</v>
      </c>
      <c r="D693" s="8">
        <v>6</v>
      </c>
      <c r="E693" s="8">
        <v>0.15</v>
      </c>
    </row>
    <row r="694" spans="1:5" x14ac:dyDescent="0.2">
      <c r="A694" s="7">
        <v>10512</v>
      </c>
      <c r="B694" s="8">
        <v>60</v>
      </c>
      <c r="C694" s="8">
        <v>34</v>
      </c>
      <c r="D694" s="8">
        <v>12</v>
      </c>
      <c r="E694" s="8">
        <v>0.15</v>
      </c>
    </row>
    <row r="695" spans="1:5" x14ac:dyDescent="0.2">
      <c r="A695" s="7">
        <v>10513</v>
      </c>
      <c r="B695" s="8">
        <v>21</v>
      </c>
      <c r="C695" s="8">
        <v>10</v>
      </c>
      <c r="D695" s="8">
        <v>40</v>
      </c>
      <c r="E695" s="8">
        <v>0.2</v>
      </c>
    </row>
    <row r="696" spans="1:5" x14ac:dyDescent="0.2">
      <c r="A696" s="7">
        <v>10513</v>
      </c>
      <c r="B696" s="8">
        <v>32</v>
      </c>
      <c r="C696" s="8">
        <v>32</v>
      </c>
      <c r="D696" s="8">
        <v>50</v>
      </c>
      <c r="E696" s="8">
        <v>0.2</v>
      </c>
    </row>
    <row r="697" spans="1:5" x14ac:dyDescent="0.2">
      <c r="A697" s="7">
        <v>10513</v>
      </c>
      <c r="B697" s="8">
        <v>61</v>
      </c>
      <c r="C697" s="8">
        <v>28.5</v>
      </c>
      <c r="D697" s="8">
        <v>15</v>
      </c>
      <c r="E697" s="8">
        <v>0.2</v>
      </c>
    </row>
    <row r="698" spans="1:5" x14ac:dyDescent="0.2">
      <c r="A698" s="7">
        <v>10514</v>
      </c>
      <c r="B698" s="8">
        <v>20</v>
      </c>
      <c r="C698" s="8">
        <v>81</v>
      </c>
      <c r="D698" s="8">
        <v>39</v>
      </c>
      <c r="E698" s="8">
        <v>0</v>
      </c>
    </row>
    <row r="699" spans="1:5" x14ac:dyDescent="0.2">
      <c r="A699" s="7">
        <v>10514</v>
      </c>
      <c r="B699" s="8">
        <v>28</v>
      </c>
      <c r="C699" s="8">
        <v>45.6</v>
      </c>
      <c r="D699" s="8">
        <v>35</v>
      </c>
      <c r="E699" s="8">
        <v>0</v>
      </c>
    </row>
    <row r="700" spans="1:5" x14ac:dyDescent="0.2">
      <c r="A700" s="7">
        <v>10514</v>
      </c>
      <c r="B700" s="8">
        <v>56</v>
      </c>
      <c r="C700" s="8">
        <v>38</v>
      </c>
      <c r="D700" s="8">
        <v>70</v>
      </c>
      <c r="E700" s="8">
        <v>0</v>
      </c>
    </row>
    <row r="701" spans="1:5" x14ac:dyDescent="0.2">
      <c r="A701" s="7">
        <v>10514</v>
      </c>
      <c r="B701" s="8">
        <v>65</v>
      </c>
      <c r="C701" s="8">
        <v>21.05</v>
      </c>
      <c r="D701" s="8">
        <v>39</v>
      </c>
      <c r="E701" s="8">
        <v>0</v>
      </c>
    </row>
    <row r="702" spans="1:5" x14ac:dyDescent="0.2">
      <c r="A702" s="7">
        <v>10514</v>
      </c>
      <c r="B702" s="8">
        <v>75</v>
      </c>
      <c r="C702" s="8">
        <v>7.75</v>
      </c>
      <c r="D702" s="8">
        <v>50</v>
      </c>
      <c r="E702" s="8">
        <v>0</v>
      </c>
    </row>
    <row r="703" spans="1:5" x14ac:dyDescent="0.2">
      <c r="A703" s="7">
        <v>10515</v>
      </c>
      <c r="B703" s="8">
        <v>9</v>
      </c>
      <c r="C703" s="8">
        <v>97</v>
      </c>
      <c r="D703" s="8">
        <v>16</v>
      </c>
      <c r="E703" s="8">
        <v>0.15</v>
      </c>
    </row>
    <row r="704" spans="1:5" x14ac:dyDescent="0.2">
      <c r="A704" s="7">
        <v>10515</v>
      </c>
      <c r="B704" s="8">
        <v>16</v>
      </c>
      <c r="C704" s="8">
        <v>17.45</v>
      </c>
      <c r="D704" s="8">
        <v>50</v>
      </c>
      <c r="E704" s="8">
        <v>0</v>
      </c>
    </row>
    <row r="705" spans="1:5" x14ac:dyDescent="0.2">
      <c r="A705" s="7">
        <v>10515</v>
      </c>
      <c r="B705" s="8">
        <v>27</v>
      </c>
      <c r="C705" s="8">
        <v>43.9</v>
      </c>
      <c r="D705" s="8">
        <v>120</v>
      </c>
      <c r="E705" s="8">
        <v>0</v>
      </c>
    </row>
    <row r="706" spans="1:5" x14ac:dyDescent="0.2">
      <c r="A706" s="7">
        <v>10515</v>
      </c>
      <c r="B706" s="8">
        <v>33</v>
      </c>
      <c r="C706" s="8">
        <v>2.5</v>
      </c>
      <c r="D706" s="8">
        <v>16</v>
      </c>
      <c r="E706" s="8">
        <v>0.15</v>
      </c>
    </row>
    <row r="707" spans="1:5" x14ac:dyDescent="0.2">
      <c r="A707" s="7">
        <v>10515</v>
      </c>
      <c r="B707" s="8">
        <v>60</v>
      </c>
      <c r="C707" s="8">
        <v>34</v>
      </c>
      <c r="D707" s="8">
        <v>84</v>
      </c>
      <c r="E707" s="8">
        <v>0.15</v>
      </c>
    </row>
    <row r="708" spans="1:5" x14ac:dyDescent="0.2">
      <c r="A708" s="7">
        <v>10516</v>
      </c>
      <c r="B708" s="8">
        <v>18</v>
      </c>
      <c r="C708" s="8">
        <v>62.5</v>
      </c>
      <c r="D708" s="8">
        <v>25</v>
      </c>
      <c r="E708" s="8">
        <v>0.1</v>
      </c>
    </row>
    <row r="709" spans="1:5" x14ac:dyDescent="0.2">
      <c r="A709" s="7">
        <v>10516</v>
      </c>
      <c r="B709" s="8">
        <v>41</v>
      </c>
      <c r="C709" s="8">
        <v>9.65</v>
      </c>
      <c r="D709" s="8">
        <v>80</v>
      </c>
      <c r="E709" s="8">
        <v>0.1</v>
      </c>
    </row>
    <row r="710" spans="1:5" x14ac:dyDescent="0.2">
      <c r="A710" s="7">
        <v>10516</v>
      </c>
      <c r="B710" s="8">
        <v>42</v>
      </c>
      <c r="C710" s="8">
        <v>14</v>
      </c>
      <c r="D710" s="8">
        <v>20</v>
      </c>
      <c r="E710" s="8">
        <v>0</v>
      </c>
    </row>
    <row r="711" spans="1:5" x14ac:dyDescent="0.2">
      <c r="A711" s="7">
        <v>10517</v>
      </c>
      <c r="B711" s="8">
        <v>52</v>
      </c>
      <c r="C711" s="8">
        <v>7</v>
      </c>
      <c r="D711" s="8">
        <v>6</v>
      </c>
      <c r="E711" s="8">
        <v>0</v>
      </c>
    </row>
    <row r="712" spans="1:5" x14ac:dyDescent="0.2">
      <c r="A712" s="7">
        <v>10517</v>
      </c>
      <c r="B712" s="8">
        <v>59</v>
      </c>
      <c r="C712" s="8">
        <v>55</v>
      </c>
      <c r="D712" s="8">
        <v>4</v>
      </c>
      <c r="E712" s="8">
        <v>0</v>
      </c>
    </row>
    <row r="713" spans="1:5" x14ac:dyDescent="0.2">
      <c r="A713" s="7">
        <v>10517</v>
      </c>
      <c r="B713" s="8">
        <v>70</v>
      </c>
      <c r="C713" s="8">
        <v>15</v>
      </c>
      <c r="D713" s="8">
        <v>6</v>
      </c>
      <c r="E713" s="8">
        <v>0</v>
      </c>
    </row>
    <row r="714" spans="1:5" x14ac:dyDescent="0.2">
      <c r="A714" s="7">
        <v>10518</v>
      </c>
      <c r="B714" s="8">
        <v>24</v>
      </c>
      <c r="C714" s="8">
        <v>4.5</v>
      </c>
      <c r="D714" s="8">
        <v>5</v>
      </c>
      <c r="E714" s="8">
        <v>0</v>
      </c>
    </row>
    <row r="715" spans="1:5" x14ac:dyDescent="0.2">
      <c r="A715" s="7">
        <v>10518</v>
      </c>
      <c r="B715" s="8">
        <v>38</v>
      </c>
      <c r="C715" s="8">
        <v>263.5</v>
      </c>
      <c r="D715" s="8">
        <v>15</v>
      </c>
      <c r="E715" s="8">
        <v>0</v>
      </c>
    </row>
    <row r="716" spans="1:5" x14ac:dyDescent="0.2">
      <c r="A716" s="7">
        <v>10518</v>
      </c>
      <c r="B716" s="8">
        <v>44</v>
      </c>
      <c r="C716" s="8">
        <v>19.45</v>
      </c>
      <c r="D716" s="8">
        <v>9</v>
      </c>
      <c r="E716" s="8">
        <v>0</v>
      </c>
    </row>
    <row r="717" spans="1:5" x14ac:dyDescent="0.2">
      <c r="A717" s="7">
        <v>10519</v>
      </c>
      <c r="B717" s="8">
        <v>10</v>
      </c>
      <c r="C717" s="8">
        <v>31</v>
      </c>
      <c r="D717" s="8">
        <v>16</v>
      </c>
      <c r="E717" s="8">
        <v>0.05</v>
      </c>
    </row>
    <row r="718" spans="1:5" x14ac:dyDescent="0.2">
      <c r="A718" s="7">
        <v>10519</v>
      </c>
      <c r="B718" s="8">
        <v>56</v>
      </c>
      <c r="C718" s="8">
        <v>38</v>
      </c>
      <c r="D718" s="8">
        <v>40</v>
      </c>
      <c r="E718" s="8">
        <v>0</v>
      </c>
    </row>
    <row r="719" spans="1:5" x14ac:dyDescent="0.2">
      <c r="A719" s="7">
        <v>10519</v>
      </c>
      <c r="B719" s="8">
        <v>60</v>
      </c>
      <c r="C719" s="8">
        <v>34</v>
      </c>
      <c r="D719" s="8">
        <v>10</v>
      </c>
      <c r="E719" s="8">
        <v>0.05</v>
      </c>
    </row>
    <row r="720" spans="1:5" x14ac:dyDescent="0.2">
      <c r="A720" s="7">
        <v>10520</v>
      </c>
      <c r="B720" s="8">
        <v>24</v>
      </c>
      <c r="C720" s="8">
        <v>4.5</v>
      </c>
      <c r="D720" s="8">
        <v>8</v>
      </c>
      <c r="E720" s="8">
        <v>0</v>
      </c>
    </row>
    <row r="721" spans="1:5" x14ac:dyDescent="0.2">
      <c r="A721" s="7">
        <v>10520</v>
      </c>
      <c r="B721" s="8">
        <v>53</v>
      </c>
      <c r="C721" s="8">
        <v>32.799999999999997</v>
      </c>
      <c r="D721" s="8">
        <v>5</v>
      </c>
      <c r="E721" s="8">
        <v>0</v>
      </c>
    </row>
    <row r="722" spans="1:5" x14ac:dyDescent="0.2">
      <c r="A722" s="7">
        <v>10521</v>
      </c>
      <c r="B722" s="8">
        <v>35</v>
      </c>
      <c r="C722" s="8">
        <v>18</v>
      </c>
      <c r="D722" s="8">
        <v>3</v>
      </c>
      <c r="E722" s="8">
        <v>0</v>
      </c>
    </row>
    <row r="723" spans="1:5" x14ac:dyDescent="0.2">
      <c r="A723" s="7">
        <v>10521</v>
      </c>
      <c r="B723" s="8">
        <v>41</v>
      </c>
      <c r="C723" s="8">
        <v>9.65</v>
      </c>
      <c r="D723" s="8">
        <v>10</v>
      </c>
      <c r="E723" s="8">
        <v>0</v>
      </c>
    </row>
    <row r="724" spans="1:5" x14ac:dyDescent="0.2">
      <c r="A724" s="7">
        <v>10521</v>
      </c>
      <c r="B724" s="8">
        <v>68</v>
      </c>
      <c r="C724" s="8">
        <v>12.5</v>
      </c>
      <c r="D724" s="8">
        <v>6</v>
      </c>
      <c r="E724" s="8">
        <v>0</v>
      </c>
    </row>
    <row r="725" spans="1:5" x14ac:dyDescent="0.2">
      <c r="A725" s="7">
        <v>10522</v>
      </c>
      <c r="B725" s="8">
        <v>1</v>
      </c>
      <c r="C725" s="8">
        <v>18</v>
      </c>
      <c r="D725" s="8">
        <v>40</v>
      </c>
      <c r="E725" s="8">
        <v>0.2</v>
      </c>
    </row>
    <row r="726" spans="1:5" x14ac:dyDescent="0.2">
      <c r="A726" s="7">
        <v>10522</v>
      </c>
      <c r="B726" s="8">
        <v>8</v>
      </c>
      <c r="C726" s="8">
        <v>40</v>
      </c>
      <c r="D726" s="8">
        <v>24</v>
      </c>
      <c r="E726" s="8">
        <v>0</v>
      </c>
    </row>
    <row r="727" spans="1:5" x14ac:dyDescent="0.2">
      <c r="A727" s="7">
        <v>10522</v>
      </c>
      <c r="B727" s="8">
        <v>30</v>
      </c>
      <c r="C727" s="8">
        <v>25.89</v>
      </c>
      <c r="D727" s="8">
        <v>20</v>
      </c>
      <c r="E727" s="8">
        <v>0.2</v>
      </c>
    </row>
    <row r="728" spans="1:5" x14ac:dyDescent="0.2">
      <c r="A728" s="7">
        <v>10522</v>
      </c>
      <c r="B728" s="8">
        <v>40</v>
      </c>
      <c r="C728" s="8">
        <v>18.399999999999999</v>
      </c>
      <c r="D728" s="8">
        <v>25</v>
      </c>
      <c r="E728" s="8">
        <v>0.2</v>
      </c>
    </row>
    <row r="729" spans="1:5" x14ac:dyDescent="0.2">
      <c r="A729" s="7">
        <v>10523</v>
      </c>
      <c r="B729" s="8">
        <v>17</v>
      </c>
      <c r="C729" s="8">
        <v>39</v>
      </c>
      <c r="D729" s="8">
        <v>25</v>
      </c>
      <c r="E729" s="8">
        <v>0.1</v>
      </c>
    </row>
    <row r="730" spans="1:5" x14ac:dyDescent="0.2">
      <c r="A730" s="7">
        <v>10523</v>
      </c>
      <c r="B730" s="8">
        <v>20</v>
      </c>
      <c r="C730" s="8">
        <v>81</v>
      </c>
      <c r="D730" s="8">
        <v>15</v>
      </c>
      <c r="E730" s="8">
        <v>0.1</v>
      </c>
    </row>
    <row r="731" spans="1:5" x14ac:dyDescent="0.2">
      <c r="A731" s="7">
        <v>10523</v>
      </c>
      <c r="B731" s="8">
        <v>37</v>
      </c>
      <c r="C731" s="8">
        <v>26</v>
      </c>
      <c r="D731" s="8">
        <v>18</v>
      </c>
      <c r="E731" s="8">
        <v>0.1</v>
      </c>
    </row>
    <row r="732" spans="1:5" x14ac:dyDescent="0.2">
      <c r="A732" s="7">
        <v>10523</v>
      </c>
      <c r="B732" s="8">
        <v>41</v>
      </c>
      <c r="C732" s="8">
        <v>9.65</v>
      </c>
      <c r="D732" s="8">
        <v>6</v>
      </c>
      <c r="E732" s="8">
        <v>0.1</v>
      </c>
    </row>
    <row r="733" spans="1:5" x14ac:dyDescent="0.2">
      <c r="A733" s="7">
        <v>10524</v>
      </c>
      <c r="B733" s="8">
        <v>10</v>
      </c>
      <c r="C733" s="8">
        <v>31</v>
      </c>
      <c r="D733" s="8">
        <v>2</v>
      </c>
      <c r="E733" s="8">
        <v>0</v>
      </c>
    </row>
    <row r="734" spans="1:5" x14ac:dyDescent="0.2">
      <c r="A734" s="7">
        <v>10524</v>
      </c>
      <c r="B734" s="8">
        <v>30</v>
      </c>
      <c r="C734" s="8">
        <v>25.89</v>
      </c>
      <c r="D734" s="8">
        <v>10</v>
      </c>
      <c r="E734" s="8">
        <v>0</v>
      </c>
    </row>
    <row r="735" spans="1:5" x14ac:dyDescent="0.2">
      <c r="A735" s="7">
        <v>10524</v>
      </c>
      <c r="B735" s="8">
        <v>43</v>
      </c>
      <c r="C735" s="8">
        <v>46</v>
      </c>
      <c r="D735" s="8">
        <v>60</v>
      </c>
      <c r="E735" s="8">
        <v>0</v>
      </c>
    </row>
    <row r="736" spans="1:5" x14ac:dyDescent="0.2">
      <c r="A736" s="7">
        <v>10524</v>
      </c>
      <c r="B736" s="8">
        <v>54</v>
      </c>
      <c r="C736" s="8">
        <v>7.45</v>
      </c>
      <c r="D736" s="8">
        <v>15</v>
      </c>
      <c r="E736" s="8">
        <v>0</v>
      </c>
    </row>
    <row r="737" spans="1:5" x14ac:dyDescent="0.2">
      <c r="A737" s="7">
        <v>10525</v>
      </c>
      <c r="B737" s="8">
        <v>36</v>
      </c>
      <c r="C737" s="8">
        <v>19</v>
      </c>
      <c r="D737" s="8">
        <v>30</v>
      </c>
      <c r="E737" s="8">
        <v>0</v>
      </c>
    </row>
    <row r="738" spans="1:5" x14ac:dyDescent="0.2">
      <c r="A738" s="7">
        <v>10525</v>
      </c>
      <c r="B738" s="8">
        <v>40</v>
      </c>
      <c r="C738" s="8">
        <v>18.399999999999999</v>
      </c>
      <c r="D738" s="8">
        <v>15</v>
      </c>
      <c r="E738" s="8">
        <v>0.1</v>
      </c>
    </row>
    <row r="739" spans="1:5" x14ac:dyDescent="0.2">
      <c r="A739" s="7">
        <v>10526</v>
      </c>
      <c r="B739" s="8">
        <v>1</v>
      </c>
      <c r="C739" s="8">
        <v>18</v>
      </c>
      <c r="D739" s="8">
        <v>8</v>
      </c>
      <c r="E739" s="8">
        <v>0.15</v>
      </c>
    </row>
    <row r="740" spans="1:5" x14ac:dyDescent="0.2">
      <c r="A740" s="7">
        <v>10526</v>
      </c>
      <c r="B740" s="8">
        <v>13</v>
      </c>
      <c r="C740" s="8">
        <v>6</v>
      </c>
      <c r="D740" s="8">
        <v>10</v>
      </c>
      <c r="E740" s="8">
        <v>0</v>
      </c>
    </row>
    <row r="741" spans="1:5" x14ac:dyDescent="0.2">
      <c r="A741" s="7">
        <v>10526</v>
      </c>
      <c r="B741" s="8">
        <v>56</v>
      </c>
      <c r="C741" s="8">
        <v>38</v>
      </c>
      <c r="D741" s="8">
        <v>30</v>
      </c>
      <c r="E741" s="8">
        <v>0.15</v>
      </c>
    </row>
    <row r="742" spans="1:5" x14ac:dyDescent="0.2">
      <c r="A742" s="7">
        <v>10527</v>
      </c>
      <c r="B742" s="8">
        <v>4</v>
      </c>
      <c r="C742" s="8">
        <v>22</v>
      </c>
      <c r="D742" s="8">
        <v>50</v>
      </c>
      <c r="E742" s="8">
        <v>0.1</v>
      </c>
    </row>
    <row r="743" spans="1:5" x14ac:dyDescent="0.2">
      <c r="A743" s="7">
        <v>10527</v>
      </c>
      <c r="B743" s="8">
        <v>36</v>
      </c>
      <c r="C743" s="8">
        <v>19</v>
      </c>
      <c r="D743" s="8">
        <v>30</v>
      </c>
      <c r="E743" s="8">
        <v>0.1</v>
      </c>
    </row>
    <row r="744" spans="1:5" x14ac:dyDescent="0.2">
      <c r="A744" s="7">
        <v>10528</v>
      </c>
      <c r="B744" s="8">
        <v>11</v>
      </c>
      <c r="C744" s="8">
        <v>21</v>
      </c>
      <c r="D744" s="8">
        <v>3</v>
      </c>
      <c r="E744" s="8">
        <v>0</v>
      </c>
    </row>
    <row r="745" spans="1:5" x14ac:dyDescent="0.2">
      <c r="A745" s="7">
        <v>10528</v>
      </c>
      <c r="B745" s="8">
        <v>33</v>
      </c>
      <c r="C745" s="8">
        <v>2.5</v>
      </c>
      <c r="D745" s="8">
        <v>8</v>
      </c>
      <c r="E745" s="8">
        <v>0.2</v>
      </c>
    </row>
    <row r="746" spans="1:5" x14ac:dyDescent="0.2">
      <c r="A746" s="7">
        <v>10528</v>
      </c>
      <c r="B746" s="8">
        <v>72</v>
      </c>
      <c r="C746" s="8">
        <v>34.799999999999997</v>
      </c>
      <c r="D746" s="8">
        <v>9</v>
      </c>
      <c r="E746" s="8">
        <v>0</v>
      </c>
    </row>
    <row r="747" spans="1:5" x14ac:dyDescent="0.2">
      <c r="A747" s="7">
        <v>10529</v>
      </c>
      <c r="B747" s="8">
        <v>55</v>
      </c>
      <c r="C747" s="8">
        <v>24</v>
      </c>
      <c r="D747" s="8">
        <v>14</v>
      </c>
      <c r="E747" s="8">
        <v>0</v>
      </c>
    </row>
    <row r="748" spans="1:5" x14ac:dyDescent="0.2">
      <c r="A748" s="7">
        <v>10529</v>
      </c>
      <c r="B748" s="8">
        <v>68</v>
      </c>
      <c r="C748" s="8">
        <v>12.5</v>
      </c>
      <c r="D748" s="8">
        <v>20</v>
      </c>
      <c r="E748" s="8">
        <v>0</v>
      </c>
    </row>
    <row r="749" spans="1:5" x14ac:dyDescent="0.2">
      <c r="A749" s="7">
        <v>10529</v>
      </c>
      <c r="B749" s="8">
        <v>69</v>
      </c>
      <c r="C749" s="8">
        <v>36</v>
      </c>
      <c r="D749" s="8">
        <v>10</v>
      </c>
      <c r="E749" s="8">
        <v>0</v>
      </c>
    </row>
    <row r="750" spans="1:5" x14ac:dyDescent="0.2">
      <c r="A750" s="7">
        <v>10530</v>
      </c>
      <c r="B750" s="8">
        <v>17</v>
      </c>
      <c r="C750" s="8">
        <v>39</v>
      </c>
      <c r="D750" s="8">
        <v>40</v>
      </c>
      <c r="E750" s="8">
        <v>0</v>
      </c>
    </row>
    <row r="751" spans="1:5" x14ac:dyDescent="0.2">
      <c r="A751" s="7">
        <v>10530</v>
      </c>
      <c r="B751" s="8">
        <v>43</v>
      </c>
      <c r="C751" s="8">
        <v>46</v>
      </c>
      <c r="D751" s="8">
        <v>25</v>
      </c>
      <c r="E751" s="8">
        <v>0</v>
      </c>
    </row>
    <row r="752" spans="1:5" x14ac:dyDescent="0.2">
      <c r="A752" s="7">
        <v>10530</v>
      </c>
      <c r="B752" s="8">
        <v>61</v>
      </c>
      <c r="C752" s="8">
        <v>28.5</v>
      </c>
      <c r="D752" s="8">
        <v>20</v>
      </c>
      <c r="E752" s="8">
        <v>0</v>
      </c>
    </row>
    <row r="753" spans="1:5" x14ac:dyDescent="0.2">
      <c r="A753" s="7">
        <v>10530</v>
      </c>
      <c r="B753" s="8">
        <v>76</v>
      </c>
      <c r="C753" s="8">
        <v>18</v>
      </c>
      <c r="D753" s="8">
        <v>50</v>
      </c>
      <c r="E753" s="8">
        <v>0</v>
      </c>
    </row>
    <row r="754" spans="1:5" x14ac:dyDescent="0.2">
      <c r="A754" s="7">
        <v>10531</v>
      </c>
      <c r="B754" s="8">
        <v>59</v>
      </c>
      <c r="C754" s="8">
        <v>55</v>
      </c>
      <c r="D754" s="8">
        <v>2</v>
      </c>
      <c r="E754" s="8">
        <v>0</v>
      </c>
    </row>
    <row r="755" spans="1:5" x14ac:dyDescent="0.2">
      <c r="A755" s="7">
        <v>10532</v>
      </c>
      <c r="B755" s="8">
        <v>30</v>
      </c>
      <c r="C755" s="8">
        <v>25.89</v>
      </c>
      <c r="D755" s="8">
        <v>15</v>
      </c>
      <c r="E755" s="8">
        <v>0</v>
      </c>
    </row>
    <row r="756" spans="1:5" x14ac:dyDescent="0.2">
      <c r="A756" s="7">
        <v>10532</v>
      </c>
      <c r="B756" s="8">
        <v>66</v>
      </c>
      <c r="C756" s="8">
        <v>17</v>
      </c>
      <c r="D756" s="8">
        <v>24</v>
      </c>
      <c r="E756" s="8">
        <v>0</v>
      </c>
    </row>
    <row r="757" spans="1:5" x14ac:dyDescent="0.2">
      <c r="A757" s="7">
        <v>10533</v>
      </c>
      <c r="B757" s="8">
        <v>4</v>
      </c>
      <c r="C757" s="8">
        <v>22</v>
      </c>
      <c r="D757" s="8">
        <v>50</v>
      </c>
      <c r="E757" s="8">
        <v>0.05</v>
      </c>
    </row>
    <row r="758" spans="1:5" x14ac:dyDescent="0.2">
      <c r="A758" s="7">
        <v>10533</v>
      </c>
      <c r="B758" s="8">
        <v>72</v>
      </c>
      <c r="C758" s="8">
        <v>34.799999999999997</v>
      </c>
      <c r="D758" s="8">
        <v>24</v>
      </c>
      <c r="E758" s="8">
        <v>0</v>
      </c>
    </row>
    <row r="759" spans="1:5" x14ac:dyDescent="0.2">
      <c r="A759" s="7">
        <v>10533</v>
      </c>
      <c r="B759" s="8">
        <v>73</v>
      </c>
      <c r="C759" s="8">
        <v>15</v>
      </c>
      <c r="D759" s="8">
        <v>24</v>
      </c>
      <c r="E759" s="8">
        <v>0.05</v>
      </c>
    </row>
    <row r="760" spans="1:5" x14ac:dyDescent="0.2">
      <c r="A760" s="7">
        <v>10534</v>
      </c>
      <c r="B760" s="8">
        <v>30</v>
      </c>
      <c r="C760" s="8">
        <v>25.89</v>
      </c>
      <c r="D760" s="8">
        <v>10</v>
      </c>
      <c r="E760" s="8">
        <v>0</v>
      </c>
    </row>
    <row r="761" spans="1:5" x14ac:dyDescent="0.2">
      <c r="A761" s="7">
        <v>10534</v>
      </c>
      <c r="B761" s="8">
        <v>40</v>
      </c>
      <c r="C761" s="8">
        <v>18.399999999999999</v>
      </c>
      <c r="D761" s="8">
        <v>10</v>
      </c>
      <c r="E761" s="8">
        <v>0.2</v>
      </c>
    </row>
    <row r="762" spans="1:5" x14ac:dyDescent="0.2">
      <c r="A762" s="7">
        <v>10534</v>
      </c>
      <c r="B762" s="8">
        <v>54</v>
      </c>
      <c r="C762" s="8">
        <v>7.45</v>
      </c>
      <c r="D762" s="8">
        <v>10</v>
      </c>
      <c r="E762" s="8">
        <v>0.2</v>
      </c>
    </row>
    <row r="763" spans="1:5" x14ac:dyDescent="0.2">
      <c r="A763" s="7">
        <v>10535</v>
      </c>
      <c r="B763" s="8">
        <v>11</v>
      </c>
      <c r="C763" s="8">
        <v>21</v>
      </c>
      <c r="D763" s="8">
        <v>50</v>
      </c>
      <c r="E763" s="8">
        <v>0.1</v>
      </c>
    </row>
    <row r="764" spans="1:5" x14ac:dyDescent="0.2">
      <c r="A764" s="7">
        <v>10535</v>
      </c>
      <c r="B764" s="8">
        <v>40</v>
      </c>
      <c r="C764" s="8">
        <v>18.399999999999999</v>
      </c>
      <c r="D764" s="8">
        <v>10</v>
      </c>
      <c r="E764" s="8">
        <v>0.1</v>
      </c>
    </row>
    <row r="765" spans="1:5" x14ac:dyDescent="0.2">
      <c r="A765" s="7">
        <v>10535</v>
      </c>
      <c r="B765" s="8">
        <v>57</v>
      </c>
      <c r="C765" s="8">
        <v>19.5</v>
      </c>
      <c r="D765" s="8">
        <v>5</v>
      </c>
      <c r="E765" s="8">
        <v>0.1</v>
      </c>
    </row>
    <row r="766" spans="1:5" x14ac:dyDescent="0.2">
      <c r="A766" s="7">
        <v>10535</v>
      </c>
      <c r="B766" s="8">
        <v>59</v>
      </c>
      <c r="C766" s="8">
        <v>55</v>
      </c>
      <c r="D766" s="8">
        <v>15</v>
      </c>
      <c r="E766" s="8">
        <v>0.1</v>
      </c>
    </row>
    <row r="767" spans="1:5" x14ac:dyDescent="0.2">
      <c r="A767" s="7">
        <v>10536</v>
      </c>
      <c r="B767" s="8">
        <v>12</v>
      </c>
      <c r="C767" s="8">
        <v>38</v>
      </c>
      <c r="D767" s="8">
        <v>15</v>
      </c>
      <c r="E767" s="8">
        <v>0.25</v>
      </c>
    </row>
    <row r="768" spans="1:5" x14ac:dyDescent="0.2">
      <c r="A768" s="7">
        <v>10536</v>
      </c>
      <c r="B768" s="8">
        <v>31</v>
      </c>
      <c r="C768" s="8">
        <v>12.5</v>
      </c>
      <c r="D768" s="8">
        <v>20</v>
      </c>
      <c r="E768" s="8">
        <v>0</v>
      </c>
    </row>
    <row r="769" spans="1:5" x14ac:dyDescent="0.2">
      <c r="A769" s="7">
        <v>10536</v>
      </c>
      <c r="B769" s="8">
        <v>33</v>
      </c>
      <c r="C769" s="8">
        <v>2.5</v>
      </c>
      <c r="D769" s="8">
        <v>30</v>
      </c>
      <c r="E769" s="8">
        <v>0</v>
      </c>
    </row>
    <row r="770" spans="1:5" x14ac:dyDescent="0.2">
      <c r="A770" s="7">
        <v>10536</v>
      </c>
      <c r="B770" s="8">
        <v>60</v>
      </c>
      <c r="C770" s="8">
        <v>34</v>
      </c>
      <c r="D770" s="8">
        <v>35</v>
      </c>
      <c r="E770" s="8">
        <v>0.25</v>
      </c>
    </row>
    <row r="771" spans="1:5" x14ac:dyDescent="0.2">
      <c r="A771" s="7">
        <v>10537</v>
      </c>
      <c r="B771" s="8">
        <v>31</v>
      </c>
      <c r="C771" s="8">
        <v>12.5</v>
      </c>
      <c r="D771" s="8">
        <v>30</v>
      </c>
      <c r="E771" s="8">
        <v>0</v>
      </c>
    </row>
    <row r="772" spans="1:5" x14ac:dyDescent="0.2">
      <c r="A772" s="7">
        <v>10537</v>
      </c>
      <c r="B772" s="8">
        <v>51</v>
      </c>
      <c r="C772" s="8">
        <v>53</v>
      </c>
      <c r="D772" s="8">
        <v>6</v>
      </c>
      <c r="E772" s="8">
        <v>0</v>
      </c>
    </row>
    <row r="773" spans="1:5" x14ac:dyDescent="0.2">
      <c r="A773" s="7">
        <v>10537</v>
      </c>
      <c r="B773" s="8">
        <v>58</v>
      </c>
      <c r="C773" s="8">
        <v>13.25</v>
      </c>
      <c r="D773" s="8">
        <v>20</v>
      </c>
      <c r="E773" s="8">
        <v>0</v>
      </c>
    </row>
    <row r="774" spans="1:5" x14ac:dyDescent="0.2">
      <c r="A774" s="7">
        <v>10537</v>
      </c>
      <c r="B774" s="8">
        <v>72</v>
      </c>
      <c r="C774" s="8">
        <v>34.799999999999997</v>
      </c>
      <c r="D774" s="8">
        <v>21</v>
      </c>
      <c r="E774" s="8">
        <v>0</v>
      </c>
    </row>
    <row r="775" spans="1:5" x14ac:dyDescent="0.2">
      <c r="A775" s="7">
        <v>10537</v>
      </c>
      <c r="B775" s="8">
        <v>73</v>
      </c>
      <c r="C775" s="8">
        <v>15</v>
      </c>
      <c r="D775" s="8">
        <v>9</v>
      </c>
      <c r="E775" s="8">
        <v>0</v>
      </c>
    </row>
    <row r="776" spans="1:5" x14ac:dyDescent="0.2">
      <c r="A776" s="7">
        <v>10538</v>
      </c>
      <c r="B776" s="8">
        <v>70</v>
      </c>
      <c r="C776" s="8">
        <v>15</v>
      </c>
      <c r="D776" s="8">
        <v>7</v>
      </c>
      <c r="E776" s="8">
        <v>0</v>
      </c>
    </row>
    <row r="777" spans="1:5" x14ac:dyDescent="0.2">
      <c r="A777" s="7">
        <v>10538</v>
      </c>
      <c r="B777" s="8">
        <v>72</v>
      </c>
      <c r="C777" s="8">
        <v>34.799999999999997</v>
      </c>
      <c r="D777" s="8">
        <v>1</v>
      </c>
      <c r="E777" s="8">
        <v>0</v>
      </c>
    </row>
    <row r="778" spans="1:5" x14ac:dyDescent="0.2">
      <c r="A778" s="7">
        <v>10539</v>
      </c>
      <c r="B778" s="8">
        <v>13</v>
      </c>
      <c r="C778" s="8">
        <v>6</v>
      </c>
      <c r="D778" s="8">
        <v>8</v>
      </c>
      <c r="E778" s="8">
        <v>0</v>
      </c>
    </row>
    <row r="779" spans="1:5" x14ac:dyDescent="0.2">
      <c r="A779" s="7">
        <v>10539</v>
      </c>
      <c r="B779" s="8">
        <v>21</v>
      </c>
      <c r="C779" s="8">
        <v>10</v>
      </c>
      <c r="D779" s="8">
        <v>15</v>
      </c>
      <c r="E779" s="8">
        <v>0</v>
      </c>
    </row>
    <row r="780" spans="1:5" x14ac:dyDescent="0.2">
      <c r="A780" s="7">
        <v>10539</v>
      </c>
      <c r="B780" s="8">
        <v>33</v>
      </c>
      <c r="C780" s="8">
        <v>2.5</v>
      </c>
      <c r="D780" s="8">
        <v>15</v>
      </c>
      <c r="E780" s="8">
        <v>0</v>
      </c>
    </row>
    <row r="781" spans="1:5" x14ac:dyDescent="0.2">
      <c r="A781" s="7">
        <v>10539</v>
      </c>
      <c r="B781" s="8">
        <v>49</v>
      </c>
      <c r="C781" s="8">
        <v>20</v>
      </c>
      <c r="D781" s="8">
        <v>6</v>
      </c>
      <c r="E781" s="8">
        <v>0</v>
      </c>
    </row>
    <row r="782" spans="1:5" x14ac:dyDescent="0.2">
      <c r="A782" s="7">
        <v>10540</v>
      </c>
      <c r="B782" s="8">
        <v>3</v>
      </c>
      <c r="C782" s="8">
        <v>10</v>
      </c>
      <c r="D782" s="8">
        <v>60</v>
      </c>
      <c r="E782" s="8">
        <v>0</v>
      </c>
    </row>
    <row r="783" spans="1:5" x14ac:dyDescent="0.2">
      <c r="A783" s="7">
        <v>10540</v>
      </c>
      <c r="B783" s="8">
        <v>26</v>
      </c>
      <c r="C783" s="8">
        <v>31.23</v>
      </c>
      <c r="D783" s="8">
        <v>40</v>
      </c>
      <c r="E783" s="8">
        <v>0</v>
      </c>
    </row>
    <row r="784" spans="1:5" x14ac:dyDescent="0.2">
      <c r="A784" s="7">
        <v>10540</v>
      </c>
      <c r="B784" s="8">
        <v>38</v>
      </c>
      <c r="C784" s="8">
        <v>263.5</v>
      </c>
      <c r="D784" s="8">
        <v>30</v>
      </c>
      <c r="E784" s="8">
        <v>0</v>
      </c>
    </row>
    <row r="785" spans="1:5" x14ac:dyDescent="0.2">
      <c r="A785" s="7">
        <v>10540</v>
      </c>
      <c r="B785" s="8">
        <v>68</v>
      </c>
      <c r="C785" s="8">
        <v>12.5</v>
      </c>
      <c r="D785" s="8">
        <v>35</v>
      </c>
      <c r="E785" s="8">
        <v>0</v>
      </c>
    </row>
    <row r="786" spans="1:5" x14ac:dyDescent="0.2">
      <c r="A786" s="7">
        <v>10541</v>
      </c>
      <c r="B786" s="8">
        <v>24</v>
      </c>
      <c r="C786" s="8">
        <v>4.5</v>
      </c>
      <c r="D786" s="8">
        <v>35</v>
      </c>
      <c r="E786" s="8">
        <v>0.1</v>
      </c>
    </row>
    <row r="787" spans="1:5" x14ac:dyDescent="0.2">
      <c r="A787" s="7">
        <v>10541</v>
      </c>
      <c r="B787" s="8">
        <v>38</v>
      </c>
      <c r="C787" s="8">
        <v>263.5</v>
      </c>
      <c r="D787" s="8">
        <v>4</v>
      </c>
      <c r="E787" s="8">
        <v>0.1</v>
      </c>
    </row>
    <row r="788" spans="1:5" x14ac:dyDescent="0.2">
      <c r="A788" s="7">
        <v>10541</v>
      </c>
      <c r="B788" s="8">
        <v>65</v>
      </c>
      <c r="C788" s="8">
        <v>21.05</v>
      </c>
      <c r="D788" s="8">
        <v>36</v>
      </c>
      <c r="E788" s="8">
        <v>0.1</v>
      </c>
    </row>
    <row r="789" spans="1:5" x14ac:dyDescent="0.2">
      <c r="A789" s="7">
        <v>10541</v>
      </c>
      <c r="B789" s="8">
        <v>71</v>
      </c>
      <c r="C789" s="8">
        <v>21.5</v>
      </c>
      <c r="D789" s="8">
        <v>9</v>
      </c>
      <c r="E789" s="8">
        <v>0.1</v>
      </c>
    </row>
    <row r="790" spans="1:5" x14ac:dyDescent="0.2">
      <c r="A790" s="7">
        <v>10542</v>
      </c>
      <c r="B790" s="8">
        <v>11</v>
      </c>
      <c r="C790" s="8">
        <v>21</v>
      </c>
      <c r="D790" s="8">
        <v>15</v>
      </c>
      <c r="E790" s="8">
        <v>0.05</v>
      </c>
    </row>
    <row r="791" spans="1:5" x14ac:dyDescent="0.2">
      <c r="A791" s="7">
        <v>10542</v>
      </c>
      <c r="B791" s="8">
        <v>54</v>
      </c>
      <c r="C791" s="8">
        <v>7.45</v>
      </c>
      <c r="D791" s="8">
        <v>24</v>
      </c>
      <c r="E791" s="8">
        <v>0.05</v>
      </c>
    </row>
    <row r="792" spans="1:5" x14ac:dyDescent="0.2">
      <c r="A792" s="7">
        <v>10543</v>
      </c>
      <c r="B792" s="8">
        <v>12</v>
      </c>
      <c r="C792" s="8">
        <v>38</v>
      </c>
      <c r="D792" s="8">
        <v>30</v>
      </c>
      <c r="E792" s="8">
        <v>0.15</v>
      </c>
    </row>
    <row r="793" spans="1:5" x14ac:dyDescent="0.2">
      <c r="A793" s="7">
        <v>10543</v>
      </c>
      <c r="B793" s="8">
        <v>23</v>
      </c>
      <c r="C793" s="8">
        <v>9</v>
      </c>
      <c r="D793" s="8">
        <v>70</v>
      </c>
      <c r="E793" s="8">
        <v>0.15</v>
      </c>
    </row>
    <row r="794" spans="1:5" x14ac:dyDescent="0.2">
      <c r="A794" s="7">
        <v>10544</v>
      </c>
      <c r="B794" s="8">
        <v>28</v>
      </c>
      <c r="C794" s="8">
        <v>45.6</v>
      </c>
      <c r="D794" s="8">
        <v>7</v>
      </c>
      <c r="E794" s="8">
        <v>0</v>
      </c>
    </row>
    <row r="795" spans="1:5" x14ac:dyDescent="0.2">
      <c r="A795" s="7">
        <v>10544</v>
      </c>
      <c r="B795" s="8">
        <v>67</v>
      </c>
      <c r="C795" s="8">
        <v>14</v>
      </c>
      <c r="D795" s="8">
        <v>7</v>
      </c>
      <c r="E795" s="8">
        <v>0</v>
      </c>
    </row>
    <row r="796" spans="1:5" x14ac:dyDescent="0.2">
      <c r="A796" s="7">
        <v>10545</v>
      </c>
      <c r="B796" s="8">
        <v>11</v>
      </c>
      <c r="C796" s="8">
        <v>21</v>
      </c>
      <c r="D796" s="8">
        <v>10</v>
      </c>
      <c r="E796" s="8">
        <v>0</v>
      </c>
    </row>
    <row r="797" spans="1:5" x14ac:dyDescent="0.2">
      <c r="A797" s="7">
        <v>10546</v>
      </c>
      <c r="B797" s="8">
        <v>7</v>
      </c>
      <c r="C797" s="8">
        <v>30</v>
      </c>
      <c r="D797" s="8">
        <v>10</v>
      </c>
      <c r="E797" s="8">
        <v>0</v>
      </c>
    </row>
    <row r="798" spans="1:5" x14ac:dyDescent="0.2">
      <c r="A798" s="7">
        <v>10546</v>
      </c>
      <c r="B798" s="8">
        <v>35</v>
      </c>
      <c r="C798" s="8">
        <v>18</v>
      </c>
      <c r="D798" s="8">
        <v>30</v>
      </c>
      <c r="E798" s="8">
        <v>0</v>
      </c>
    </row>
    <row r="799" spans="1:5" x14ac:dyDescent="0.2">
      <c r="A799" s="7">
        <v>10546</v>
      </c>
      <c r="B799" s="8">
        <v>62</v>
      </c>
      <c r="C799" s="8">
        <v>49.3</v>
      </c>
      <c r="D799" s="8">
        <v>40</v>
      </c>
      <c r="E799" s="8">
        <v>0</v>
      </c>
    </row>
    <row r="800" spans="1:5" x14ac:dyDescent="0.2">
      <c r="A800" s="7">
        <v>10547</v>
      </c>
      <c r="B800" s="8">
        <v>32</v>
      </c>
      <c r="C800" s="8">
        <v>32</v>
      </c>
      <c r="D800" s="8">
        <v>24</v>
      </c>
      <c r="E800" s="8">
        <v>0.15</v>
      </c>
    </row>
    <row r="801" spans="1:5" x14ac:dyDescent="0.2">
      <c r="A801" s="7">
        <v>10547</v>
      </c>
      <c r="B801" s="8">
        <v>36</v>
      </c>
      <c r="C801" s="8">
        <v>19</v>
      </c>
      <c r="D801" s="8">
        <v>60</v>
      </c>
      <c r="E801" s="8">
        <v>0</v>
      </c>
    </row>
    <row r="802" spans="1:5" x14ac:dyDescent="0.2">
      <c r="A802" s="7">
        <v>10548</v>
      </c>
      <c r="B802" s="8">
        <v>34</v>
      </c>
      <c r="C802" s="8">
        <v>14</v>
      </c>
      <c r="D802" s="8">
        <v>10</v>
      </c>
      <c r="E802" s="8">
        <v>0.25</v>
      </c>
    </row>
    <row r="803" spans="1:5" x14ac:dyDescent="0.2">
      <c r="A803" s="7">
        <v>10548</v>
      </c>
      <c r="B803" s="8">
        <v>41</v>
      </c>
      <c r="C803" s="8">
        <v>9.65</v>
      </c>
      <c r="D803" s="8">
        <v>14</v>
      </c>
      <c r="E803" s="8">
        <v>0</v>
      </c>
    </row>
    <row r="804" spans="1:5" x14ac:dyDescent="0.2">
      <c r="A804" s="7">
        <v>10549</v>
      </c>
      <c r="B804" s="8">
        <v>31</v>
      </c>
      <c r="C804" s="8">
        <v>12.5</v>
      </c>
      <c r="D804" s="8">
        <v>55</v>
      </c>
      <c r="E804" s="8">
        <v>0.15</v>
      </c>
    </row>
    <row r="805" spans="1:5" x14ac:dyDescent="0.2">
      <c r="A805" s="7">
        <v>10549</v>
      </c>
      <c r="B805" s="8">
        <v>45</v>
      </c>
      <c r="C805" s="8">
        <v>9.5</v>
      </c>
      <c r="D805" s="8">
        <v>100</v>
      </c>
      <c r="E805" s="8">
        <v>0.15</v>
      </c>
    </row>
    <row r="806" spans="1:5" x14ac:dyDescent="0.2">
      <c r="A806" s="7">
        <v>10549</v>
      </c>
      <c r="B806" s="8">
        <v>51</v>
      </c>
      <c r="C806" s="8">
        <v>53</v>
      </c>
      <c r="D806" s="8">
        <v>48</v>
      </c>
      <c r="E806" s="8">
        <v>0.15</v>
      </c>
    </row>
    <row r="807" spans="1:5" x14ac:dyDescent="0.2">
      <c r="A807" s="7">
        <v>10550</v>
      </c>
      <c r="B807" s="8">
        <v>17</v>
      </c>
      <c r="C807" s="8">
        <v>39</v>
      </c>
      <c r="D807" s="8">
        <v>8</v>
      </c>
      <c r="E807" s="8">
        <v>0.1</v>
      </c>
    </row>
    <row r="808" spans="1:5" x14ac:dyDescent="0.2">
      <c r="A808" s="7">
        <v>10550</v>
      </c>
      <c r="B808" s="8">
        <v>19</v>
      </c>
      <c r="C808" s="8">
        <v>9.1999999999999993</v>
      </c>
      <c r="D808" s="8">
        <v>10</v>
      </c>
      <c r="E808" s="8">
        <v>0</v>
      </c>
    </row>
    <row r="809" spans="1:5" x14ac:dyDescent="0.2">
      <c r="A809" s="7">
        <v>10550</v>
      </c>
      <c r="B809" s="8">
        <v>21</v>
      </c>
      <c r="C809" s="8">
        <v>10</v>
      </c>
      <c r="D809" s="8">
        <v>6</v>
      </c>
      <c r="E809" s="8">
        <v>0.1</v>
      </c>
    </row>
    <row r="810" spans="1:5" x14ac:dyDescent="0.2">
      <c r="A810" s="7">
        <v>10550</v>
      </c>
      <c r="B810" s="8">
        <v>61</v>
      </c>
      <c r="C810" s="8">
        <v>28.5</v>
      </c>
      <c r="D810" s="8">
        <v>10</v>
      </c>
      <c r="E810" s="8">
        <v>0.1</v>
      </c>
    </row>
    <row r="811" spans="1:5" x14ac:dyDescent="0.2">
      <c r="A811" s="7">
        <v>10551</v>
      </c>
      <c r="B811" s="8">
        <v>16</v>
      </c>
      <c r="C811" s="8">
        <v>17.45</v>
      </c>
      <c r="D811" s="8">
        <v>40</v>
      </c>
      <c r="E811" s="8">
        <v>0.15</v>
      </c>
    </row>
    <row r="812" spans="1:5" x14ac:dyDescent="0.2">
      <c r="A812" s="7">
        <v>10551</v>
      </c>
      <c r="B812" s="8">
        <v>35</v>
      </c>
      <c r="C812" s="8">
        <v>18</v>
      </c>
      <c r="D812" s="8">
        <v>20</v>
      </c>
      <c r="E812" s="8">
        <v>0.15</v>
      </c>
    </row>
    <row r="813" spans="1:5" x14ac:dyDescent="0.2">
      <c r="A813" s="7">
        <v>10551</v>
      </c>
      <c r="B813" s="8">
        <v>44</v>
      </c>
      <c r="C813" s="8">
        <v>19.45</v>
      </c>
      <c r="D813" s="8">
        <v>40</v>
      </c>
      <c r="E813" s="8">
        <v>0</v>
      </c>
    </row>
    <row r="814" spans="1:5" x14ac:dyDescent="0.2">
      <c r="A814" s="7">
        <v>10552</v>
      </c>
      <c r="B814" s="8">
        <v>69</v>
      </c>
      <c r="C814" s="8">
        <v>36</v>
      </c>
      <c r="D814" s="8">
        <v>18</v>
      </c>
      <c r="E814" s="8">
        <v>0</v>
      </c>
    </row>
    <row r="815" spans="1:5" x14ac:dyDescent="0.2">
      <c r="A815" s="7">
        <v>10552</v>
      </c>
      <c r="B815" s="8">
        <v>75</v>
      </c>
      <c r="C815" s="8">
        <v>7.75</v>
      </c>
      <c r="D815" s="8">
        <v>30</v>
      </c>
      <c r="E815" s="8">
        <v>0</v>
      </c>
    </row>
    <row r="816" spans="1:5" x14ac:dyDescent="0.2">
      <c r="A816" s="7">
        <v>10553</v>
      </c>
      <c r="B816" s="8">
        <v>11</v>
      </c>
      <c r="C816" s="8">
        <v>21</v>
      </c>
      <c r="D816" s="8">
        <v>15</v>
      </c>
      <c r="E816" s="8">
        <v>0</v>
      </c>
    </row>
    <row r="817" spans="1:5" x14ac:dyDescent="0.2">
      <c r="A817" s="7">
        <v>10553</v>
      </c>
      <c r="B817" s="8">
        <v>16</v>
      </c>
      <c r="C817" s="8">
        <v>17.45</v>
      </c>
      <c r="D817" s="8">
        <v>14</v>
      </c>
      <c r="E817" s="8">
        <v>0</v>
      </c>
    </row>
    <row r="818" spans="1:5" x14ac:dyDescent="0.2">
      <c r="A818" s="7">
        <v>10553</v>
      </c>
      <c r="B818" s="8">
        <v>22</v>
      </c>
      <c r="C818" s="8">
        <v>21</v>
      </c>
      <c r="D818" s="8">
        <v>24</v>
      </c>
      <c r="E818" s="8">
        <v>0</v>
      </c>
    </row>
    <row r="819" spans="1:5" x14ac:dyDescent="0.2">
      <c r="A819" s="7">
        <v>10553</v>
      </c>
      <c r="B819" s="8">
        <v>31</v>
      </c>
      <c r="C819" s="8">
        <v>12.5</v>
      </c>
      <c r="D819" s="8">
        <v>30</v>
      </c>
      <c r="E819" s="8">
        <v>0</v>
      </c>
    </row>
    <row r="820" spans="1:5" x14ac:dyDescent="0.2">
      <c r="A820" s="7">
        <v>10553</v>
      </c>
      <c r="B820" s="8">
        <v>35</v>
      </c>
      <c r="C820" s="8">
        <v>18</v>
      </c>
      <c r="D820" s="8">
        <v>6</v>
      </c>
      <c r="E820" s="8">
        <v>0</v>
      </c>
    </row>
    <row r="821" spans="1:5" x14ac:dyDescent="0.2">
      <c r="A821" s="7">
        <v>10554</v>
      </c>
      <c r="B821" s="8">
        <v>16</v>
      </c>
      <c r="C821" s="8">
        <v>17.45</v>
      </c>
      <c r="D821" s="8">
        <v>30</v>
      </c>
      <c r="E821" s="8">
        <v>0.05</v>
      </c>
    </row>
    <row r="822" spans="1:5" x14ac:dyDescent="0.2">
      <c r="A822" s="7">
        <v>10554</v>
      </c>
      <c r="B822" s="8">
        <v>23</v>
      </c>
      <c r="C822" s="8">
        <v>9</v>
      </c>
      <c r="D822" s="8">
        <v>20</v>
      </c>
      <c r="E822" s="8">
        <v>0.05</v>
      </c>
    </row>
    <row r="823" spans="1:5" x14ac:dyDescent="0.2">
      <c r="A823" s="7">
        <v>10554</v>
      </c>
      <c r="B823" s="8">
        <v>62</v>
      </c>
      <c r="C823" s="8">
        <v>49.3</v>
      </c>
      <c r="D823" s="8">
        <v>20</v>
      </c>
      <c r="E823" s="8">
        <v>0.05</v>
      </c>
    </row>
    <row r="824" spans="1:5" x14ac:dyDescent="0.2">
      <c r="A824" s="7">
        <v>10554</v>
      </c>
      <c r="B824" s="8">
        <v>77</v>
      </c>
      <c r="C824" s="8">
        <v>13</v>
      </c>
      <c r="D824" s="8">
        <v>10</v>
      </c>
      <c r="E824" s="8">
        <v>0.05</v>
      </c>
    </row>
    <row r="825" spans="1:5" x14ac:dyDescent="0.2">
      <c r="A825" s="7">
        <v>10555</v>
      </c>
      <c r="B825" s="8">
        <v>14</v>
      </c>
      <c r="C825" s="8">
        <v>23.25</v>
      </c>
      <c r="D825" s="8">
        <v>30</v>
      </c>
      <c r="E825" s="8">
        <v>0.2</v>
      </c>
    </row>
    <row r="826" spans="1:5" x14ac:dyDescent="0.2">
      <c r="A826" s="7">
        <v>10555</v>
      </c>
      <c r="B826" s="8">
        <v>19</v>
      </c>
      <c r="C826" s="8">
        <v>9.1999999999999993</v>
      </c>
      <c r="D826" s="8">
        <v>35</v>
      </c>
      <c r="E826" s="8">
        <v>0.2</v>
      </c>
    </row>
    <row r="827" spans="1:5" x14ac:dyDescent="0.2">
      <c r="A827" s="7">
        <v>10555</v>
      </c>
      <c r="B827" s="8">
        <v>24</v>
      </c>
      <c r="C827" s="8">
        <v>4.5</v>
      </c>
      <c r="D827" s="8">
        <v>18</v>
      </c>
      <c r="E827" s="8">
        <v>0.2</v>
      </c>
    </row>
    <row r="828" spans="1:5" x14ac:dyDescent="0.2">
      <c r="A828" s="7">
        <v>10555</v>
      </c>
      <c r="B828" s="8">
        <v>51</v>
      </c>
      <c r="C828" s="8">
        <v>53</v>
      </c>
      <c r="D828" s="8">
        <v>20</v>
      </c>
      <c r="E828" s="8">
        <v>0.2</v>
      </c>
    </row>
    <row r="829" spans="1:5" x14ac:dyDescent="0.2">
      <c r="A829" s="7">
        <v>10555</v>
      </c>
      <c r="B829" s="8">
        <v>56</v>
      </c>
      <c r="C829" s="8">
        <v>38</v>
      </c>
      <c r="D829" s="8">
        <v>40</v>
      </c>
      <c r="E829" s="8">
        <v>0.2</v>
      </c>
    </row>
    <row r="830" spans="1:5" x14ac:dyDescent="0.2">
      <c r="A830" s="7">
        <v>10556</v>
      </c>
      <c r="B830" s="8">
        <v>72</v>
      </c>
      <c r="C830" s="8">
        <v>34.799999999999997</v>
      </c>
      <c r="D830" s="8">
        <v>24</v>
      </c>
      <c r="E830" s="8">
        <v>0</v>
      </c>
    </row>
    <row r="831" spans="1:5" x14ac:dyDescent="0.2">
      <c r="A831" s="7">
        <v>10557</v>
      </c>
      <c r="B831" s="8">
        <v>64</v>
      </c>
      <c r="C831" s="8">
        <v>33.25</v>
      </c>
      <c r="D831" s="8">
        <v>30</v>
      </c>
      <c r="E831" s="8">
        <v>0</v>
      </c>
    </row>
    <row r="832" spans="1:5" x14ac:dyDescent="0.2">
      <c r="A832" s="7">
        <v>10557</v>
      </c>
      <c r="B832" s="8">
        <v>75</v>
      </c>
      <c r="C832" s="8">
        <v>7.75</v>
      </c>
      <c r="D832" s="8">
        <v>20</v>
      </c>
      <c r="E832" s="8">
        <v>0</v>
      </c>
    </row>
    <row r="833" spans="1:5" x14ac:dyDescent="0.2">
      <c r="A833" s="7">
        <v>10558</v>
      </c>
      <c r="B833" s="8">
        <v>47</v>
      </c>
      <c r="C833" s="8">
        <v>9.5</v>
      </c>
      <c r="D833" s="8">
        <v>25</v>
      </c>
      <c r="E833" s="8">
        <v>0</v>
      </c>
    </row>
    <row r="834" spans="1:5" x14ac:dyDescent="0.2">
      <c r="A834" s="7">
        <v>10558</v>
      </c>
      <c r="B834" s="8">
        <v>51</v>
      </c>
      <c r="C834" s="8">
        <v>53</v>
      </c>
      <c r="D834" s="8">
        <v>20</v>
      </c>
      <c r="E834" s="8">
        <v>0</v>
      </c>
    </row>
    <row r="835" spans="1:5" x14ac:dyDescent="0.2">
      <c r="A835" s="7">
        <v>10558</v>
      </c>
      <c r="B835" s="8">
        <v>52</v>
      </c>
      <c r="C835" s="8">
        <v>7</v>
      </c>
      <c r="D835" s="8">
        <v>30</v>
      </c>
      <c r="E835" s="8">
        <v>0</v>
      </c>
    </row>
    <row r="836" spans="1:5" x14ac:dyDescent="0.2">
      <c r="A836" s="7">
        <v>10558</v>
      </c>
      <c r="B836" s="8">
        <v>53</v>
      </c>
      <c r="C836" s="8">
        <v>32.799999999999997</v>
      </c>
      <c r="D836" s="8">
        <v>18</v>
      </c>
      <c r="E836" s="8">
        <v>0</v>
      </c>
    </row>
    <row r="837" spans="1:5" x14ac:dyDescent="0.2">
      <c r="A837" s="7">
        <v>10558</v>
      </c>
      <c r="B837" s="8">
        <v>73</v>
      </c>
      <c r="C837" s="8">
        <v>15</v>
      </c>
      <c r="D837" s="8">
        <v>3</v>
      </c>
      <c r="E837" s="8">
        <v>0</v>
      </c>
    </row>
    <row r="838" spans="1:5" x14ac:dyDescent="0.2">
      <c r="A838" s="7">
        <v>10559</v>
      </c>
      <c r="B838" s="8">
        <v>41</v>
      </c>
      <c r="C838" s="8">
        <v>9.65</v>
      </c>
      <c r="D838" s="8">
        <v>12</v>
      </c>
      <c r="E838" s="8">
        <v>0.05</v>
      </c>
    </row>
    <row r="839" spans="1:5" x14ac:dyDescent="0.2">
      <c r="A839" s="7">
        <v>10559</v>
      </c>
      <c r="B839" s="8">
        <v>55</v>
      </c>
      <c r="C839" s="8">
        <v>24</v>
      </c>
      <c r="D839" s="8">
        <v>18</v>
      </c>
      <c r="E839" s="8">
        <v>0.05</v>
      </c>
    </row>
    <row r="840" spans="1:5" x14ac:dyDescent="0.2">
      <c r="A840" s="7">
        <v>10560</v>
      </c>
      <c r="B840" s="8">
        <v>30</v>
      </c>
      <c r="C840" s="8">
        <v>25.89</v>
      </c>
      <c r="D840" s="8">
        <v>20</v>
      </c>
      <c r="E840" s="8">
        <v>0</v>
      </c>
    </row>
    <row r="841" spans="1:5" x14ac:dyDescent="0.2">
      <c r="A841" s="7">
        <v>10560</v>
      </c>
      <c r="B841" s="8">
        <v>62</v>
      </c>
      <c r="C841" s="8">
        <v>49.3</v>
      </c>
      <c r="D841" s="8">
        <v>15</v>
      </c>
      <c r="E841" s="8">
        <v>0.25</v>
      </c>
    </row>
    <row r="842" spans="1:5" x14ac:dyDescent="0.2">
      <c r="A842" s="7">
        <v>10561</v>
      </c>
      <c r="B842" s="8">
        <v>44</v>
      </c>
      <c r="C842" s="8">
        <v>19.45</v>
      </c>
      <c r="D842" s="8">
        <v>10</v>
      </c>
      <c r="E842" s="8">
        <v>0</v>
      </c>
    </row>
    <row r="843" spans="1:5" x14ac:dyDescent="0.2">
      <c r="A843" s="7">
        <v>10561</v>
      </c>
      <c r="B843" s="8">
        <v>51</v>
      </c>
      <c r="C843" s="8">
        <v>53</v>
      </c>
      <c r="D843" s="8">
        <v>50</v>
      </c>
      <c r="E843" s="8">
        <v>0</v>
      </c>
    </row>
    <row r="844" spans="1:5" x14ac:dyDescent="0.2">
      <c r="A844" s="7">
        <v>10562</v>
      </c>
      <c r="B844" s="8">
        <v>33</v>
      </c>
      <c r="C844" s="8">
        <v>2.5</v>
      </c>
      <c r="D844" s="8">
        <v>20</v>
      </c>
      <c r="E844" s="8">
        <v>0.1</v>
      </c>
    </row>
    <row r="845" spans="1:5" x14ac:dyDescent="0.2">
      <c r="A845" s="7">
        <v>10562</v>
      </c>
      <c r="B845" s="8">
        <v>62</v>
      </c>
      <c r="C845" s="8">
        <v>49.3</v>
      </c>
      <c r="D845" s="8">
        <v>10</v>
      </c>
      <c r="E845" s="8">
        <v>0.1</v>
      </c>
    </row>
    <row r="846" spans="1:5" x14ac:dyDescent="0.2">
      <c r="A846" s="7">
        <v>10563</v>
      </c>
      <c r="B846" s="8">
        <v>36</v>
      </c>
      <c r="C846" s="8">
        <v>19</v>
      </c>
      <c r="D846" s="8">
        <v>25</v>
      </c>
      <c r="E846" s="8">
        <v>0</v>
      </c>
    </row>
    <row r="847" spans="1:5" x14ac:dyDescent="0.2">
      <c r="A847" s="7">
        <v>10563</v>
      </c>
      <c r="B847" s="8">
        <v>52</v>
      </c>
      <c r="C847" s="8">
        <v>7</v>
      </c>
      <c r="D847" s="8">
        <v>70</v>
      </c>
      <c r="E847" s="8">
        <v>0</v>
      </c>
    </row>
    <row r="848" spans="1:5" x14ac:dyDescent="0.2">
      <c r="A848" s="7">
        <v>10564</v>
      </c>
      <c r="B848" s="8">
        <v>17</v>
      </c>
      <c r="C848" s="8">
        <v>39</v>
      </c>
      <c r="D848" s="8">
        <v>16</v>
      </c>
      <c r="E848" s="8">
        <v>0.05</v>
      </c>
    </row>
    <row r="849" spans="1:5" x14ac:dyDescent="0.2">
      <c r="A849" s="7">
        <v>10564</v>
      </c>
      <c r="B849" s="8">
        <v>31</v>
      </c>
      <c r="C849" s="8">
        <v>12.5</v>
      </c>
      <c r="D849" s="8">
        <v>6</v>
      </c>
      <c r="E849" s="8">
        <v>0.05</v>
      </c>
    </row>
    <row r="850" spans="1:5" x14ac:dyDescent="0.2">
      <c r="A850" s="7">
        <v>10564</v>
      </c>
      <c r="B850" s="8">
        <v>55</v>
      </c>
      <c r="C850" s="8">
        <v>24</v>
      </c>
      <c r="D850" s="8">
        <v>25</v>
      </c>
      <c r="E850" s="8">
        <v>0.05</v>
      </c>
    </row>
    <row r="851" spans="1:5" x14ac:dyDescent="0.2">
      <c r="A851" s="7">
        <v>10565</v>
      </c>
      <c r="B851" s="8">
        <v>24</v>
      </c>
      <c r="C851" s="8">
        <v>4.5</v>
      </c>
      <c r="D851" s="8">
        <v>25</v>
      </c>
      <c r="E851" s="8">
        <v>0.1</v>
      </c>
    </row>
    <row r="852" spans="1:5" x14ac:dyDescent="0.2">
      <c r="A852" s="7">
        <v>10565</v>
      </c>
      <c r="B852" s="8">
        <v>64</v>
      </c>
      <c r="C852" s="8">
        <v>33.25</v>
      </c>
      <c r="D852" s="8">
        <v>18</v>
      </c>
      <c r="E852" s="8">
        <v>0.1</v>
      </c>
    </row>
    <row r="853" spans="1:5" x14ac:dyDescent="0.2">
      <c r="A853" s="7">
        <v>10566</v>
      </c>
      <c r="B853" s="8">
        <v>11</v>
      </c>
      <c r="C853" s="8">
        <v>21</v>
      </c>
      <c r="D853" s="8">
        <v>35</v>
      </c>
      <c r="E853" s="8">
        <v>0.15</v>
      </c>
    </row>
    <row r="854" spans="1:5" x14ac:dyDescent="0.2">
      <c r="A854" s="7">
        <v>10566</v>
      </c>
      <c r="B854" s="8">
        <v>18</v>
      </c>
      <c r="C854" s="8">
        <v>62.5</v>
      </c>
      <c r="D854" s="8">
        <v>18</v>
      </c>
      <c r="E854" s="8">
        <v>0.15</v>
      </c>
    </row>
    <row r="855" spans="1:5" x14ac:dyDescent="0.2">
      <c r="A855" s="7">
        <v>10566</v>
      </c>
      <c r="B855" s="8">
        <v>76</v>
      </c>
      <c r="C855" s="8">
        <v>18</v>
      </c>
      <c r="D855" s="8">
        <v>10</v>
      </c>
      <c r="E855" s="8">
        <v>0</v>
      </c>
    </row>
    <row r="856" spans="1:5" x14ac:dyDescent="0.2">
      <c r="A856" s="7">
        <v>10567</v>
      </c>
      <c r="B856" s="8">
        <v>31</v>
      </c>
      <c r="C856" s="8">
        <v>12.5</v>
      </c>
      <c r="D856" s="8">
        <v>60</v>
      </c>
      <c r="E856" s="8">
        <v>0.2</v>
      </c>
    </row>
    <row r="857" spans="1:5" x14ac:dyDescent="0.2">
      <c r="A857" s="7">
        <v>10567</v>
      </c>
      <c r="B857" s="8">
        <v>51</v>
      </c>
      <c r="C857" s="8">
        <v>53</v>
      </c>
      <c r="D857" s="8">
        <v>3</v>
      </c>
      <c r="E857" s="8">
        <v>0</v>
      </c>
    </row>
    <row r="858" spans="1:5" x14ac:dyDescent="0.2">
      <c r="A858" s="7">
        <v>10567</v>
      </c>
      <c r="B858" s="8">
        <v>59</v>
      </c>
      <c r="C858" s="8">
        <v>55</v>
      </c>
      <c r="D858" s="8">
        <v>40</v>
      </c>
      <c r="E858" s="8">
        <v>0.2</v>
      </c>
    </row>
    <row r="859" spans="1:5" x14ac:dyDescent="0.2">
      <c r="A859" s="7">
        <v>10568</v>
      </c>
      <c r="B859" s="8">
        <v>10</v>
      </c>
      <c r="C859" s="8">
        <v>31</v>
      </c>
      <c r="D859" s="8">
        <v>5</v>
      </c>
      <c r="E859" s="8">
        <v>0</v>
      </c>
    </row>
    <row r="860" spans="1:5" x14ac:dyDescent="0.2">
      <c r="A860" s="7">
        <v>10569</v>
      </c>
      <c r="B860" s="8">
        <v>31</v>
      </c>
      <c r="C860" s="8">
        <v>12.5</v>
      </c>
      <c r="D860" s="8">
        <v>35</v>
      </c>
      <c r="E860" s="8">
        <v>0.2</v>
      </c>
    </row>
    <row r="861" spans="1:5" x14ac:dyDescent="0.2">
      <c r="A861" s="7">
        <v>10569</v>
      </c>
      <c r="B861" s="8">
        <v>76</v>
      </c>
      <c r="C861" s="8">
        <v>18</v>
      </c>
      <c r="D861" s="8">
        <v>30</v>
      </c>
      <c r="E861" s="8">
        <v>0</v>
      </c>
    </row>
    <row r="862" spans="1:5" x14ac:dyDescent="0.2">
      <c r="A862" s="7">
        <v>10570</v>
      </c>
      <c r="B862" s="8">
        <v>11</v>
      </c>
      <c r="C862" s="8">
        <v>21</v>
      </c>
      <c r="D862" s="8">
        <v>15</v>
      </c>
      <c r="E862" s="8">
        <v>0.05</v>
      </c>
    </row>
    <row r="863" spans="1:5" x14ac:dyDescent="0.2">
      <c r="A863" s="7">
        <v>10570</v>
      </c>
      <c r="B863" s="8">
        <v>56</v>
      </c>
      <c r="C863" s="8">
        <v>38</v>
      </c>
      <c r="D863" s="8">
        <v>60</v>
      </c>
      <c r="E863" s="8">
        <v>0.05</v>
      </c>
    </row>
    <row r="864" spans="1:5" x14ac:dyDescent="0.2">
      <c r="A864" s="7">
        <v>10571</v>
      </c>
      <c r="B864" s="8">
        <v>14</v>
      </c>
      <c r="C864" s="8">
        <v>23.25</v>
      </c>
      <c r="D864" s="8">
        <v>11</v>
      </c>
      <c r="E864" s="8">
        <v>0.15</v>
      </c>
    </row>
    <row r="865" spans="1:5" x14ac:dyDescent="0.2">
      <c r="A865" s="7">
        <v>10571</v>
      </c>
      <c r="B865" s="8">
        <v>42</v>
      </c>
      <c r="C865" s="8">
        <v>14</v>
      </c>
      <c r="D865" s="8">
        <v>28</v>
      </c>
      <c r="E865" s="8">
        <v>0.15</v>
      </c>
    </row>
    <row r="866" spans="1:5" x14ac:dyDescent="0.2">
      <c r="A866" s="7">
        <v>10572</v>
      </c>
      <c r="B866" s="8">
        <v>16</v>
      </c>
      <c r="C866" s="8">
        <v>17.45</v>
      </c>
      <c r="D866" s="8">
        <v>12</v>
      </c>
      <c r="E866" s="8">
        <v>0.1</v>
      </c>
    </row>
    <row r="867" spans="1:5" x14ac:dyDescent="0.2">
      <c r="A867" s="7">
        <v>10572</v>
      </c>
      <c r="B867" s="8">
        <v>32</v>
      </c>
      <c r="C867" s="8">
        <v>32</v>
      </c>
      <c r="D867" s="8">
        <v>10</v>
      </c>
      <c r="E867" s="8">
        <v>0.1</v>
      </c>
    </row>
    <row r="868" spans="1:5" x14ac:dyDescent="0.2">
      <c r="A868" s="7">
        <v>10572</v>
      </c>
      <c r="B868" s="8">
        <v>40</v>
      </c>
      <c r="C868" s="8">
        <v>18.399999999999999</v>
      </c>
      <c r="D868" s="8">
        <v>50</v>
      </c>
      <c r="E868" s="8">
        <v>0</v>
      </c>
    </row>
    <row r="869" spans="1:5" x14ac:dyDescent="0.2">
      <c r="A869" s="7">
        <v>10572</v>
      </c>
      <c r="B869" s="8">
        <v>75</v>
      </c>
      <c r="C869" s="8">
        <v>7.75</v>
      </c>
      <c r="D869" s="8">
        <v>15</v>
      </c>
      <c r="E869" s="8">
        <v>0.1</v>
      </c>
    </row>
    <row r="870" spans="1:5" x14ac:dyDescent="0.2">
      <c r="A870" s="7">
        <v>10573</v>
      </c>
      <c r="B870" s="8">
        <v>17</v>
      </c>
      <c r="C870" s="8">
        <v>39</v>
      </c>
      <c r="D870" s="8">
        <v>18</v>
      </c>
      <c r="E870" s="8">
        <v>0</v>
      </c>
    </row>
    <row r="871" spans="1:5" x14ac:dyDescent="0.2">
      <c r="A871" s="7">
        <v>10573</v>
      </c>
      <c r="B871" s="8">
        <v>34</v>
      </c>
      <c r="C871" s="8">
        <v>14</v>
      </c>
      <c r="D871" s="8">
        <v>40</v>
      </c>
      <c r="E871" s="8">
        <v>0</v>
      </c>
    </row>
    <row r="872" spans="1:5" x14ac:dyDescent="0.2">
      <c r="A872" s="7">
        <v>10573</v>
      </c>
      <c r="B872" s="8">
        <v>53</v>
      </c>
      <c r="C872" s="8">
        <v>32.799999999999997</v>
      </c>
      <c r="D872" s="8">
        <v>25</v>
      </c>
      <c r="E872" s="8">
        <v>0</v>
      </c>
    </row>
    <row r="873" spans="1:5" x14ac:dyDescent="0.2">
      <c r="A873" s="7">
        <v>10574</v>
      </c>
      <c r="B873" s="8">
        <v>33</v>
      </c>
      <c r="C873" s="8">
        <v>2.5</v>
      </c>
      <c r="D873" s="8">
        <v>14</v>
      </c>
      <c r="E873" s="8">
        <v>0</v>
      </c>
    </row>
    <row r="874" spans="1:5" x14ac:dyDescent="0.2">
      <c r="A874" s="7">
        <v>10574</v>
      </c>
      <c r="B874" s="8">
        <v>40</v>
      </c>
      <c r="C874" s="8">
        <v>18.399999999999999</v>
      </c>
      <c r="D874" s="8">
        <v>2</v>
      </c>
      <c r="E874" s="8">
        <v>0</v>
      </c>
    </row>
    <row r="875" spans="1:5" x14ac:dyDescent="0.2">
      <c r="A875" s="7">
        <v>10574</v>
      </c>
      <c r="B875" s="8">
        <v>62</v>
      </c>
      <c r="C875" s="8">
        <v>49.3</v>
      </c>
      <c r="D875" s="8">
        <v>10</v>
      </c>
      <c r="E875" s="8">
        <v>0</v>
      </c>
    </row>
    <row r="876" spans="1:5" x14ac:dyDescent="0.2">
      <c r="A876" s="7">
        <v>10574</v>
      </c>
      <c r="B876" s="8">
        <v>64</v>
      </c>
      <c r="C876" s="8">
        <v>33.25</v>
      </c>
      <c r="D876" s="8">
        <v>6</v>
      </c>
      <c r="E876" s="8">
        <v>0</v>
      </c>
    </row>
    <row r="877" spans="1:5" x14ac:dyDescent="0.2">
      <c r="A877" s="7">
        <v>10575</v>
      </c>
      <c r="B877" s="8">
        <v>59</v>
      </c>
      <c r="C877" s="8">
        <v>55</v>
      </c>
      <c r="D877" s="8">
        <v>12</v>
      </c>
      <c r="E877" s="8">
        <v>0</v>
      </c>
    </row>
    <row r="878" spans="1:5" x14ac:dyDescent="0.2">
      <c r="A878" s="7">
        <v>10575</v>
      </c>
      <c r="B878" s="8">
        <v>63</v>
      </c>
      <c r="C878" s="8">
        <v>43.9</v>
      </c>
      <c r="D878" s="8">
        <v>6</v>
      </c>
      <c r="E878" s="8">
        <v>0</v>
      </c>
    </row>
    <row r="879" spans="1:5" x14ac:dyDescent="0.2">
      <c r="A879" s="7">
        <v>10575</v>
      </c>
      <c r="B879" s="8">
        <v>72</v>
      </c>
      <c r="C879" s="8">
        <v>34.799999999999997</v>
      </c>
      <c r="D879" s="8">
        <v>30</v>
      </c>
      <c r="E879" s="8">
        <v>0</v>
      </c>
    </row>
    <row r="880" spans="1:5" x14ac:dyDescent="0.2">
      <c r="A880" s="7">
        <v>10575</v>
      </c>
      <c r="B880" s="8">
        <v>76</v>
      </c>
      <c r="C880" s="8">
        <v>18</v>
      </c>
      <c r="D880" s="8">
        <v>10</v>
      </c>
      <c r="E880" s="8">
        <v>0</v>
      </c>
    </row>
    <row r="881" spans="1:5" x14ac:dyDescent="0.2">
      <c r="A881" s="7">
        <v>10576</v>
      </c>
      <c r="B881" s="8">
        <v>1</v>
      </c>
      <c r="C881" s="8">
        <v>18</v>
      </c>
      <c r="D881" s="8">
        <v>10</v>
      </c>
      <c r="E881" s="8">
        <v>0</v>
      </c>
    </row>
    <row r="882" spans="1:5" x14ac:dyDescent="0.2">
      <c r="A882" s="7">
        <v>10576</v>
      </c>
      <c r="B882" s="8">
        <v>31</v>
      </c>
      <c r="C882" s="8">
        <v>12.5</v>
      </c>
      <c r="D882" s="8">
        <v>20</v>
      </c>
      <c r="E882" s="8">
        <v>0</v>
      </c>
    </row>
    <row r="883" spans="1:5" x14ac:dyDescent="0.2">
      <c r="A883" s="7">
        <v>10576</v>
      </c>
      <c r="B883" s="8">
        <v>44</v>
      </c>
      <c r="C883" s="8">
        <v>19.45</v>
      </c>
      <c r="D883" s="8">
        <v>21</v>
      </c>
      <c r="E883" s="8">
        <v>0</v>
      </c>
    </row>
    <row r="884" spans="1:5" x14ac:dyDescent="0.2">
      <c r="A884" s="7">
        <v>10577</v>
      </c>
      <c r="B884" s="8">
        <v>39</v>
      </c>
      <c r="C884" s="8">
        <v>18</v>
      </c>
      <c r="D884" s="8">
        <v>10</v>
      </c>
      <c r="E884" s="8">
        <v>0</v>
      </c>
    </row>
    <row r="885" spans="1:5" x14ac:dyDescent="0.2">
      <c r="A885" s="7">
        <v>10577</v>
      </c>
      <c r="B885" s="8">
        <v>75</v>
      </c>
      <c r="C885" s="8">
        <v>7.75</v>
      </c>
      <c r="D885" s="8">
        <v>20</v>
      </c>
      <c r="E885" s="8">
        <v>0</v>
      </c>
    </row>
    <row r="886" spans="1:5" x14ac:dyDescent="0.2">
      <c r="A886" s="7">
        <v>10577</v>
      </c>
      <c r="B886" s="8">
        <v>77</v>
      </c>
      <c r="C886" s="8">
        <v>13</v>
      </c>
      <c r="D886" s="8">
        <v>18</v>
      </c>
      <c r="E886" s="8">
        <v>0</v>
      </c>
    </row>
    <row r="887" spans="1:5" x14ac:dyDescent="0.2">
      <c r="A887" s="7">
        <v>10578</v>
      </c>
      <c r="B887" s="8">
        <v>35</v>
      </c>
      <c r="C887" s="8">
        <v>18</v>
      </c>
      <c r="D887" s="8">
        <v>20</v>
      </c>
      <c r="E887" s="8">
        <v>0</v>
      </c>
    </row>
    <row r="888" spans="1:5" x14ac:dyDescent="0.2">
      <c r="A888" s="7">
        <v>10578</v>
      </c>
      <c r="B888" s="8">
        <v>57</v>
      </c>
      <c r="C888" s="8">
        <v>19.5</v>
      </c>
      <c r="D888" s="8">
        <v>6</v>
      </c>
      <c r="E888" s="8">
        <v>0</v>
      </c>
    </row>
    <row r="889" spans="1:5" x14ac:dyDescent="0.2">
      <c r="A889" s="7">
        <v>10579</v>
      </c>
      <c r="B889" s="8">
        <v>15</v>
      </c>
      <c r="C889" s="8">
        <v>15.5</v>
      </c>
      <c r="D889" s="8">
        <v>10</v>
      </c>
      <c r="E889" s="8">
        <v>0</v>
      </c>
    </row>
    <row r="890" spans="1:5" x14ac:dyDescent="0.2">
      <c r="A890" s="7">
        <v>10579</v>
      </c>
      <c r="B890" s="8">
        <v>75</v>
      </c>
      <c r="C890" s="8">
        <v>7.75</v>
      </c>
      <c r="D890" s="8">
        <v>21</v>
      </c>
      <c r="E890" s="8">
        <v>0</v>
      </c>
    </row>
    <row r="891" spans="1:5" x14ac:dyDescent="0.2">
      <c r="A891" s="7">
        <v>10580</v>
      </c>
      <c r="B891" s="8">
        <v>14</v>
      </c>
      <c r="C891" s="8">
        <v>23.25</v>
      </c>
      <c r="D891" s="8">
        <v>15</v>
      </c>
      <c r="E891" s="8">
        <v>0.05</v>
      </c>
    </row>
    <row r="892" spans="1:5" x14ac:dyDescent="0.2">
      <c r="A892" s="7">
        <v>10580</v>
      </c>
      <c r="B892" s="8">
        <v>41</v>
      </c>
      <c r="C892" s="8">
        <v>9.65</v>
      </c>
      <c r="D892" s="8">
        <v>9</v>
      </c>
      <c r="E892" s="8">
        <v>0.05</v>
      </c>
    </row>
    <row r="893" spans="1:5" x14ac:dyDescent="0.2">
      <c r="A893" s="7">
        <v>10580</v>
      </c>
      <c r="B893" s="8">
        <v>65</v>
      </c>
      <c r="C893" s="8">
        <v>21.05</v>
      </c>
      <c r="D893" s="8">
        <v>30</v>
      </c>
      <c r="E893" s="8">
        <v>0.05</v>
      </c>
    </row>
    <row r="894" spans="1:5" x14ac:dyDescent="0.2">
      <c r="A894" s="7">
        <v>10581</v>
      </c>
      <c r="B894" s="8">
        <v>75</v>
      </c>
      <c r="C894" s="8">
        <v>7.75</v>
      </c>
      <c r="D894" s="8">
        <v>50</v>
      </c>
      <c r="E894" s="8">
        <v>0.2</v>
      </c>
    </row>
    <row r="895" spans="1:5" x14ac:dyDescent="0.2">
      <c r="A895" s="7">
        <v>10582</v>
      </c>
      <c r="B895" s="8">
        <v>57</v>
      </c>
      <c r="C895" s="8">
        <v>19.5</v>
      </c>
      <c r="D895" s="8">
        <v>4</v>
      </c>
      <c r="E895" s="8">
        <v>0</v>
      </c>
    </row>
    <row r="896" spans="1:5" x14ac:dyDescent="0.2">
      <c r="A896" s="7">
        <v>10582</v>
      </c>
      <c r="B896" s="8">
        <v>76</v>
      </c>
      <c r="C896" s="8">
        <v>18</v>
      </c>
      <c r="D896" s="8">
        <v>14</v>
      </c>
      <c r="E896" s="8">
        <v>0</v>
      </c>
    </row>
    <row r="897" spans="1:5" x14ac:dyDescent="0.2">
      <c r="A897" s="7">
        <v>10583</v>
      </c>
      <c r="B897" s="8">
        <v>29</v>
      </c>
      <c r="C897" s="8">
        <v>123.79</v>
      </c>
      <c r="D897" s="8">
        <v>10</v>
      </c>
      <c r="E897" s="8">
        <v>0</v>
      </c>
    </row>
    <row r="898" spans="1:5" x14ac:dyDescent="0.2">
      <c r="A898" s="7">
        <v>10583</v>
      </c>
      <c r="B898" s="8">
        <v>60</v>
      </c>
      <c r="C898" s="8">
        <v>34</v>
      </c>
      <c r="D898" s="8">
        <v>24</v>
      </c>
      <c r="E898" s="8">
        <v>0.15</v>
      </c>
    </row>
    <row r="899" spans="1:5" x14ac:dyDescent="0.2">
      <c r="A899" s="7">
        <v>10583</v>
      </c>
      <c r="B899" s="8">
        <v>69</v>
      </c>
      <c r="C899" s="8">
        <v>36</v>
      </c>
      <c r="D899" s="8">
        <v>10</v>
      </c>
      <c r="E899" s="8">
        <v>0.15</v>
      </c>
    </row>
    <row r="900" spans="1:5" x14ac:dyDescent="0.2">
      <c r="A900" s="7">
        <v>10584</v>
      </c>
      <c r="B900" s="8">
        <v>31</v>
      </c>
      <c r="C900" s="8">
        <v>12.5</v>
      </c>
      <c r="D900" s="8">
        <v>50</v>
      </c>
      <c r="E900" s="8">
        <v>0.05</v>
      </c>
    </row>
    <row r="901" spans="1:5" x14ac:dyDescent="0.2">
      <c r="A901" s="7">
        <v>10585</v>
      </c>
      <c r="B901" s="8">
        <v>47</v>
      </c>
      <c r="C901" s="8">
        <v>9.5</v>
      </c>
      <c r="D901" s="8">
        <v>15</v>
      </c>
      <c r="E901" s="8">
        <v>0</v>
      </c>
    </row>
    <row r="902" spans="1:5" x14ac:dyDescent="0.2">
      <c r="A902" s="7">
        <v>10586</v>
      </c>
      <c r="B902" s="8">
        <v>52</v>
      </c>
      <c r="C902" s="8">
        <v>7</v>
      </c>
      <c r="D902" s="8">
        <v>4</v>
      </c>
      <c r="E902" s="8">
        <v>0.15</v>
      </c>
    </row>
    <row r="903" spans="1:5" x14ac:dyDescent="0.2">
      <c r="A903" s="7">
        <v>10587</v>
      </c>
      <c r="B903" s="8">
        <v>26</v>
      </c>
      <c r="C903" s="8">
        <v>31.23</v>
      </c>
      <c r="D903" s="8">
        <v>6</v>
      </c>
      <c r="E903" s="8">
        <v>0</v>
      </c>
    </row>
    <row r="904" spans="1:5" x14ac:dyDescent="0.2">
      <c r="A904" s="7">
        <v>10587</v>
      </c>
      <c r="B904" s="8">
        <v>35</v>
      </c>
      <c r="C904" s="8">
        <v>18</v>
      </c>
      <c r="D904" s="8">
        <v>20</v>
      </c>
      <c r="E904" s="8">
        <v>0</v>
      </c>
    </row>
    <row r="905" spans="1:5" x14ac:dyDescent="0.2">
      <c r="A905" s="7">
        <v>10587</v>
      </c>
      <c r="B905" s="8">
        <v>77</v>
      </c>
      <c r="C905" s="8">
        <v>13</v>
      </c>
      <c r="D905" s="8">
        <v>20</v>
      </c>
      <c r="E905" s="8">
        <v>0</v>
      </c>
    </row>
    <row r="906" spans="1:5" x14ac:dyDescent="0.2">
      <c r="A906" s="7">
        <v>10588</v>
      </c>
      <c r="B906" s="8">
        <v>18</v>
      </c>
      <c r="C906" s="8">
        <v>62.5</v>
      </c>
      <c r="D906" s="8">
        <v>40</v>
      </c>
      <c r="E906" s="8">
        <v>0.2</v>
      </c>
    </row>
    <row r="907" spans="1:5" x14ac:dyDescent="0.2">
      <c r="A907" s="7">
        <v>10588</v>
      </c>
      <c r="B907" s="8">
        <v>42</v>
      </c>
      <c r="C907" s="8">
        <v>14</v>
      </c>
      <c r="D907" s="8">
        <v>100</v>
      </c>
      <c r="E907" s="8">
        <v>0.2</v>
      </c>
    </row>
    <row r="908" spans="1:5" x14ac:dyDescent="0.2">
      <c r="A908" s="7">
        <v>10589</v>
      </c>
      <c r="B908" s="8">
        <v>35</v>
      </c>
      <c r="C908" s="8">
        <v>18</v>
      </c>
      <c r="D908" s="8">
        <v>4</v>
      </c>
      <c r="E908" s="8">
        <v>0</v>
      </c>
    </row>
    <row r="909" spans="1:5" x14ac:dyDescent="0.2">
      <c r="A909" s="7">
        <v>10590</v>
      </c>
      <c r="B909" s="8">
        <v>1</v>
      </c>
      <c r="C909" s="8">
        <v>18</v>
      </c>
      <c r="D909" s="8">
        <v>20</v>
      </c>
      <c r="E909" s="8">
        <v>0</v>
      </c>
    </row>
    <row r="910" spans="1:5" x14ac:dyDescent="0.2">
      <c r="A910" s="7">
        <v>10590</v>
      </c>
      <c r="B910" s="8">
        <v>77</v>
      </c>
      <c r="C910" s="8">
        <v>13</v>
      </c>
      <c r="D910" s="8">
        <v>60</v>
      </c>
      <c r="E910" s="8">
        <v>0.05</v>
      </c>
    </row>
    <row r="911" spans="1:5" x14ac:dyDescent="0.2">
      <c r="A911" s="7">
        <v>10591</v>
      </c>
      <c r="B911" s="8">
        <v>3</v>
      </c>
      <c r="C911" s="8">
        <v>10</v>
      </c>
      <c r="D911" s="8">
        <v>14</v>
      </c>
      <c r="E911" s="8">
        <v>0</v>
      </c>
    </row>
    <row r="912" spans="1:5" x14ac:dyDescent="0.2">
      <c r="A912" s="7">
        <v>10591</v>
      </c>
      <c r="B912" s="8">
        <v>7</v>
      </c>
      <c r="C912" s="8">
        <v>30</v>
      </c>
      <c r="D912" s="8">
        <v>10</v>
      </c>
      <c r="E912" s="8">
        <v>0</v>
      </c>
    </row>
    <row r="913" spans="1:5" x14ac:dyDescent="0.2">
      <c r="A913" s="7">
        <v>10591</v>
      </c>
      <c r="B913" s="8">
        <v>54</v>
      </c>
      <c r="C913" s="8">
        <v>7.45</v>
      </c>
      <c r="D913" s="8">
        <v>50</v>
      </c>
      <c r="E913" s="8">
        <v>0</v>
      </c>
    </row>
    <row r="914" spans="1:5" x14ac:dyDescent="0.2">
      <c r="A914" s="7">
        <v>10592</v>
      </c>
      <c r="B914" s="8">
        <v>15</v>
      </c>
      <c r="C914" s="8">
        <v>15.5</v>
      </c>
      <c r="D914" s="8">
        <v>25</v>
      </c>
      <c r="E914" s="8">
        <v>0.05</v>
      </c>
    </row>
    <row r="915" spans="1:5" x14ac:dyDescent="0.2">
      <c r="A915" s="7">
        <v>10592</v>
      </c>
      <c r="B915" s="8">
        <v>26</v>
      </c>
      <c r="C915" s="8">
        <v>31.23</v>
      </c>
      <c r="D915" s="8">
        <v>5</v>
      </c>
      <c r="E915" s="8">
        <v>0.05</v>
      </c>
    </row>
    <row r="916" spans="1:5" x14ac:dyDescent="0.2">
      <c r="A916" s="7">
        <v>10593</v>
      </c>
      <c r="B916" s="8">
        <v>20</v>
      </c>
      <c r="C916" s="8">
        <v>81</v>
      </c>
      <c r="D916" s="8">
        <v>21</v>
      </c>
      <c r="E916" s="8">
        <v>0.2</v>
      </c>
    </row>
    <row r="917" spans="1:5" x14ac:dyDescent="0.2">
      <c r="A917" s="7">
        <v>10593</v>
      </c>
      <c r="B917" s="8">
        <v>69</v>
      </c>
      <c r="C917" s="8">
        <v>36</v>
      </c>
      <c r="D917" s="8">
        <v>20</v>
      </c>
      <c r="E917" s="8">
        <v>0.2</v>
      </c>
    </row>
    <row r="918" spans="1:5" x14ac:dyDescent="0.2">
      <c r="A918" s="7">
        <v>10593</v>
      </c>
      <c r="B918" s="8">
        <v>76</v>
      </c>
      <c r="C918" s="8">
        <v>18</v>
      </c>
      <c r="D918" s="8">
        <v>4</v>
      </c>
      <c r="E918" s="8">
        <v>0.2</v>
      </c>
    </row>
    <row r="919" spans="1:5" x14ac:dyDescent="0.2">
      <c r="A919" s="7">
        <v>10594</v>
      </c>
      <c r="B919" s="8">
        <v>52</v>
      </c>
      <c r="C919" s="8">
        <v>7</v>
      </c>
      <c r="D919" s="8">
        <v>24</v>
      </c>
      <c r="E919" s="8">
        <v>0</v>
      </c>
    </row>
    <row r="920" spans="1:5" x14ac:dyDescent="0.2">
      <c r="A920" s="7">
        <v>10594</v>
      </c>
      <c r="B920" s="8">
        <v>58</v>
      </c>
      <c r="C920" s="8">
        <v>13.25</v>
      </c>
      <c r="D920" s="8">
        <v>30</v>
      </c>
      <c r="E920" s="8">
        <v>0</v>
      </c>
    </row>
    <row r="921" spans="1:5" x14ac:dyDescent="0.2">
      <c r="A921" s="7">
        <v>10595</v>
      </c>
      <c r="B921" s="8">
        <v>35</v>
      </c>
      <c r="C921" s="8">
        <v>18</v>
      </c>
      <c r="D921" s="8">
        <v>30</v>
      </c>
      <c r="E921" s="8">
        <v>0.25</v>
      </c>
    </row>
    <row r="922" spans="1:5" x14ac:dyDescent="0.2">
      <c r="A922" s="7">
        <v>10595</v>
      </c>
      <c r="B922" s="8">
        <v>61</v>
      </c>
      <c r="C922" s="8">
        <v>28.5</v>
      </c>
      <c r="D922" s="8">
        <v>120</v>
      </c>
      <c r="E922" s="8">
        <v>0.25</v>
      </c>
    </row>
    <row r="923" spans="1:5" x14ac:dyDescent="0.2">
      <c r="A923" s="7">
        <v>10595</v>
      </c>
      <c r="B923" s="8">
        <v>69</v>
      </c>
      <c r="C923" s="8">
        <v>36</v>
      </c>
      <c r="D923" s="8">
        <v>65</v>
      </c>
      <c r="E923" s="8">
        <v>0.25</v>
      </c>
    </row>
    <row r="924" spans="1:5" x14ac:dyDescent="0.2">
      <c r="A924" s="7">
        <v>10596</v>
      </c>
      <c r="B924" s="8">
        <v>56</v>
      </c>
      <c r="C924" s="8">
        <v>38</v>
      </c>
      <c r="D924" s="8">
        <v>5</v>
      </c>
      <c r="E924" s="8">
        <v>0.2</v>
      </c>
    </row>
    <row r="925" spans="1:5" x14ac:dyDescent="0.2">
      <c r="A925" s="7">
        <v>10596</v>
      </c>
      <c r="B925" s="8">
        <v>63</v>
      </c>
      <c r="C925" s="8">
        <v>43.9</v>
      </c>
      <c r="D925" s="8">
        <v>24</v>
      </c>
      <c r="E925" s="8">
        <v>0.2</v>
      </c>
    </row>
    <row r="926" spans="1:5" x14ac:dyDescent="0.2">
      <c r="A926" s="7">
        <v>10596</v>
      </c>
      <c r="B926" s="8">
        <v>75</v>
      </c>
      <c r="C926" s="8">
        <v>7.75</v>
      </c>
      <c r="D926" s="8">
        <v>30</v>
      </c>
      <c r="E926" s="8">
        <v>0.2</v>
      </c>
    </row>
    <row r="927" spans="1:5" x14ac:dyDescent="0.2">
      <c r="A927" s="7">
        <v>10597</v>
      </c>
      <c r="B927" s="8">
        <v>24</v>
      </c>
      <c r="C927" s="8">
        <v>4.5</v>
      </c>
      <c r="D927" s="8">
        <v>35</v>
      </c>
      <c r="E927" s="8">
        <v>0.2</v>
      </c>
    </row>
    <row r="928" spans="1:5" x14ac:dyDescent="0.2">
      <c r="A928" s="7">
        <v>10597</v>
      </c>
      <c r="B928" s="8">
        <v>57</v>
      </c>
      <c r="C928" s="8">
        <v>19.5</v>
      </c>
      <c r="D928" s="8">
        <v>20</v>
      </c>
      <c r="E928" s="8">
        <v>0</v>
      </c>
    </row>
    <row r="929" spans="1:5" x14ac:dyDescent="0.2">
      <c r="A929" s="7">
        <v>10597</v>
      </c>
      <c r="B929" s="8">
        <v>65</v>
      </c>
      <c r="C929" s="8">
        <v>21.05</v>
      </c>
      <c r="D929" s="8">
        <v>12</v>
      </c>
      <c r="E929" s="8">
        <v>0.2</v>
      </c>
    </row>
    <row r="930" spans="1:5" x14ac:dyDescent="0.2">
      <c r="A930" s="7">
        <v>10598</v>
      </c>
      <c r="B930" s="8">
        <v>27</v>
      </c>
      <c r="C930" s="8">
        <v>43.9</v>
      </c>
      <c r="D930" s="8">
        <v>50</v>
      </c>
      <c r="E930" s="8">
        <v>0</v>
      </c>
    </row>
    <row r="931" spans="1:5" x14ac:dyDescent="0.2">
      <c r="A931" s="7">
        <v>10598</v>
      </c>
      <c r="B931" s="8">
        <v>71</v>
      </c>
      <c r="C931" s="8">
        <v>21.5</v>
      </c>
      <c r="D931" s="8">
        <v>9</v>
      </c>
      <c r="E931" s="8">
        <v>0</v>
      </c>
    </row>
    <row r="932" spans="1:5" x14ac:dyDescent="0.2">
      <c r="A932" s="7">
        <v>10599</v>
      </c>
      <c r="B932" s="8">
        <v>62</v>
      </c>
      <c r="C932" s="8">
        <v>49.3</v>
      </c>
      <c r="D932" s="8">
        <v>10</v>
      </c>
      <c r="E932" s="8">
        <v>0</v>
      </c>
    </row>
    <row r="933" spans="1:5" x14ac:dyDescent="0.2">
      <c r="A933" s="7">
        <v>10600</v>
      </c>
      <c r="B933" s="8">
        <v>54</v>
      </c>
      <c r="C933" s="8">
        <v>7.45</v>
      </c>
      <c r="D933" s="8">
        <v>4</v>
      </c>
      <c r="E933" s="8">
        <v>0</v>
      </c>
    </row>
    <row r="934" spans="1:5" x14ac:dyDescent="0.2">
      <c r="A934" s="7">
        <v>10600</v>
      </c>
      <c r="B934" s="8">
        <v>73</v>
      </c>
      <c r="C934" s="8">
        <v>15</v>
      </c>
      <c r="D934" s="8">
        <v>30</v>
      </c>
      <c r="E934" s="8">
        <v>0</v>
      </c>
    </row>
    <row r="935" spans="1:5" x14ac:dyDescent="0.2">
      <c r="A935" s="7">
        <v>10601</v>
      </c>
      <c r="B935" s="8">
        <v>13</v>
      </c>
      <c r="C935" s="8">
        <v>6</v>
      </c>
      <c r="D935" s="8">
        <v>60</v>
      </c>
      <c r="E935" s="8">
        <v>0</v>
      </c>
    </row>
    <row r="936" spans="1:5" x14ac:dyDescent="0.2">
      <c r="A936" s="7">
        <v>10601</v>
      </c>
      <c r="B936" s="8">
        <v>59</v>
      </c>
      <c r="C936" s="8">
        <v>55</v>
      </c>
      <c r="D936" s="8">
        <v>35</v>
      </c>
      <c r="E936" s="8">
        <v>0</v>
      </c>
    </row>
    <row r="937" spans="1:5" x14ac:dyDescent="0.2">
      <c r="A937" s="7">
        <v>10602</v>
      </c>
      <c r="B937" s="8">
        <v>77</v>
      </c>
      <c r="C937" s="8">
        <v>13</v>
      </c>
      <c r="D937" s="8">
        <v>5</v>
      </c>
      <c r="E937" s="8">
        <v>0.25</v>
      </c>
    </row>
    <row r="938" spans="1:5" x14ac:dyDescent="0.2">
      <c r="A938" s="7">
        <v>10603</v>
      </c>
      <c r="B938" s="8">
        <v>22</v>
      </c>
      <c r="C938" s="8">
        <v>21</v>
      </c>
      <c r="D938" s="8">
        <v>48</v>
      </c>
      <c r="E938" s="8">
        <v>0</v>
      </c>
    </row>
    <row r="939" spans="1:5" x14ac:dyDescent="0.2">
      <c r="A939" s="7">
        <v>10603</v>
      </c>
      <c r="B939" s="8">
        <v>49</v>
      </c>
      <c r="C939" s="8">
        <v>20</v>
      </c>
      <c r="D939" s="8">
        <v>25</v>
      </c>
      <c r="E939" s="8">
        <v>0.05</v>
      </c>
    </row>
    <row r="940" spans="1:5" x14ac:dyDescent="0.2">
      <c r="A940" s="7">
        <v>10604</v>
      </c>
      <c r="B940" s="8">
        <v>48</v>
      </c>
      <c r="C940" s="8">
        <v>12.75</v>
      </c>
      <c r="D940" s="8">
        <v>6</v>
      </c>
      <c r="E940" s="8">
        <v>0.1</v>
      </c>
    </row>
    <row r="941" spans="1:5" x14ac:dyDescent="0.2">
      <c r="A941" s="7">
        <v>10604</v>
      </c>
      <c r="B941" s="8">
        <v>76</v>
      </c>
      <c r="C941" s="8">
        <v>18</v>
      </c>
      <c r="D941" s="8">
        <v>10</v>
      </c>
      <c r="E941" s="8">
        <v>0.1</v>
      </c>
    </row>
    <row r="942" spans="1:5" x14ac:dyDescent="0.2">
      <c r="A942" s="7">
        <v>10605</v>
      </c>
      <c r="B942" s="8">
        <v>16</v>
      </c>
      <c r="C942" s="8">
        <v>17.45</v>
      </c>
      <c r="D942" s="8">
        <v>30</v>
      </c>
      <c r="E942" s="8">
        <v>0.05</v>
      </c>
    </row>
    <row r="943" spans="1:5" x14ac:dyDescent="0.2">
      <c r="A943" s="7">
        <v>10605</v>
      </c>
      <c r="B943" s="8">
        <v>59</v>
      </c>
      <c r="C943" s="8">
        <v>55</v>
      </c>
      <c r="D943" s="8">
        <v>20</v>
      </c>
      <c r="E943" s="8">
        <v>0.05</v>
      </c>
    </row>
    <row r="944" spans="1:5" x14ac:dyDescent="0.2">
      <c r="A944" s="7">
        <v>10605</v>
      </c>
      <c r="B944" s="8">
        <v>60</v>
      </c>
      <c r="C944" s="8">
        <v>34</v>
      </c>
      <c r="D944" s="8">
        <v>70</v>
      </c>
      <c r="E944" s="8">
        <v>0.05</v>
      </c>
    </row>
    <row r="945" spans="1:5" x14ac:dyDescent="0.2">
      <c r="A945" s="7">
        <v>10605</v>
      </c>
      <c r="B945" s="8">
        <v>71</v>
      </c>
      <c r="C945" s="8">
        <v>21.5</v>
      </c>
      <c r="D945" s="8">
        <v>15</v>
      </c>
      <c r="E945" s="8">
        <v>0.05</v>
      </c>
    </row>
    <row r="946" spans="1:5" x14ac:dyDescent="0.2">
      <c r="A946" s="7">
        <v>10606</v>
      </c>
      <c r="B946" s="8">
        <v>4</v>
      </c>
      <c r="C946" s="8">
        <v>22</v>
      </c>
      <c r="D946" s="8">
        <v>20</v>
      </c>
      <c r="E946" s="8">
        <v>0.2</v>
      </c>
    </row>
    <row r="947" spans="1:5" x14ac:dyDescent="0.2">
      <c r="A947" s="7">
        <v>10606</v>
      </c>
      <c r="B947" s="8">
        <v>55</v>
      </c>
      <c r="C947" s="8">
        <v>24</v>
      </c>
      <c r="D947" s="8">
        <v>20</v>
      </c>
      <c r="E947" s="8">
        <v>0.2</v>
      </c>
    </row>
    <row r="948" spans="1:5" x14ac:dyDescent="0.2">
      <c r="A948" s="7">
        <v>10606</v>
      </c>
      <c r="B948" s="8">
        <v>62</v>
      </c>
      <c r="C948" s="8">
        <v>49.3</v>
      </c>
      <c r="D948" s="8">
        <v>10</v>
      </c>
      <c r="E948" s="8">
        <v>0.2</v>
      </c>
    </row>
    <row r="949" spans="1:5" x14ac:dyDescent="0.2">
      <c r="A949" s="7">
        <v>10607</v>
      </c>
      <c r="B949" s="8">
        <v>7</v>
      </c>
      <c r="C949" s="8">
        <v>30</v>
      </c>
      <c r="D949" s="8">
        <v>45</v>
      </c>
      <c r="E949" s="8">
        <v>0</v>
      </c>
    </row>
    <row r="950" spans="1:5" x14ac:dyDescent="0.2">
      <c r="A950" s="7">
        <v>10607</v>
      </c>
      <c r="B950" s="8">
        <v>17</v>
      </c>
      <c r="C950" s="8">
        <v>39</v>
      </c>
      <c r="D950" s="8">
        <v>100</v>
      </c>
      <c r="E950" s="8">
        <v>0</v>
      </c>
    </row>
    <row r="951" spans="1:5" x14ac:dyDescent="0.2">
      <c r="A951" s="7">
        <v>10607</v>
      </c>
      <c r="B951" s="8">
        <v>33</v>
      </c>
      <c r="C951" s="8">
        <v>2.5</v>
      </c>
      <c r="D951" s="8">
        <v>14</v>
      </c>
      <c r="E951" s="8">
        <v>0</v>
      </c>
    </row>
    <row r="952" spans="1:5" x14ac:dyDescent="0.2">
      <c r="A952" s="7">
        <v>10607</v>
      </c>
      <c r="B952" s="8">
        <v>40</v>
      </c>
      <c r="C952" s="8">
        <v>18.399999999999999</v>
      </c>
      <c r="D952" s="8">
        <v>42</v>
      </c>
      <c r="E952" s="8">
        <v>0</v>
      </c>
    </row>
    <row r="953" spans="1:5" x14ac:dyDescent="0.2">
      <c r="A953" s="7">
        <v>10607</v>
      </c>
      <c r="B953" s="8">
        <v>72</v>
      </c>
      <c r="C953" s="8">
        <v>34.799999999999997</v>
      </c>
      <c r="D953" s="8">
        <v>12</v>
      </c>
      <c r="E953" s="8">
        <v>0</v>
      </c>
    </row>
    <row r="954" spans="1:5" x14ac:dyDescent="0.2">
      <c r="A954" s="7">
        <v>10608</v>
      </c>
      <c r="B954" s="8">
        <v>56</v>
      </c>
      <c r="C954" s="8">
        <v>38</v>
      </c>
      <c r="D954" s="8">
        <v>28</v>
      </c>
      <c r="E954" s="8">
        <v>0</v>
      </c>
    </row>
    <row r="955" spans="1:5" x14ac:dyDescent="0.2">
      <c r="A955" s="7">
        <v>10609</v>
      </c>
      <c r="B955" s="8">
        <v>1</v>
      </c>
      <c r="C955" s="8">
        <v>18</v>
      </c>
      <c r="D955" s="8">
        <v>3</v>
      </c>
      <c r="E955" s="8">
        <v>0</v>
      </c>
    </row>
    <row r="956" spans="1:5" x14ac:dyDescent="0.2">
      <c r="A956" s="7">
        <v>10609</v>
      </c>
      <c r="B956" s="8">
        <v>10</v>
      </c>
      <c r="C956" s="8">
        <v>31</v>
      </c>
      <c r="D956" s="8">
        <v>10</v>
      </c>
      <c r="E956" s="8">
        <v>0</v>
      </c>
    </row>
    <row r="957" spans="1:5" x14ac:dyDescent="0.2">
      <c r="A957" s="7">
        <v>10609</v>
      </c>
      <c r="B957" s="8">
        <v>21</v>
      </c>
      <c r="C957" s="8">
        <v>10</v>
      </c>
      <c r="D957" s="8">
        <v>6</v>
      </c>
      <c r="E957" s="8">
        <v>0</v>
      </c>
    </row>
    <row r="958" spans="1:5" x14ac:dyDescent="0.2">
      <c r="A958" s="7">
        <v>10610</v>
      </c>
      <c r="B958" s="8">
        <v>36</v>
      </c>
      <c r="C958" s="8">
        <v>19</v>
      </c>
      <c r="D958" s="8">
        <v>21</v>
      </c>
      <c r="E958" s="8">
        <v>0.25</v>
      </c>
    </row>
    <row r="959" spans="1:5" x14ac:dyDescent="0.2">
      <c r="A959" s="7">
        <v>10611</v>
      </c>
      <c r="B959" s="8">
        <v>1</v>
      </c>
      <c r="C959" s="8">
        <v>18</v>
      </c>
      <c r="D959" s="8">
        <v>6</v>
      </c>
      <c r="E959" s="8">
        <v>0</v>
      </c>
    </row>
    <row r="960" spans="1:5" x14ac:dyDescent="0.2">
      <c r="A960" s="7">
        <v>10611</v>
      </c>
      <c r="B960" s="8">
        <v>2</v>
      </c>
      <c r="C960" s="8">
        <v>19</v>
      </c>
      <c r="D960" s="8">
        <v>10</v>
      </c>
      <c r="E960" s="8">
        <v>0</v>
      </c>
    </row>
    <row r="961" spans="1:5" x14ac:dyDescent="0.2">
      <c r="A961" s="7">
        <v>10611</v>
      </c>
      <c r="B961" s="8">
        <v>60</v>
      </c>
      <c r="C961" s="8">
        <v>34</v>
      </c>
      <c r="D961" s="8">
        <v>15</v>
      </c>
      <c r="E961" s="8">
        <v>0</v>
      </c>
    </row>
    <row r="962" spans="1:5" x14ac:dyDescent="0.2">
      <c r="A962" s="7">
        <v>10612</v>
      </c>
      <c r="B962" s="8">
        <v>10</v>
      </c>
      <c r="C962" s="8">
        <v>31</v>
      </c>
      <c r="D962" s="8">
        <v>70</v>
      </c>
      <c r="E962" s="8">
        <v>0</v>
      </c>
    </row>
    <row r="963" spans="1:5" x14ac:dyDescent="0.2">
      <c r="A963" s="7">
        <v>10612</v>
      </c>
      <c r="B963" s="8">
        <v>36</v>
      </c>
      <c r="C963" s="8">
        <v>19</v>
      </c>
      <c r="D963" s="8">
        <v>55</v>
      </c>
      <c r="E963" s="8">
        <v>0</v>
      </c>
    </row>
    <row r="964" spans="1:5" x14ac:dyDescent="0.2">
      <c r="A964" s="7">
        <v>10612</v>
      </c>
      <c r="B964" s="8">
        <v>49</v>
      </c>
      <c r="C964" s="8">
        <v>20</v>
      </c>
      <c r="D964" s="8">
        <v>18</v>
      </c>
      <c r="E964" s="8">
        <v>0</v>
      </c>
    </row>
    <row r="965" spans="1:5" x14ac:dyDescent="0.2">
      <c r="A965" s="7">
        <v>10612</v>
      </c>
      <c r="B965" s="8">
        <v>60</v>
      </c>
      <c r="C965" s="8">
        <v>34</v>
      </c>
      <c r="D965" s="8">
        <v>40</v>
      </c>
      <c r="E965" s="8">
        <v>0</v>
      </c>
    </row>
    <row r="966" spans="1:5" x14ac:dyDescent="0.2">
      <c r="A966" s="7">
        <v>10612</v>
      </c>
      <c r="B966" s="8">
        <v>76</v>
      </c>
      <c r="C966" s="8">
        <v>18</v>
      </c>
      <c r="D966" s="8">
        <v>80</v>
      </c>
      <c r="E966" s="8">
        <v>0</v>
      </c>
    </row>
    <row r="967" spans="1:5" x14ac:dyDescent="0.2">
      <c r="A967" s="7">
        <v>10613</v>
      </c>
      <c r="B967" s="8">
        <v>13</v>
      </c>
      <c r="C967" s="8">
        <v>6</v>
      </c>
      <c r="D967" s="8">
        <v>8</v>
      </c>
      <c r="E967" s="8">
        <v>0.1</v>
      </c>
    </row>
    <row r="968" spans="1:5" x14ac:dyDescent="0.2">
      <c r="A968" s="7">
        <v>10613</v>
      </c>
      <c r="B968" s="8">
        <v>75</v>
      </c>
      <c r="C968" s="8">
        <v>7.75</v>
      </c>
      <c r="D968" s="8">
        <v>40</v>
      </c>
      <c r="E968" s="8">
        <v>0</v>
      </c>
    </row>
    <row r="969" spans="1:5" x14ac:dyDescent="0.2">
      <c r="A969" s="7">
        <v>10614</v>
      </c>
      <c r="B969" s="8">
        <v>11</v>
      </c>
      <c r="C969" s="8">
        <v>21</v>
      </c>
      <c r="D969" s="8">
        <v>14</v>
      </c>
      <c r="E969" s="8">
        <v>0</v>
      </c>
    </row>
    <row r="970" spans="1:5" x14ac:dyDescent="0.2">
      <c r="A970" s="7">
        <v>10614</v>
      </c>
      <c r="B970" s="8">
        <v>21</v>
      </c>
      <c r="C970" s="8">
        <v>10</v>
      </c>
      <c r="D970" s="8">
        <v>8</v>
      </c>
      <c r="E970" s="8">
        <v>0</v>
      </c>
    </row>
    <row r="971" spans="1:5" x14ac:dyDescent="0.2">
      <c r="A971" s="7">
        <v>10614</v>
      </c>
      <c r="B971" s="8">
        <v>39</v>
      </c>
      <c r="C971" s="8">
        <v>18</v>
      </c>
      <c r="D971" s="8">
        <v>5</v>
      </c>
      <c r="E971" s="8">
        <v>0</v>
      </c>
    </row>
    <row r="972" spans="1:5" x14ac:dyDescent="0.2">
      <c r="A972" s="7">
        <v>10615</v>
      </c>
      <c r="B972" s="8">
        <v>55</v>
      </c>
      <c r="C972" s="8">
        <v>24</v>
      </c>
      <c r="D972" s="8">
        <v>5</v>
      </c>
      <c r="E972" s="8">
        <v>0</v>
      </c>
    </row>
    <row r="973" spans="1:5" x14ac:dyDescent="0.2">
      <c r="A973" s="7">
        <v>10616</v>
      </c>
      <c r="B973" s="8">
        <v>38</v>
      </c>
      <c r="C973" s="8">
        <v>263.5</v>
      </c>
      <c r="D973" s="8">
        <v>15</v>
      </c>
      <c r="E973" s="8">
        <v>0.05</v>
      </c>
    </row>
    <row r="974" spans="1:5" x14ac:dyDescent="0.2">
      <c r="A974" s="7">
        <v>10616</v>
      </c>
      <c r="B974" s="8">
        <v>56</v>
      </c>
      <c r="C974" s="8">
        <v>38</v>
      </c>
      <c r="D974" s="8">
        <v>14</v>
      </c>
      <c r="E974" s="8">
        <v>0</v>
      </c>
    </row>
    <row r="975" spans="1:5" x14ac:dyDescent="0.2">
      <c r="A975" s="7">
        <v>10616</v>
      </c>
      <c r="B975" s="8">
        <v>70</v>
      </c>
      <c r="C975" s="8">
        <v>15</v>
      </c>
      <c r="D975" s="8">
        <v>15</v>
      </c>
      <c r="E975" s="8">
        <v>0.05</v>
      </c>
    </row>
    <row r="976" spans="1:5" x14ac:dyDescent="0.2">
      <c r="A976" s="7">
        <v>10616</v>
      </c>
      <c r="B976" s="8">
        <v>71</v>
      </c>
      <c r="C976" s="8">
        <v>21.5</v>
      </c>
      <c r="D976" s="8">
        <v>15</v>
      </c>
      <c r="E976" s="8">
        <v>0.05</v>
      </c>
    </row>
    <row r="977" spans="1:5" x14ac:dyDescent="0.2">
      <c r="A977" s="7">
        <v>10617</v>
      </c>
      <c r="B977" s="8">
        <v>59</v>
      </c>
      <c r="C977" s="8">
        <v>55</v>
      </c>
      <c r="D977" s="8">
        <v>30</v>
      </c>
      <c r="E977" s="8">
        <v>0.15</v>
      </c>
    </row>
    <row r="978" spans="1:5" x14ac:dyDescent="0.2">
      <c r="A978" s="7">
        <v>10618</v>
      </c>
      <c r="B978" s="8">
        <v>6</v>
      </c>
      <c r="C978" s="8">
        <v>25</v>
      </c>
      <c r="D978" s="8">
        <v>70</v>
      </c>
      <c r="E978" s="8">
        <v>0</v>
      </c>
    </row>
    <row r="979" spans="1:5" x14ac:dyDescent="0.2">
      <c r="A979" s="7">
        <v>10618</v>
      </c>
      <c r="B979" s="8">
        <v>56</v>
      </c>
      <c r="C979" s="8">
        <v>38</v>
      </c>
      <c r="D979" s="8">
        <v>20</v>
      </c>
      <c r="E979" s="8">
        <v>0</v>
      </c>
    </row>
    <row r="980" spans="1:5" x14ac:dyDescent="0.2">
      <c r="A980" s="7">
        <v>10618</v>
      </c>
      <c r="B980" s="8">
        <v>68</v>
      </c>
      <c r="C980" s="8">
        <v>12.5</v>
      </c>
      <c r="D980" s="8">
        <v>15</v>
      </c>
      <c r="E980" s="8">
        <v>0</v>
      </c>
    </row>
    <row r="981" spans="1:5" x14ac:dyDescent="0.2">
      <c r="A981" s="7">
        <v>10619</v>
      </c>
      <c r="B981" s="8">
        <v>21</v>
      </c>
      <c r="C981" s="8">
        <v>10</v>
      </c>
      <c r="D981" s="8">
        <v>42</v>
      </c>
      <c r="E981" s="8">
        <v>0</v>
      </c>
    </row>
    <row r="982" spans="1:5" x14ac:dyDescent="0.2">
      <c r="A982" s="7">
        <v>10619</v>
      </c>
      <c r="B982" s="8">
        <v>22</v>
      </c>
      <c r="C982" s="8">
        <v>21</v>
      </c>
      <c r="D982" s="8">
        <v>40</v>
      </c>
      <c r="E982" s="8">
        <v>0</v>
      </c>
    </row>
    <row r="983" spans="1:5" x14ac:dyDescent="0.2">
      <c r="A983" s="7">
        <v>10620</v>
      </c>
      <c r="B983" s="8">
        <v>24</v>
      </c>
      <c r="C983" s="8">
        <v>4.5</v>
      </c>
      <c r="D983" s="8">
        <v>5</v>
      </c>
      <c r="E983" s="8">
        <v>0</v>
      </c>
    </row>
    <row r="984" spans="1:5" x14ac:dyDescent="0.2">
      <c r="A984" s="7">
        <v>10620</v>
      </c>
      <c r="B984" s="8">
        <v>52</v>
      </c>
      <c r="C984" s="8">
        <v>7</v>
      </c>
      <c r="D984" s="8">
        <v>5</v>
      </c>
      <c r="E984" s="8">
        <v>0</v>
      </c>
    </row>
    <row r="985" spans="1:5" x14ac:dyDescent="0.2">
      <c r="A985" s="7">
        <v>10621</v>
      </c>
      <c r="B985" s="8">
        <v>19</v>
      </c>
      <c r="C985" s="8">
        <v>9.1999999999999993</v>
      </c>
      <c r="D985" s="8">
        <v>5</v>
      </c>
      <c r="E985" s="8">
        <v>0</v>
      </c>
    </row>
    <row r="986" spans="1:5" x14ac:dyDescent="0.2">
      <c r="A986" s="7">
        <v>10621</v>
      </c>
      <c r="B986" s="8">
        <v>23</v>
      </c>
      <c r="C986" s="8">
        <v>9</v>
      </c>
      <c r="D986" s="8">
        <v>10</v>
      </c>
      <c r="E986" s="8">
        <v>0</v>
      </c>
    </row>
    <row r="987" spans="1:5" x14ac:dyDescent="0.2">
      <c r="A987" s="7">
        <v>10621</v>
      </c>
      <c r="B987" s="8">
        <v>70</v>
      </c>
      <c r="C987" s="8">
        <v>15</v>
      </c>
      <c r="D987" s="8">
        <v>20</v>
      </c>
      <c r="E987" s="8">
        <v>0</v>
      </c>
    </row>
    <row r="988" spans="1:5" x14ac:dyDescent="0.2">
      <c r="A988" s="7">
        <v>10621</v>
      </c>
      <c r="B988" s="8">
        <v>71</v>
      </c>
      <c r="C988" s="8">
        <v>21.5</v>
      </c>
      <c r="D988" s="8">
        <v>15</v>
      </c>
      <c r="E988" s="8">
        <v>0</v>
      </c>
    </row>
    <row r="989" spans="1:5" x14ac:dyDescent="0.2">
      <c r="A989" s="7">
        <v>10622</v>
      </c>
      <c r="B989" s="8">
        <v>2</v>
      </c>
      <c r="C989" s="8">
        <v>19</v>
      </c>
      <c r="D989" s="8">
        <v>20</v>
      </c>
      <c r="E989" s="8">
        <v>0</v>
      </c>
    </row>
    <row r="990" spans="1:5" x14ac:dyDescent="0.2">
      <c r="A990" s="7">
        <v>10622</v>
      </c>
      <c r="B990" s="8">
        <v>68</v>
      </c>
      <c r="C990" s="8">
        <v>12.5</v>
      </c>
      <c r="D990" s="8">
        <v>18</v>
      </c>
      <c r="E990" s="8">
        <v>0.2</v>
      </c>
    </row>
    <row r="991" spans="1:5" x14ac:dyDescent="0.2">
      <c r="A991" s="7">
        <v>10623</v>
      </c>
      <c r="B991" s="8">
        <v>14</v>
      </c>
      <c r="C991" s="8">
        <v>23.25</v>
      </c>
      <c r="D991" s="8">
        <v>21</v>
      </c>
      <c r="E991" s="8">
        <v>0</v>
      </c>
    </row>
    <row r="992" spans="1:5" x14ac:dyDescent="0.2">
      <c r="A992" s="7">
        <v>10623</v>
      </c>
      <c r="B992" s="8">
        <v>19</v>
      </c>
      <c r="C992" s="8">
        <v>9.1999999999999993</v>
      </c>
      <c r="D992" s="8">
        <v>15</v>
      </c>
      <c r="E992" s="8">
        <v>0.1</v>
      </c>
    </row>
    <row r="993" spans="1:5" x14ac:dyDescent="0.2">
      <c r="A993" s="7">
        <v>10623</v>
      </c>
      <c r="B993" s="8">
        <v>21</v>
      </c>
      <c r="C993" s="8">
        <v>10</v>
      </c>
      <c r="D993" s="8">
        <v>25</v>
      </c>
      <c r="E993" s="8">
        <v>0.1</v>
      </c>
    </row>
    <row r="994" spans="1:5" x14ac:dyDescent="0.2">
      <c r="A994" s="7">
        <v>10623</v>
      </c>
      <c r="B994" s="8">
        <v>24</v>
      </c>
      <c r="C994" s="8">
        <v>4.5</v>
      </c>
      <c r="D994" s="8">
        <v>3</v>
      </c>
      <c r="E994" s="8">
        <v>0</v>
      </c>
    </row>
    <row r="995" spans="1:5" x14ac:dyDescent="0.2">
      <c r="A995" s="7">
        <v>10623</v>
      </c>
      <c r="B995" s="8">
        <v>35</v>
      </c>
      <c r="C995" s="8">
        <v>18</v>
      </c>
      <c r="D995" s="8">
        <v>30</v>
      </c>
      <c r="E995" s="8">
        <v>0.1</v>
      </c>
    </row>
    <row r="996" spans="1:5" x14ac:dyDescent="0.2">
      <c r="A996" s="7">
        <v>10624</v>
      </c>
      <c r="B996" s="8">
        <v>28</v>
      </c>
      <c r="C996" s="8">
        <v>45.6</v>
      </c>
      <c r="D996" s="8">
        <v>10</v>
      </c>
      <c r="E996" s="8">
        <v>0</v>
      </c>
    </row>
    <row r="997" spans="1:5" x14ac:dyDescent="0.2">
      <c r="A997" s="7">
        <v>10624</v>
      </c>
      <c r="B997" s="8">
        <v>29</v>
      </c>
      <c r="C997" s="8">
        <v>123.79</v>
      </c>
      <c r="D997" s="8">
        <v>6</v>
      </c>
      <c r="E997" s="8">
        <v>0</v>
      </c>
    </row>
    <row r="998" spans="1:5" x14ac:dyDescent="0.2">
      <c r="A998" s="7">
        <v>10624</v>
      </c>
      <c r="B998" s="8">
        <v>44</v>
      </c>
      <c r="C998" s="8">
        <v>19.45</v>
      </c>
      <c r="D998" s="8">
        <v>10</v>
      </c>
      <c r="E998" s="8">
        <v>0</v>
      </c>
    </row>
    <row r="999" spans="1:5" x14ac:dyDescent="0.2">
      <c r="A999" s="7">
        <v>10625</v>
      </c>
      <c r="B999" s="8">
        <v>14</v>
      </c>
      <c r="C999" s="8">
        <v>23.25</v>
      </c>
      <c r="D999" s="8">
        <v>3</v>
      </c>
      <c r="E999" s="8">
        <v>0</v>
      </c>
    </row>
    <row r="1000" spans="1:5" x14ac:dyDescent="0.2">
      <c r="A1000" s="7">
        <v>10625</v>
      </c>
      <c r="B1000" s="8">
        <v>42</v>
      </c>
      <c r="C1000" s="8">
        <v>14</v>
      </c>
      <c r="D1000" s="8">
        <v>5</v>
      </c>
      <c r="E1000" s="8">
        <v>0</v>
      </c>
    </row>
    <row r="1001" spans="1:5" x14ac:dyDescent="0.2">
      <c r="A1001" s="7">
        <v>10625</v>
      </c>
      <c r="B1001" s="8">
        <v>60</v>
      </c>
      <c r="C1001" s="8">
        <v>34</v>
      </c>
      <c r="D1001" s="8">
        <v>10</v>
      </c>
      <c r="E1001" s="8">
        <v>0</v>
      </c>
    </row>
    <row r="1002" spans="1:5" x14ac:dyDescent="0.2">
      <c r="A1002" s="7">
        <v>10626</v>
      </c>
      <c r="B1002" s="8">
        <v>53</v>
      </c>
      <c r="C1002" s="8">
        <v>32.799999999999997</v>
      </c>
      <c r="D1002" s="8">
        <v>12</v>
      </c>
      <c r="E1002" s="8">
        <v>0</v>
      </c>
    </row>
    <row r="1003" spans="1:5" x14ac:dyDescent="0.2">
      <c r="A1003" s="7">
        <v>10626</v>
      </c>
      <c r="B1003" s="8">
        <v>60</v>
      </c>
      <c r="C1003" s="8">
        <v>34</v>
      </c>
      <c r="D1003" s="8">
        <v>20</v>
      </c>
      <c r="E1003" s="8">
        <v>0</v>
      </c>
    </row>
    <row r="1004" spans="1:5" x14ac:dyDescent="0.2">
      <c r="A1004" s="7">
        <v>10626</v>
      </c>
      <c r="B1004" s="8">
        <v>71</v>
      </c>
      <c r="C1004" s="8">
        <v>21.5</v>
      </c>
      <c r="D1004" s="8">
        <v>20</v>
      </c>
      <c r="E1004" s="8">
        <v>0</v>
      </c>
    </row>
    <row r="1005" spans="1:5" x14ac:dyDescent="0.2">
      <c r="A1005" s="7">
        <v>10627</v>
      </c>
      <c r="B1005" s="8">
        <v>62</v>
      </c>
      <c r="C1005" s="8">
        <v>49.3</v>
      </c>
      <c r="D1005" s="8">
        <v>15</v>
      </c>
      <c r="E1005" s="8">
        <v>0</v>
      </c>
    </row>
    <row r="1006" spans="1:5" x14ac:dyDescent="0.2">
      <c r="A1006" s="7">
        <v>10627</v>
      </c>
      <c r="B1006" s="8">
        <v>73</v>
      </c>
      <c r="C1006" s="8">
        <v>15</v>
      </c>
      <c r="D1006" s="8">
        <v>35</v>
      </c>
      <c r="E1006" s="8">
        <v>0.15</v>
      </c>
    </row>
    <row r="1007" spans="1:5" x14ac:dyDescent="0.2">
      <c r="A1007" s="7">
        <v>10628</v>
      </c>
      <c r="B1007" s="8">
        <v>1</v>
      </c>
      <c r="C1007" s="8">
        <v>18</v>
      </c>
      <c r="D1007" s="8">
        <v>25</v>
      </c>
      <c r="E1007" s="8">
        <v>0</v>
      </c>
    </row>
    <row r="1008" spans="1:5" x14ac:dyDescent="0.2">
      <c r="A1008" s="7">
        <v>10629</v>
      </c>
      <c r="B1008" s="8">
        <v>29</v>
      </c>
      <c r="C1008" s="8">
        <v>123.79</v>
      </c>
      <c r="D1008" s="8">
        <v>20</v>
      </c>
      <c r="E1008" s="8">
        <v>0</v>
      </c>
    </row>
    <row r="1009" spans="1:5" x14ac:dyDescent="0.2">
      <c r="A1009" s="7">
        <v>10629</v>
      </c>
      <c r="B1009" s="8">
        <v>64</v>
      </c>
      <c r="C1009" s="8">
        <v>33.25</v>
      </c>
      <c r="D1009" s="8">
        <v>9</v>
      </c>
      <c r="E1009" s="8">
        <v>0</v>
      </c>
    </row>
    <row r="1010" spans="1:5" x14ac:dyDescent="0.2">
      <c r="A1010" s="7">
        <v>10630</v>
      </c>
      <c r="B1010" s="8">
        <v>55</v>
      </c>
      <c r="C1010" s="8">
        <v>24</v>
      </c>
      <c r="D1010" s="8">
        <v>12</v>
      </c>
      <c r="E1010" s="8">
        <v>0.05</v>
      </c>
    </row>
    <row r="1011" spans="1:5" x14ac:dyDescent="0.2">
      <c r="A1011" s="7">
        <v>10630</v>
      </c>
      <c r="B1011" s="8">
        <v>76</v>
      </c>
      <c r="C1011" s="8">
        <v>18</v>
      </c>
      <c r="D1011" s="8">
        <v>35</v>
      </c>
      <c r="E1011" s="8">
        <v>0</v>
      </c>
    </row>
    <row r="1012" spans="1:5" x14ac:dyDescent="0.2">
      <c r="A1012" s="7">
        <v>10631</v>
      </c>
      <c r="B1012" s="8">
        <v>75</v>
      </c>
      <c r="C1012" s="8">
        <v>7.75</v>
      </c>
      <c r="D1012" s="8">
        <v>8</v>
      </c>
      <c r="E1012" s="8">
        <v>0.1</v>
      </c>
    </row>
    <row r="1013" spans="1:5" x14ac:dyDescent="0.2">
      <c r="A1013" s="7">
        <v>10632</v>
      </c>
      <c r="B1013" s="8">
        <v>2</v>
      </c>
      <c r="C1013" s="8">
        <v>19</v>
      </c>
      <c r="D1013" s="8">
        <v>30</v>
      </c>
      <c r="E1013" s="8">
        <v>0.05</v>
      </c>
    </row>
    <row r="1014" spans="1:5" x14ac:dyDescent="0.2">
      <c r="A1014" s="7">
        <v>10632</v>
      </c>
      <c r="B1014" s="8">
        <v>33</v>
      </c>
      <c r="C1014" s="8">
        <v>2.5</v>
      </c>
      <c r="D1014" s="8">
        <v>20</v>
      </c>
      <c r="E1014" s="8">
        <v>0.05</v>
      </c>
    </row>
    <row r="1015" spans="1:5" x14ac:dyDescent="0.2">
      <c r="A1015" s="7">
        <v>10633</v>
      </c>
      <c r="B1015" s="8">
        <v>12</v>
      </c>
      <c r="C1015" s="8">
        <v>38</v>
      </c>
      <c r="D1015" s="8">
        <v>36</v>
      </c>
      <c r="E1015" s="8">
        <v>0.15</v>
      </c>
    </row>
    <row r="1016" spans="1:5" x14ac:dyDescent="0.2">
      <c r="A1016" s="7">
        <v>10633</v>
      </c>
      <c r="B1016" s="8">
        <v>13</v>
      </c>
      <c r="C1016" s="8">
        <v>6</v>
      </c>
      <c r="D1016" s="8">
        <v>13</v>
      </c>
      <c r="E1016" s="8">
        <v>0.15</v>
      </c>
    </row>
    <row r="1017" spans="1:5" x14ac:dyDescent="0.2">
      <c r="A1017" s="7">
        <v>10633</v>
      </c>
      <c r="B1017" s="8">
        <v>26</v>
      </c>
      <c r="C1017" s="8">
        <v>31.23</v>
      </c>
      <c r="D1017" s="8">
        <v>35</v>
      </c>
      <c r="E1017" s="8">
        <v>0.15</v>
      </c>
    </row>
    <row r="1018" spans="1:5" x14ac:dyDescent="0.2">
      <c r="A1018" s="7">
        <v>10633</v>
      </c>
      <c r="B1018" s="8">
        <v>62</v>
      </c>
      <c r="C1018" s="8">
        <v>49.3</v>
      </c>
      <c r="D1018" s="8">
        <v>80</v>
      </c>
      <c r="E1018" s="8">
        <v>0.15</v>
      </c>
    </row>
    <row r="1019" spans="1:5" x14ac:dyDescent="0.2">
      <c r="A1019" s="7">
        <v>10634</v>
      </c>
      <c r="B1019" s="8">
        <v>7</v>
      </c>
      <c r="C1019" s="8">
        <v>30</v>
      </c>
      <c r="D1019" s="8">
        <v>35</v>
      </c>
      <c r="E1019" s="8">
        <v>0</v>
      </c>
    </row>
    <row r="1020" spans="1:5" x14ac:dyDescent="0.2">
      <c r="A1020" s="7">
        <v>10634</v>
      </c>
      <c r="B1020" s="8">
        <v>18</v>
      </c>
      <c r="C1020" s="8">
        <v>62.5</v>
      </c>
      <c r="D1020" s="8">
        <v>50</v>
      </c>
      <c r="E1020" s="8">
        <v>0</v>
      </c>
    </row>
    <row r="1021" spans="1:5" x14ac:dyDescent="0.2">
      <c r="A1021" s="7">
        <v>10634</v>
      </c>
      <c r="B1021" s="8">
        <v>51</v>
      </c>
      <c r="C1021" s="8">
        <v>53</v>
      </c>
      <c r="D1021" s="8">
        <v>15</v>
      </c>
      <c r="E1021" s="8">
        <v>0</v>
      </c>
    </row>
    <row r="1022" spans="1:5" x14ac:dyDescent="0.2">
      <c r="A1022" s="7">
        <v>10634</v>
      </c>
      <c r="B1022" s="8">
        <v>75</v>
      </c>
      <c r="C1022" s="8">
        <v>7.75</v>
      </c>
      <c r="D1022" s="8">
        <v>2</v>
      </c>
      <c r="E1022" s="8">
        <v>0</v>
      </c>
    </row>
    <row r="1023" spans="1:5" x14ac:dyDescent="0.2">
      <c r="A1023" s="7">
        <v>10635</v>
      </c>
      <c r="B1023" s="8">
        <v>4</v>
      </c>
      <c r="C1023" s="8">
        <v>22</v>
      </c>
      <c r="D1023" s="8">
        <v>10</v>
      </c>
      <c r="E1023" s="8">
        <v>0.1</v>
      </c>
    </row>
    <row r="1024" spans="1:5" x14ac:dyDescent="0.2">
      <c r="A1024" s="7">
        <v>10635</v>
      </c>
      <c r="B1024" s="8">
        <v>5</v>
      </c>
      <c r="C1024" s="8">
        <v>21.35</v>
      </c>
      <c r="D1024" s="8">
        <v>15</v>
      </c>
      <c r="E1024" s="8">
        <v>0.1</v>
      </c>
    </row>
    <row r="1025" spans="1:5" x14ac:dyDescent="0.2">
      <c r="A1025" s="7">
        <v>10635</v>
      </c>
      <c r="B1025" s="8">
        <v>22</v>
      </c>
      <c r="C1025" s="8">
        <v>21</v>
      </c>
      <c r="D1025" s="8">
        <v>40</v>
      </c>
      <c r="E1025" s="8">
        <v>0</v>
      </c>
    </row>
    <row r="1026" spans="1:5" x14ac:dyDescent="0.2">
      <c r="A1026" s="7">
        <v>10636</v>
      </c>
      <c r="B1026" s="8">
        <v>4</v>
      </c>
      <c r="C1026" s="8">
        <v>22</v>
      </c>
      <c r="D1026" s="8">
        <v>25</v>
      </c>
      <c r="E1026" s="8">
        <v>0</v>
      </c>
    </row>
    <row r="1027" spans="1:5" x14ac:dyDescent="0.2">
      <c r="A1027" s="7">
        <v>10636</v>
      </c>
      <c r="B1027" s="8">
        <v>58</v>
      </c>
      <c r="C1027" s="8">
        <v>13.25</v>
      </c>
      <c r="D1027" s="8">
        <v>6</v>
      </c>
      <c r="E1027" s="8">
        <v>0</v>
      </c>
    </row>
    <row r="1028" spans="1:5" x14ac:dyDescent="0.2">
      <c r="A1028" s="7">
        <v>10637</v>
      </c>
      <c r="B1028" s="8">
        <v>11</v>
      </c>
      <c r="C1028" s="8">
        <v>21</v>
      </c>
      <c r="D1028" s="8">
        <v>10</v>
      </c>
      <c r="E1028" s="8">
        <v>0</v>
      </c>
    </row>
    <row r="1029" spans="1:5" x14ac:dyDescent="0.2">
      <c r="A1029" s="7">
        <v>10637</v>
      </c>
      <c r="B1029" s="8">
        <v>50</v>
      </c>
      <c r="C1029" s="8">
        <v>16.25</v>
      </c>
      <c r="D1029" s="8">
        <v>25</v>
      </c>
      <c r="E1029" s="8">
        <v>0.05</v>
      </c>
    </row>
    <row r="1030" spans="1:5" x14ac:dyDescent="0.2">
      <c r="A1030" s="7">
        <v>10637</v>
      </c>
      <c r="B1030" s="8">
        <v>56</v>
      </c>
      <c r="C1030" s="8">
        <v>38</v>
      </c>
      <c r="D1030" s="8">
        <v>60</v>
      </c>
      <c r="E1030" s="8">
        <v>0.05</v>
      </c>
    </row>
    <row r="1031" spans="1:5" x14ac:dyDescent="0.2">
      <c r="A1031" s="7">
        <v>10638</v>
      </c>
      <c r="B1031" s="8">
        <v>45</v>
      </c>
      <c r="C1031" s="8">
        <v>9.5</v>
      </c>
      <c r="D1031" s="8">
        <v>20</v>
      </c>
      <c r="E1031" s="8">
        <v>0</v>
      </c>
    </row>
    <row r="1032" spans="1:5" x14ac:dyDescent="0.2">
      <c r="A1032" s="7">
        <v>10638</v>
      </c>
      <c r="B1032" s="8">
        <v>65</v>
      </c>
      <c r="C1032" s="8">
        <v>21.05</v>
      </c>
      <c r="D1032" s="8">
        <v>21</v>
      </c>
      <c r="E1032" s="8">
        <v>0</v>
      </c>
    </row>
    <row r="1033" spans="1:5" x14ac:dyDescent="0.2">
      <c r="A1033" s="7">
        <v>10638</v>
      </c>
      <c r="B1033" s="8">
        <v>72</v>
      </c>
      <c r="C1033" s="8">
        <v>34.799999999999997</v>
      </c>
      <c r="D1033" s="8">
        <v>60</v>
      </c>
      <c r="E1033" s="8">
        <v>0</v>
      </c>
    </row>
    <row r="1034" spans="1:5" x14ac:dyDescent="0.2">
      <c r="A1034" s="7">
        <v>10639</v>
      </c>
      <c r="B1034" s="8">
        <v>18</v>
      </c>
      <c r="C1034" s="8">
        <v>62.5</v>
      </c>
      <c r="D1034" s="8">
        <v>8</v>
      </c>
      <c r="E1034" s="8">
        <v>0</v>
      </c>
    </row>
    <row r="1035" spans="1:5" x14ac:dyDescent="0.2">
      <c r="A1035" s="7">
        <v>10640</v>
      </c>
      <c r="B1035" s="8">
        <v>69</v>
      </c>
      <c r="C1035" s="8">
        <v>36</v>
      </c>
      <c r="D1035" s="8">
        <v>20</v>
      </c>
      <c r="E1035" s="8">
        <v>0.25</v>
      </c>
    </row>
    <row r="1036" spans="1:5" x14ac:dyDescent="0.2">
      <c r="A1036" s="7">
        <v>10640</v>
      </c>
      <c r="B1036" s="8">
        <v>70</v>
      </c>
      <c r="C1036" s="8">
        <v>15</v>
      </c>
      <c r="D1036" s="8">
        <v>15</v>
      </c>
      <c r="E1036" s="8">
        <v>0.25</v>
      </c>
    </row>
    <row r="1037" spans="1:5" x14ac:dyDescent="0.2">
      <c r="A1037" s="7">
        <v>10641</v>
      </c>
      <c r="B1037" s="8">
        <v>2</v>
      </c>
      <c r="C1037" s="8">
        <v>19</v>
      </c>
      <c r="D1037" s="8">
        <v>50</v>
      </c>
      <c r="E1037" s="8">
        <v>0</v>
      </c>
    </row>
    <row r="1038" spans="1:5" x14ac:dyDescent="0.2">
      <c r="A1038" s="7">
        <v>10641</v>
      </c>
      <c r="B1038" s="8">
        <v>40</v>
      </c>
      <c r="C1038" s="8">
        <v>18.399999999999999</v>
      </c>
      <c r="D1038" s="8">
        <v>60</v>
      </c>
      <c r="E1038" s="8">
        <v>0</v>
      </c>
    </row>
    <row r="1039" spans="1:5" x14ac:dyDescent="0.2">
      <c r="A1039" s="7">
        <v>10642</v>
      </c>
      <c r="B1039" s="8">
        <v>21</v>
      </c>
      <c r="C1039" s="8">
        <v>10</v>
      </c>
      <c r="D1039" s="8">
        <v>30</v>
      </c>
      <c r="E1039" s="8">
        <v>0.2</v>
      </c>
    </row>
    <row r="1040" spans="1:5" x14ac:dyDescent="0.2">
      <c r="A1040" s="7">
        <v>10642</v>
      </c>
      <c r="B1040" s="8">
        <v>61</v>
      </c>
      <c r="C1040" s="8">
        <v>28.5</v>
      </c>
      <c r="D1040" s="8">
        <v>20</v>
      </c>
      <c r="E1040" s="8">
        <v>0.2</v>
      </c>
    </row>
    <row r="1041" spans="1:5" x14ac:dyDescent="0.2">
      <c r="A1041" s="7">
        <v>10643</v>
      </c>
      <c r="B1041" s="8">
        <v>28</v>
      </c>
      <c r="C1041" s="8">
        <v>45.6</v>
      </c>
      <c r="D1041" s="8">
        <v>15</v>
      </c>
      <c r="E1041" s="8">
        <v>0.25</v>
      </c>
    </row>
    <row r="1042" spans="1:5" x14ac:dyDescent="0.2">
      <c r="A1042" s="7">
        <v>10643</v>
      </c>
      <c r="B1042" s="8">
        <v>39</v>
      </c>
      <c r="C1042" s="8">
        <v>18</v>
      </c>
      <c r="D1042" s="8">
        <v>21</v>
      </c>
      <c r="E1042" s="8">
        <v>0.25</v>
      </c>
    </row>
    <row r="1043" spans="1:5" x14ac:dyDescent="0.2">
      <c r="A1043" s="7">
        <v>10643</v>
      </c>
      <c r="B1043" s="8">
        <v>46</v>
      </c>
      <c r="C1043" s="8">
        <v>12</v>
      </c>
      <c r="D1043" s="8">
        <v>2</v>
      </c>
      <c r="E1043" s="8">
        <v>0.25</v>
      </c>
    </row>
    <row r="1044" spans="1:5" x14ac:dyDescent="0.2">
      <c r="A1044" s="7">
        <v>10644</v>
      </c>
      <c r="B1044" s="8">
        <v>18</v>
      </c>
      <c r="C1044" s="8">
        <v>62.5</v>
      </c>
      <c r="D1044" s="8">
        <v>4</v>
      </c>
      <c r="E1044" s="8">
        <v>0.1</v>
      </c>
    </row>
    <row r="1045" spans="1:5" x14ac:dyDescent="0.2">
      <c r="A1045" s="7">
        <v>10644</v>
      </c>
      <c r="B1045" s="8">
        <v>43</v>
      </c>
      <c r="C1045" s="8">
        <v>46</v>
      </c>
      <c r="D1045" s="8">
        <v>20</v>
      </c>
      <c r="E1045" s="8">
        <v>0</v>
      </c>
    </row>
    <row r="1046" spans="1:5" x14ac:dyDescent="0.2">
      <c r="A1046" s="7">
        <v>10644</v>
      </c>
      <c r="B1046" s="8">
        <v>46</v>
      </c>
      <c r="C1046" s="8">
        <v>12</v>
      </c>
      <c r="D1046" s="8">
        <v>21</v>
      </c>
      <c r="E1046" s="8">
        <v>0.1</v>
      </c>
    </row>
    <row r="1047" spans="1:5" x14ac:dyDescent="0.2">
      <c r="A1047" s="7">
        <v>10645</v>
      </c>
      <c r="B1047" s="8">
        <v>18</v>
      </c>
      <c r="C1047" s="8">
        <v>62.5</v>
      </c>
      <c r="D1047" s="8">
        <v>20</v>
      </c>
      <c r="E1047" s="8">
        <v>0</v>
      </c>
    </row>
    <row r="1048" spans="1:5" x14ac:dyDescent="0.2">
      <c r="A1048" s="7">
        <v>10645</v>
      </c>
      <c r="B1048" s="8">
        <v>36</v>
      </c>
      <c r="C1048" s="8">
        <v>19</v>
      </c>
      <c r="D1048" s="8">
        <v>15</v>
      </c>
      <c r="E1048" s="8">
        <v>0</v>
      </c>
    </row>
    <row r="1049" spans="1:5" x14ac:dyDescent="0.2">
      <c r="A1049" s="7">
        <v>10646</v>
      </c>
      <c r="B1049" s="8">
        <v>1</v>
      </c>
      <c r="C1049" s="8">
        <v>18</v>
      </c>
      <c r="D1049" s="8">
        <v>15</v>
      </c>
      <c r="E1049" s="8">
        <v>0.25</v>
      </c>
    </row>
    <row r="1050" spans="1:5" x14ac:dyDescent="0.2">
      <c r="A1050" s="7">
        <v>10646</v>
      </c>
      <c r="B1050" s="8">
        <v>10</v>
      </c>
      <c r="C1050" s="8">
        <v>31</v>
      </c>
      <c r="D1050" s="8">
        <v>18</v>
      </c>
      <c r="E1050" s="8">
        <v>0.25</v>
      </c>
    </row>
    <row r="1051" spans="1:5" x14ac:dyDescent="0.2">
      <c r="A1051" s="7">
        <v>10646</v>
      </c>
      <c r="B1051" s="8">
        <v>71</v>
      </c>
      <c r="C1051" s="8">
        <v>21.5</v>
      </c>
      <c r="D1051" s="8">
        <v>30</v>
      </c>
      <c r="E1051" s="8">
        <v>0.25</v>
      </c>
    </row>
    <row r="1052" spans="1:5" x14ac:dyDescent="0.2">
      <c r="A1052" s="7">
        <v>10646</v>
      </c>
      <c r="B1052" s="8">
        <v>77</v>
      </c>
      <c r="C1052" s="8">
        <v>13</v>
      </c>
      <c r="D1052" s="8">
        <v>35</v>
      </c>
      <c r="E1052" s="8">
        <v>0.25</v>
      </c>
    </row>
    <row r="1053" spans="1:5" x14ac:dyDescent="0.2">
      <c r="A1053" s="7">
        <v>10647</v>
      </c>
      <c r="B1053" s="8">
        <v>19</v>
      </c>
      <c r="C1053" s="8">
        <v>9.1999999999999993</v>
      </c>
      <c r="D1053" s="8">
        <v>30</v>
      </c>
      <c r="E1053" s="8">
        <v>0</v>
      </c>
    </row>
    <row r="1054" spans="1:5" x14ac:dyDescent="0.2">
      <c r="A1054" s="7">
        <v>10647</v>
      </c>
      <c r="B1054" s="8">
        <v>39</v>
      </c>
      <c r="C1054" s="8">
        <v>18</v>
      </c>
      <c r="D1054" s="8">
        <v>20</v>
      </c>
      <c r="E1054" s="8">
        <v>0</v>
      </c>
    </row>
    <row r="1055" spans="1:5" x14ac:dyDescent="0.2">
      <c r="A1055" s="7">
        <v>10648</v>
      </c>
      <c r="B1055" s="8">
        <v>22</v>
      </c>
      <c r="C1055" s="8">
        <v>21</v>
      </c>
      <c r="D1055" s="8">
        <v>15</v>
      </c>
      <c r="E1055" s="8">
        <v>0</v>
      </c>
    </row>
    <row r="1056" spans="1:5" x14ac:dyDescent="0.2">
      <c r="A1056" s="7">
        <v>10648</v>
      </c>
      <c r="B1056" s="8">
        <v>24</v>
      </c>
      <c r="C1056" s="8">
        <v>4.5</v>
      </c>
      <c r="D1056" s="8">
        <v>15</v>
      </c>
      <c r="E1056" s="8">
        <v>0.15</v>
      </c>
    </row>
    <row r="1057" spans="1:5" x14ac:dyDescent="0.2">
      <c r="A1057" s="7">
        <v>10649</v>
      </c>
      <c r="B1057" s="8">
        <v>28</v>
      </c>
      <c r="C1057" s="8">
        <v>45.6</v>
      </c>
      <c r="D1057" s="8">
        <v>20</v>
      </c>
      <c r="E1057" s="8">
        <v>0</v>
      </c>
    </row>
    <row r="1058" spans="1:5" x14ac:dyDescent="0.2">
      <c r="A1058" s="7">
        <v>10649</v>
      </c>
      <c r="B1058" s="8">
        <v>72</v>
      </c>
      <c r="C1058" s="8">
        <v>34.799999999999997</v>
      </c>
      <c r="D1058" s="8">
        <v>15</v>
      </c>
      <c r="E1058" s="8">
        <v>0</v>
      </c>
    </row>
    <row r="1059" spans="1:5" x14ac:dyDescent="0.2">
      <c r="A1059" s="7">
        <v>10650</v>
      </c>
      <c r="B1059" s="8">
        <v>30</v>
      </c>
      <c r="C1059" s="8">
        <v>25.89</v>
      </c>
      <c r="D1059" s="8">
        <v>30</v>
      </c>
      <c r="E1059" s="8">
        <v>0</v>
      </c>
    </row>
    <row r="1060" spans="1:5" x14ac:dyDescent="0.2">
      <c r="A1060" s="7">
        <v>10650</v>
      </c>
      <c r="B1060" s="8">
        <v>53</v>
      </c>
      <c r="C1060" s="8">
        <v>32.799999999999997</v>
      </c>
      <c r="D1060" s="8">
        <v>25</v>
      </c>
      <c r="E1060" s="8">
        <v>0.05</v>
      </c>
    </row>
    <row r="1061" spans="1:5" x14ac:dyDescent="0.2">
      <c r="A1061" s="7">
        <v>10650</v>
      </c>
      <c r="B1061" s="8">
        <v>54</v>
      </c>
      <c r="C1061" s="8">
        <v>7.45</v>
      </c>
      <c r="D1061" s="8">
        <v>30</v>
      </c>
      <c r="E1061" s="8">
        <v>0</v>
      </c>
    </row>
    <row r="1062" spans="1:5" x14ac:dyDescent="0.2">
      <c r="A1062" s="7">
        <v>10651</v>
      </c>
      <c r="B1062" s="8">
        <v>19</v>
      </c>
      <c r="C1062" s="8">
        <v>9.1999999999999993</v>
      </c>
      <c r="D1062" s="8">
        <v>12</v>
      </c>
      <c r="E1062" s="8">
        <v>0.25</v>
      </c>
    </row>
    <row r="1063" spans="1:5" x14ac:dyDescent="0.2">
      <c r="A1063" s="7">
        <v>10651</v>
      </c>
      <c r="B1063" s="8">
        <v>22</v>
      </c>
      <c r="C1063" s="8">
        <v>21</v>
      </c>
      <c r="D1063" s="8">
        <v>20</v>
      </c>
      <c r="E1063" s="8">
        <v>0.25</v>
      </c>
    </row>
    <row r="1064" spans="1:5" x14ac:dyDescent="0.2">
      <c r="A1064" s="7">
        <v>10652</v>
      </c>
      <c r="B1064" s="8">
        <v>30</v>
      </c>
      <c r="C1064" s="8">
        <v>25.89</v>
      </c>
      <c r="D1064" s="8">
        <v>2</v>
      </c>
      <c r="E1064" s="8">
        <v>0.25</v>
      </c>
    </row>
    <row r="1065" spans="1:5" x14ac:dyDescent="0.2">
      <c r="A1065" s="7">
        <v>10652</v>
      </c>
      <c r="B1065" s="8">
        <v>42</v>
      </c>
      <c r="C1065" s="8">
        <v>14</v>
      </c>
      <c r="D1065" s="8">
        <v>20</v>
      </c>
      <c r="E1065" s="8">
        <v>0</v>
      </c>
    </row>
    <row r="1066" spans="1:5" x14ac:dyDescent="0.2">
      <c r="A1066" s="7">
        <v>10653</v>
      </c>
      <c r="B1066" s="8">
        <v>16</v>
      </c>
      <c r="C1066" s="8">
        <v>17.45</v>
      </c>
      <c r="D1066" s="8">
        <v>30</v>
      </c>
      <c r="E1066" s="8">
        <v>0.1</v>
      </c>
    </row>
    <row r="1067" spans="1:5" x14ac:dyDescent="0.2">
      <c r="A1067" s="7">
        <v>10653</v>
      </c>
      <c r="B1067" s="8">
        <v>60</v>
      </c>
      <c r="C1067" s="8">
        <v>34</v>
      </c>
      <c r="D1067" s="8">
        <v>20</v>
      </c>
      <c r="E1067" s="8">
        <v>0.1</v>
      </c>
    </row>
    <row r="1068" spans="1:5" x14ac:dyDescent="0.2">
      <c r="A1068" s="7">
        <v>10654</v>
      </c>
      <c r="B1068" s="8">
        <v>4</v>
      </c>
      <c r="C1068" s="8">
        <v>22</v>
      </c>
      <c r="D1068" s="8">
        <v>12</v>
      </c>
      <c r="E1068" s="8">
        <v>0.1</v>
      </c>
    </row>
    <row r="1069" spans="1:5" x14ac:dyDescent="0.2">
      <c r="A1069" s="7">
        <v>10654</v>
      </c>
      <c r="B1069" s="8">
        <v>39</v>
      </c>
      <c r="C1069" s="8">
        <v>18</v>
      </c>
      <c r="D1069" s="8">
        <v>20</v>
      </c>
      <c r="E1069" s="8">
        <v>0.1</v>
      </c>
    </row>
    <row r="1070" spans="1:5" x14ac:dyDescent="0.2">
      <c r="A1070" s="7">
        <v>10654</v>
      </c>
      <c r="B1070" s="8">
        <v>54</v>
      </c>
      <c r="C1070" s="8">
        <v>7.45</v>
      </c>
      <c r="D1070" s="8">
        <v>6</v>
      </c>
      <c r="E1070" s="8">
        <v>0.1</v>
      </c>
    </row>
    <row r="1071" spans="1:5" x14ac:dyDescent="0.2">
      <c r="A1071" s="7">
        <v>10655</v>
      </c>
      <c r="B1071" s="8">
        <v>41</v>
      </c>
      <c r="C1071" s="8">
        <v>9.65</v>
      </c>
      <c r="D1071" s="8">
        <v>20</v>
      </c>
      <c r="E1071" s="8">
        <v>0.2</v>
      </c>
    </row>
    <row r="1072" spans="1:5" x14ac:dyDescent="0.2">
      <c r="A1072" s="7">
        <v>10656</v>
      </c>
      <c r="B1072" s="8">
        <v>14</v>
      </c>
      <c r="C1072" s="8">
        <v>23.25</v>
      </c>
      <c r="D1072" s="8">
        <v>3</v>
      </c>
      <c r="E1072" s="8">
        <v>0.1</v>
      </c>
    </row>
    <row r="1073" spans="1:5" x14ac:dyDescent="0.2">
      <c r="A1073" s="7">
        <v>10656</v>
      </c>
      <c r="B1073" s="8">
        <v>44</v>
      </c>
      <c r="C1073" s="8">
        <v>19.45</v>
      </c>
      <c r="D1073" s="8">
        <v>28</v>
      </c>
      <c r="E1073" s="8">
        <v>0.1</v>
      </c>
    </row>
    <row r="1074" spans="1:5" x14ac:dyDescent="0.2">
      <c r="A1074" s="7">
        <v>10656</v>
      </c>
      <c r="B1074" s="8">
        <v>47</v>
      </c>
      <c r="C1074" s="8">
        <v>9.5</v>
      </c>
      <c r="D1074" s="8">
        <v>6</v>
      </c>
      <c r="E1074" s="8">
        <v>0.1</v>
      </c>
    </row>
    <row r="1075" spans="1:5" x14ac:dyDescent="0.2">
      <c r="A1075" s="7">
        <v>10657</v>
      </c>
      <c r="B1075" s="8">
        <v>15</v>
      </c>
      <c r="C1075" s="8">
        <v>15.5</v>
      </c>
      <c r="D1075" s="8">
        <v>50</v>
      </c>
      <c r="E1075" s="8">
        <v>0</v>
      </c>
    </row>
    <row r="1076" spans="1:5" x14ac:dyDescent="0.2">
      <c r="A1076" s="7">
        <v>10657</v>
      </c>
      <c r="B1076" s="8">
        <v>41</v>
      </c>
      <c r="C1076" s="8">
        <v>9.65</v>
      </c>
      <c r="D1076" s="8">
        <v>24</v>
      </c>
      <c r="E1076" s="8">
        <v>0</v>
      </c>
    </row>
    <row r="1077" spans="1:5" x14ac:dyDescent="0.2">
      <c r="A1077" s="7">
        <v>10657</v>
      </c>
      <c r="B1077" s="8">
        <v>46</v>
      </c>
      <c r="C1077" s="8">
        <v>12</v>
      </c>
      <c r="D1077" s="8">
        <v>45</v>
      </c>
      <c r="E1077" s="8">
        <v>0</v>
      </c>
    </row>
    <row r="1078" spans="1:5" x14ac:dyDescent="0.2">
      <c r="A1078" s="7">
        <v>10657</v>
      </c>
      <c r="B1078" s="8">
        <v>47</v>
      </c>
      <c r="C1078" s="8">
        <v>9.5</v>
      </c>
      <c r="D1078" s="8">
        <v>10</v>
      </c>
      <c r="E1078" s="8">
        <v>0</v>
      </c>
    </row>
    <row r="1079" spans="1:5" x14ac:dyDescent="0.2">
      <c r="A1079" s="7">
        <v>10657</v>
      </c>
      <c r="B1079" s="8">
        <v>56</v>
      </c>
      <c r="C1079" s="8">
        <v>38</v>
      </c>
      <c r="D1079" s="8">
        <v>45</v>
      </c>
      <c r="E1079" s="8">
        <v>0</v>
      </c>
    </row>
    <row r="1080" spans="1:5" x14ac:dyDescent="0.2">
      <c r="A1080" s="7">
        <v>10657</v>
      </c>
      <c r="B1080" s="8">
        <v>60</v>
      </c>
      <c r="C1080" s="8">
        <v>34</v>
      </c>
      <c r="D1080" s="8">
        <v>30</v>
      </c>
      <c r="E1080" s="8">
        <v>0</v>
      </c>
    </row>
    <row r="1081" spans="1:5" x14ac:dyDescent="0.2">
      <c r="A1081" s="7">
        <v>10658</v>
      </c>
      <c r="B1081" s="8">
        <v>21</v>
      </c>
      <c r="C1081" s="8">
        <v>10</v>
      </c>
      <c r="D1081" s="8">
        <v>60</v>
      </c>
      <c r="E1081" s="8">
        <v>0</v>
      </c>
    </row>
    <row r="1082" spans="1:5" x14ac:dyDescent="0.2">
      <c r="A1082" s="7">
        <v>10658</v>
      </c>
      <c r="B1082" s="8">
        <v>40</v>
      </c>
      <c r="C1082" s="8">
        <v>18.399999999999999</v>
      </c>
      <c r="D1082" s="8">
        <v>70</v>
      </c>
      <c r="E1082" s="8">
        <v>0.05</v>
      </c>
    </row>
    <row r="1083" spans="1:5" x14ac:dyDescent="0.2">
      <c r="A1083" s="7">
        <v>10658</v>
      </c>
      <c r="B1083" s="8">
        <v>60</v>
      </c>
      <c r="C1083" s="8">
        <v>34</v>
      </c>
      <c r="D1083" s="8">
        <v>55</v>
      </c>
      <c r="E1083" s="8">
        <v>0.05</v>
      </c>
    </row>
    <row r="1084" spans="1:5" x14ac:dyDescent="0.2">
      <c r="A1084" s="7">
        <v>10658</v>
      </c>
      <c r="B1084" s="8">
        <v>77</v>
      </c>
      <c r="C1084" s="8">
        <v>13</v>
      </c>
      <c r="D1084" s="8">
        <v>70</v>
      </c>
      <c r="E1084" s="8">
        <v>0.05</v>
      </c>
    </row>
    <row r="1085" spans="1:5" x14ac:dyDescent="0.2">
      <c r="A1085" s="7">
        <v>10659</v>
      </c>
      <c r="B1085" s="8">
        <v>31</v>
      </c>
      <c r="C1085" s="8">
        <v>12.5</v>
      </c>
      <c r="D1085" s="8">
        <v>20</v>
      </c>
      <c r="E1085" s="8">
        <v>0.05</v>
      </c>
    </row>
    <row r="1086" spans="1:5" x14ac:dyDescent="0.2">
      <c r="A1086" s="7">
        <v>10659</v>
      </c>
      <c r="B1086" s="8">
        <v>40</v>
      </c>
      <c r="C1086" s="8">
        <v>18.399999999999999</v>
      </c>
      <c r="D1086" s="8">
        <v>24</v>
      </c>
      <c r="E1086" s="8">
        <v>0.05</v>
      </c>
    </row>
    <row r="1087" spans="1:5" x14ac:dyDescent="0.2">
      <c r="A1087" s="7">
        <v>10659</v>
      </c>
      <c r="B1087" s="8">
        <v>70</v>
      </c>
      <c r="C1087" s="8">
        <v>15</v>
      </c>
      <c r="D1087" s="8">
        <v>40</v>
      </c>
      <c r="E1087" s="8">
        <v>0.05</v>
      </c>
    </row>
    <row r="1088" spans="1:5" x14ac:dyDescent="0.2">
      <c r="A1088" s="7">
        <v>10660</v>
      </c>
      <c r="B1088" s="8">
        <v>20</v>
      </c>
      <c r="C1088" s="8">
        <v>81</v>
      </c>
      <c r="D1088" s="8">
        <v>21</v>
      </c>
      <c r="E1088" s="8">
        <v>0</v>
      </c>
    </row>
    <row r="1089" spans="1:5" x14ac:dyDescent="0.2">
      <c r="A1089" s="7">
        <v>10661</v>
      </c>
      <c r="B1089" s="8">
        <v>39</v>
      </c>
      <c r="C1089" s="8">
        <v>18</v>
      </c>
      <c r="D1089" s="8">
        <v>3</v>
      </c>
      <c r="E1089" s="8">
        <v>0.2</v>
      </c>
    </row>
    <row r="1090" spans="1:5" x14ac:dyDescent="0.2">
      <c r="A1090" s="7">
        <v>10661</v>
      </c>
      <c r="B1090" s="8">
        <v>58</v>
      </c>
      <c r="C1090" s="8">
        <v>13.25</v>
      </c>
      <c r="D1090" s="8">
        <v>49</v>
      </c>
      <c r="E1090" s="8">
        <v>0.2</v>
      </c>
    </row>
    <row r="1091" spans="1:5" x14ac:dyDescent="0.2">
      <c r="A1091" s="7">
        <v>10662</v>
      </c>
      <c r="B1091" s="8">
        <v>68</v>
      </c>
      <c r="C1091" s="8">
        <v>12.5</v>
      </c>
      <c r="D1091" s="8">
        <v>10</v>
      </c>
      <c r="E1091" s="8">
        <v>0</v>
      </c>
    </row>
    <row r="1092" spans="1:5" x14ac:dyDescent="0.2">
      <c r="A1092" s="7">
        <v>10663</v>
      </c>
      <c r="B1092" s="8">
        <v>40</v>
      </c>
      <c r="C1092" s="8">
        <v>18.399999999999999</v>
      </c>
      <c r="D1092" s="8">
        <v>30</v>
      </c>
      <c r="E1092" s="8">
        <v>0.05</v>
      </c>
    </row>
    <row r="1093" spans="1:5" x14ac:dyDescent="0.2">
      <c r="A1093" s="7">
        <v>10663</v>
      </c>
      <c r="B1093" s="8">
        <v>42</v>
      </c>
      <c r="C1093" s="8">
        <v>14</v>
      </c>
      <c r="D1093" s="8">
        <v>30</v>
      </c>
      <c r="E1093" s="8">
        <v>0.05</v>
      </c>
    </row>
    <row r="1094" spans="1:5" x14ac:dyDescent="0.2">
      <c r="A1094" s="7">
        <v>10663</v>
      </c>
      <c r="B1094" s="8">
        <v>51</v>
      </c>
      <c r="C1094" s="8">
        <v>53</v>
      </c>
      <c r="D1094" s="8">
        <v>20</v>
      </c>
      <c r="E1094" s="8">
        <v>0.05</v>
      </c>
    </row>
    <row r="1095" spans="1:5" x14ac:dyDescent="0.2">
      <c r="A1095" s="7">
        <v>10664</v>
      </c>
      <c r="B1095" s="8">
        <v>10</v>
      </c>
      <c r="C1095" s="8">
        <v>31</v>
      </c>
      <c r="D1095" s="8">
        <v>24</v>
      </c>
      <c r="E1095" s="8">
        <v>0.15</v>
      </c>
    </row>
    <row r="1096" spans="1:5" x14ac:dyDescent="0.2">
      <c r="A1096" s="7">
        <v>10664</v>
      </c>
      <c r="B1096" s="8">
        <v>56</v>
      </c>
      <c r="C1096" s="8">
        <v>38</v>
      </c>
      <c r="D1096" s="8">
        <v>12</v>
      </c>
      <c r="E1096" s="8">
        <v>0.15</v>
      </c>
    </row>
    <row r="1097" spans="1:5" x14ac:dyDescent="0.2">
      <c r="A1097" s="7">
        <v>10664</v>
      </c>
      <c r="B1097" s="8">
        <v>65</v>
      </c>
      <c r="C1097" s="8">
        <v>21.05</v>
      </c>
      <c r="D1097" s="8">
        <v>15</v>
      </c>
      <c r="E1097" s="8">
        <v>0.15</v>
      </c>
    </row>
    <row r="1098" spans="1:5" x14ac:dyDescent="0.2">
      <c r="A1098" s="7">
        <v>10665</v>
      </c>
      <c r="B1098" s="8">
        <v>51</v>
      </c>
      <c r="C1098" s="8">
        <v>53</v>
      </c>
      <c r="D1098" s="8">
        <v>20</v>
      </c>
      <c r="E1098" s="8">
        <v>0</v>
      </c>
    </row>
    <row r="1099" spans="1:5" x14ac:dyDescent="0.2">
      <c r="A1099" s="7">
        <v>10665</v>
      </c>
      <c r="B1099" s="8">
        <v>59</v>
      </c>
      <c r="C1099" s="8">
        <v>55</v>
      </c>
      <c r="D1099" s="8">
        <v>1</v>
      </c>
      <c r="E1099" s="8">
        <v>0</v>
      </c>
    </row>
    <row r="1100" spans="1:5" x14ac:dyDescent="0.2">
      <c r="A1100" s="7">
        <v>10665</v>
      </c>
      <c r="B1100" s="8">
        <v>76</v>
      </c>
      <c r="C1100" s="8">
        <v>18</v>
      </c>
      <c r="D1100" s="8">
        <v>10</v>
      </c>
      <c r="E1100" s="8">
        <v>0</v>
      </c>
    </row>
    <row r="1101" spans="1:5" x14ac:dyDescent="0.2">
      <c r="A1101" s="7">
        <v>10666</v>
      </c>
      <c r="B1101" s="8">
        <v>29</v>
      </c>
      <c r="C1101" s="8">
        <v>123.79</v>
      </c>
      <c r="D1101" s="8">
        <v>36</v>
      </c>
      <c r="E1101" s="8">
        <v>0</v>
      </c>
    </row>
    <row r="1102" spans="1:5" x14ac:dyDescent="0.2">
      <c r="A1102" s="7">
        <v>10666</v>
      </c>
      <c r="B1102" s="8">
        <v>65</v>
      </c>
      <c r="C1102" s="8">
        <v>21.05</v>
      </c>
      <c r="D1102" s="8">
        <v>10</v>
      </c>
      <c r="E1102" s="8">
        <v>0</v>
      </c>
    </row>
    <row r="1103" spans="1:5" x14ac:dyDescent="0.2">
      <c r="A1103" s="7">
        <v>10667</v>
      </c>
      <c r="B1103" s="8">
        <v>69</v>
      </c>
      <c r="C1103" s="8">
        <v>36</v>
      </c>
      <c r="D1103" s="8">
        <v>45</v>
      </c>
      <c r="E1103" s="8">
        <v>0.2</v>
      </c>
    </row>
    <row r="1104" spans="1:5" x14ac:dyDescent="0.2">
      <c r="A1104" s="7">
        <v>10667</v>
      </c>
      <c r="B1104" s="8">
        <v>71</v>
      </c>
      <c r="C1104" s="8">
        <v>21.5</v>
      </c>
      <c r="D1104" s="8">
        <v>14</v>
      </c>
      <c r="E1104" s="8">
        <v>0.2</v>
      </c>
    </row>
    <row r="1105" spans="1:5" x14ac:dyDescent="0.2">
      <c r="A1105" s="7">
        <v>10668</v>
      </c>
      <c r="B1105" s="8">
        <v>31</v>
      </c>
      <c r="C1105" s="8">
        <v>12.5</v>
      </c>
      <c r="D1105" s="8">
        <v>8</v>
      </c>
      <c r="E1105" s="8">
        <v>0.1</v>
      </c>
    </row>
    <row r="1106" spans="1:5" x14ac:dyDescent="0.2">
      <c r="A1106" s="7">
        <v>10668</v>
      </c>
      <c r="B1106" s="8">
        <v>55</v>
      </c>
      <c r="C1106" s="8">
        <v>24</v>
      </c>
      <c r="D1106" s="8">
        <v>4</v>
      </c>
      <c r="E1106" s="8">
        <v>0.1</v>
      </c>
    </row>
    <row r="1107" spans="1:5" x14ac:dyDescent="0.2">
      <c r="A1107" s="7">
        <v>10668</v>
      </c>
      <c r="B1107" s="8">
        <v>64</v>
      </c>
      <c r="C1107" s="8">
        <v>33.25</v>
      </c>
      <c r="D1107" s="8">
        <v>15</v>
      </c>
      <c r="E1107" s="8">
        <v>0.1</v>
      </c>
    </row>
    <row r="1108" spans="1:5" x14ac:dyDescent="0.2">
      <c r="A1108" s="7">
        <v>10669</v>
      </c>
      <c r="B1108" s="8">
        <v>36</v>
      </c>
      <c r="C1108" s="8">
        <v>19</v>
      </c>
      <c r="D1108" s="8">
        <v>30</v>
      </c>
      <c r="E1108" s="8">
        <v>0</v>
      </c>
    </row>
    <row r="1109" spans="1:5" x14ac:dyDescent="0.2">
      <c r="A1109" s="7">
        <v>10670</v>
      </c>
      <c r="B1109" s="8">
        <v>23</v>
      </c>
      <c r="C1109" s="8">
        <v>9</v>
      </c>
      <c r="D1109" s="8">
        <v>32</v>
      </c>
      <c r="E1109" s="8">
        <v>0</v>
      </c>
    </row>
    <row r="1110" spans="1:5" x14ac:dyDescent="0.2">
      <c r="A1110" s="7">
        <v>10670</v>
      </c>
      <c r="B1110" s="8">
        <v>46</v>
      </c>
      <c r="C1110" s="8">
        <v>12</v>
      </c>
      <c r="D1110" s="8">
        <v>60</v>
      </c>
      <c r="E1110" s="8">
        <v>0</v>
      </c>
    </row>
    <row r="1111" spans="1:5" x14ac:dyDescent="0.2">
      <c r="A1111" s="7">
        <v>10670</v>
      </c>
      <c r="B1111" s="8">
        <v>67</v>
      </c>
      <c r="C1111" s="8">
        <v>14</v>
      </c>
      <c r="D1111" s="8">
        <v>25</v>
      </c>
      <c r="E1111" s="8">
        <v>0</v>
      </c>
    </row>
    <row r="1112" spans="1:5" x14ac:dyDescent="0.2">
      <c r="A1112" s="7">
        <v>10670</v>
      </c>
      <c r="B1112" s="8">
        <v>73</v>
      </c>
      <c r="C1112" s="8">
        <v>15</v>
      </c>
      <c r="D1112" s="8">
        <v>50</v>
      </c>
      <c r="E1112" s="8">
        <v>0</v>
      </c>
    </row>
    <row r="1113" spans="1:5" x14ac:dyDescent="0.2">
      <c r="A1113" s="7">
        <v>10670</v>
      </c>
      <c r="B1113" s="8">
        <v>75</v>
      </c>
      <c r="C1113" s="8">
        <v>7.75</v>
      </c>
      <c r="D1113" s="8">
        <v>25</v>
      </c>
      <c r="E1113" s="8">
        <v>0</v>
      </c>
    </row>
    <row r="1114" spans="1:5" x14ac:dyDescent="0.2">
      <c r="A1114" s="7">
        <v>10671</v>
      </c>
      <c r="B1114" s="8">
        <v>16</v>
      </c>
      <c r="C1114" s="8">
        <v>17.45</v>
      </c>
      <c r="D1114" s="8">
        <v>10</v>
      </c>
      <c r="E1114" s="8">
        <v>0</v>
      </c>
    </row>
    <row r="1115" spans="1:5" x14ac:dyDescent="0.2">
      <c r="A1115" s="7">
        <v>10671</v>
      </c>
      <c r="B1115" s="8">
        <v>62</v>
      </c>
      <c r="C1115" s="8">
        <v>49.3</v>
      </c>
      <c r="D1115" s="8">
        <v>10</v>
      </c>
      <c r="E1115" s="8">
        <v>0</v>
      </c>
    </row>
    <row r="1116" spans="1:5" x14ac:dyDescent="0.2">
      <c r="A1116" s="7">
        <v>10671</v>
      </c>
      <c r="B1116" s="8">
        <v>65</v>
      </c>
      <c r="C1116" s="8">
        <v>21.05</v>
      </c>
      <c r="D1116" s="8">
        <v>12</v>
      </c>
      <c r="E1116" s="8">
        <v>0</v>
      </c>
    </row>
    <row r="1117" spans="1:5" x14ac:dyDescent="0.2">
      <c r="A1117" s="7">
        <v>10672</v>
      </c>
      <c r="B1117" s="8">
        <v>38</v>
      </c>
      <c r="C1117" s="8">
        <v>263.5</v>
      </c>
      <c r="D1117" s="8">
        <v>15</v>
      </c>
      <c r="E1117" s="8">
        <v>0.1</v>
      </c>
    </row>
    <row r="1118" spans="1:5" x14ac:dyDescent="0.2">
      <c r="A1118" s="7">
        <v>10672</v>
      </c>
      <c r="B1118" s="8">
        <v>71</v>
      </c>
      <c r="C1118" s="8">
        <v>21.5</v>
      </c>
      <c r="D1118" s="8">
        <v>12</v>
      </c>
      <c r="E1118" s="8">
        <v>0</v>
      </c>
    </row>
    <row r="1119" spans="1:5" x14ac:dyDescent="0.2">
      <c r="A1119" s="7">
        <v>10673</v>
      </c>
      <c r="B1119" s="8">
        <v>16</v>
      </c>
      <c r="C1119" s="8">
        <v>17.45</v>
      </c>
      <c r="D1119" s="8">
        <v>3</v>
      </c>
      <c r="E1119" s="8">
        <v>0</v>
      </c>
    </row>
    <row r="1120" spans="1:5" x14ac:dyDescent="0.2">
      <c r="A1120" s="7">
        <v>10673</v>
      </c>
      <c r="B1120" s="8">
        <v>42</v>
      </c>
      <c r="C1120" s="8">
        <v>14</v>
      </c>
      <c r="D1120" s="8">
        <v>6</v>
      </c>
      <c r="E1120" s="8">
        <v>0</v>
      </c>
    </row>
    <row r="1121" spans="1:5" x14ac:dyDescent="0.2">
      <c r="A1121" s="7">
        <v>10673</v>
      </c>
      <c r="B1121" s="8">
        <v>43</v>
      </c>
      <c r="C1121" s="8">
        <v>46</v>
      </c>
      <c r="D1121" s="8">
        <v>6</v>
      </c>
      <c r="E1121" s="8">
        <v>0</v>
      </c>
    </row>
    <row r="1122" spans="1:5" x14ac:dyDescent="0.2">
      <c r="A1122" s="7">
        <v>10674</v>
      </c>
      <c r="B1122" s="8">
        <v>23</v>
      </c>
      <c r="C1122" s="8">
        <v>9</v>
      </c>
      <c r="D1122" s="8">
        <v>5</v>
      </c>
      <c r="E1122" s="8">
        <v>0</v>
      </c>
    </row>
    <row r="1123" spans="1:5" x14ac:dyDescent="0.2">
      <c r="A1123" s="7">
        <v>10675</v>
      </c>
      <c r="B1123" s="8">
        <v>14</v>
      </c>
      <c r="C1123" s="8">
        <v>23.25</v>
      </c>
      <c r="D1123" s="8">
        <v>30</v>
      </c>
      <c r="E1123" s="8">
        <v>0</v>
      </c>
    </row>
    <row r="1124" spans="1:5" x14ac:dyDescent="0.2">
      <c r="A1124" s="7">
        <v>10675</v>
      </c>
      <c r="B1124" s="8">
        <v>53</v>
      </c>
      <c r="C1124" s="8">
        <v>32.799999999999997</v>
      </c>
      <c r="D1124" s="8">
        <v>10</v>
      </c>
      <c r="E1124" s="8">
        <v>0</v>
      </c>
    </row>
    <row r="1125" spans="1:5" x14ac:dyDescent="0.2">
      <c r="A1125" s="7">
        <v>10675</v>
      </c>
      <c r="B1125" s="8">
        <v>58</v>
      </c>
      <c r="C1125" s="8">
        <v>13.25</v>
      </c>
      <c r="D1125" s="8">
        <v>30</v>
      </c>
      <c r="E1125" s="8">
        <v>0</v>
      </c>
    </row>
    <row r="1126" spans="1:5" x14ac:dyDescent="0.2">
      <c r="A1126" s="7">
        <v>10676</v>
      </c>
      <c r="B1126" s="8">
        <v>10</v>
      </c>
      <c r="C1126" s="8">
        <v>31</v>
      </c>
      <c r="D1126" s="8">
        <v>2</v>
      </c>
      <c r="E1126" s="8">
        <v>0</v>
      </c>
    </row>
    <row r="1127" spans="1:5" x14ac:dyDescent="0.2">
      <c r="A1127" s="7">
        <v>10676</v>
      </c>
      <c r="B1127" s="8">
        <v>19</v>
      </c>
      <c r="C1127" s="8">
        <v>9.1999999999999993</v>
      </c>
      <c r="D1127" s="8">
        <v>7</v>
      </c>
      <c r="E1127" s="8">
        <v>0</v>
      </c>
    </row>
    <row r="1128" spans="1:5" x14ac:dyDescent="0.2">
      <c r="A1128" s="7">
        <v>10676</v>
      </c>
      <c r="B1128" s="8">
        <v>44</v>
      </c>
      <c r="C1128" s="8">
        <v>19.45</v>
      </c>
      <c r="D1128" s="8">
        <v>21</v>
      </c>
      <c r="E1128" s="8">
        <v>0</v>
      </c>
    </row>
    <row r="1129" spans="1:5" x14ac:dyDescent="0.2">
      <c r="A1129" s="7">
        <v>10677</v>
      </c>
      <c r="B1129" s="8">
        <v>26</v>
      </c>
      <c r="C1129" s="8">
        <v>31.23</v>
      </c>
      <c r="D1129" s="8">
        <v>30</v>
      </c>
      <c r="E1129" s="8">
        <v>0.15</v>
      </c>
    </row>
    <row r="1130" spans="1:5" x14ac:dyDescent="0.2">
      <c r="A1130" s="7">
        <v>10677</v>
      </c>
      <c r="B1130" s="8">
        <v>33</v>
      </c>
      <c r="C1130" s="8">
        <v>2.5</v>
      </c>
      <c r="D1130" s="8">
        <v>8</v>
      </c>
      <c r="E1130" s="8">
        <v>0.15</v>
      </c>
    </row>
    <row r="1131" spans="1:5" x14ac:dyDescent="0.2">
      <c r="A1131" s="7">
        <v>10678</v>
      </c>
      <c r="B1131" s="8">
        <v>12</v>
      </c>
      <c r="C1131" s="8">
        <v>38</v>
      </c>
      <c r="D1131" s="8">
        <v>100</v>
      </c>
      <c r="E1131" s="8">
        <v>0</v>
      </c>
    </row>
    <row r="1132" spans="1:5" x14ac:dyDescent="0.2">
      <c r="A1132" s="7">
        <v>10678</v>
      </c>
      <c r="B1132" s="8">
        <v>33</v>
      </c>
      <c r="C1132" s="8">
        <v>2.5</v>
      </c>
      <c r="D1132" s="8">
        <v>30</v>
      </c>
      <c r="E1132" s="8">
        <v>0</v>
      </c>
    </row>
    <row r="1133" spans="1:5" x14ac:dyDescent="0.2">
      <c r="A1133" s="7">
        <v>10678</v>
      </c>
      <c r="B1133" s="8">
        <v>41</v>
      </c>
      <c r="C1133" s="8">
        <v>9.65</v>
      </c>
      <c r="D1133" s="8">
        <v>120</v>
      </c>
      <c r="E1133" s="8">
        <v>0</v>
      </c>
    </row>
    <row r="1134" spans="1:5" x14ac:dyDescent="0.2">
      <c r="A1134" s="7">
        <v>10678</v>
      </c>
      <c r="B1134" s="8">
        <v>54</v>
      </c>
      <c r="C1134" s="8">
        <v>7.45</v>
      </c>
      <c r="D1134" s="8">
        <v>30</v>
      </c>
      <c r="E1134" s="8">
        <v>0</v>
      </c>
    </row>
    <row r="1135" spans="1:5" x14ac:dyDescent="0.2">
      <c r="A1135" s="7">
        <v>10679</v>
      </c>
      <c r="B1135" s="8">
        <v>59</v>
      </c>
      <c r="C1135" s="8">
        <v>55</v>
      </c>
      <c r="D1135" s="8">
        <v>12</v>
      </c>
      <c r="E1135" s="8">
        <v>0</v>
      </c>
    </row>
    <row r="1136" spans="1:5" x14ac:dyDescent="0.2">
      <c r="A1136" s="7">
        <v>10680</v>
      </c>
      <c r="B1136" s="8">
        <v>16</v>
      </c>
      <c r="C1136" s="8">
        <v>17.45</v>
      </c>
      <c r="D1136" s="8">
        <v>50</v>
      </c>
      <c r="E1136" s="8">
        <v>0.25</v>
      </c>
    </row>
    <row r="1137" spans="1:5" x14ac:dyDescent="0.2">
      <c r="A1137" s="7">
        <v>10680</v>
      </c>
      <c r="B1137" s="8">
        <v>31</v>
      </c>
      <c r="C1137" s="8">
        <v>12.5</v>
      </c>
      <c r="D1137" s="8">
        <v>20</v>
      </c>
      <c r="E1137" s="8">
        <v>0.25</v>
      </c>
    </row>
    <row r="1138" spans="1:5" x14ac:dyDescent="0.2">
      <c r="A1138" s="7">
        <v>10680</v>
      </c>
      <c r="B1138" s="8">
        <v>42</v>
      </c>
      <c r="C1138" s="8">
        <v>14</v>
      </c>
      <c r="D1138" s="8">
        <v>40</v>
      </c>
      <c r="E1138" s="8">
        <v>0.25</v>
      </c>
    </row>
    <row r="1139" spans="1:5" x14ac:dyDescent="0.2">
      <c r="A1139" s="7">
        <v>10681</v>
      </c>
      <c r="B1139" s="8">
        <v>19</v>
      </c>
      <c r="C1139" s="8">
        <v>9.1999999999999993</v>
      </c>
      <c r="D1139" s="8">
        <v>30</v>
      </c>
      <c r="E1139" s="8">
        <v>0.1</v>
      </c>
    </row>
    <row r="1140" spans="1:5" x14ac:dyDescent="0.2">
      <c r="A1140" s="7">
        <v>10681</v>
      </c>
      <c r="B1140" s="8">
        <v>21</v>
      </c>
      <c r="C1140" s="8">
        <v>10</v>
      </c>
      <c r="D1140" s="8">
        <v>12</v>
      </c>
      <c r="E1140" s="8">
        <v>0.1</v>
      </c>
    </row>
    <row r="1141" spans="1:5" x14ac:dyDescent="0.2">
      <c r="A1141" s="7">
        <v>10681</v>
      </c>
      <c r="B1141" s="8">
        <v>64</v>
      </c>
      <c r="C1141" s="8">
        <v>33.25</v>
      </c>
      <c r="D1141" s="8">
        <v>28</v>
      </c>
      <c r="E1141" s="8">
        <v>0</v>
      </c>
    </row>
    <row r="1142" spans="1:5" x14ac:dyDescent="0.2">
      <c r="A1142" s="7">
        <v>10682</v>
      </c>
      <c r="B1142" s="8">
        <v>33</v>
      </c>
      <c r="C1142" s="8">
        <v>2.5</v>
      </c>
      <c r="D1142" s="8">
        <v>30</v>
      </c>
      <c r="E1142" s="8">
        <v>0</v>
      </c>
    </row>
    <row r="1143" spans="1:5" x14ac:dyDescent="0.2">
      <c r="A1143" s="7">
        <v>10682</v>
      </c>
      <c r="B1143" s="8">
        <v>66</v>
      </c>
      <c r="C1143" s="8">
        <v>17</v>
      </c>
      <c r="D1143" s="8">
        <v>4</v>
      </c>
      <c r="E1143" s="8">
        <v>0</v>
      </c>
    </row>
    <row r="1144" spans="1:5" x14ac:dyDescent="0.2">
      <c r="A1144" s="7">
        <v>10682</v>
      </c>
      <c r="B1144" s="8">
        <v>75</v>
      </c>
      <c r="C1144" s="8">
        <v>7.75</v>
      </c>
      <c r="D1144" s="8">
        <v>30</v>
      </c>
      <c r="E1144" s="8">
        <v>0</v>
      </c>
    </row>
    <row r="1145" spans="1:5" x14ac:dyDescent="0.2">
      <c r="A1145" s="7">
        <v>10683</v>
      </c>
      <c r="B1145" s="8">
        <v>52</v>
      </c>
      <c r="C1145" s="8">
        <v>7</v>
      </c>
      <c r="D1145" s="8">
        <v>9</v>
      </c>
      <c r="E1145" s="8">
        <v>0</v>
      </c>
    </row>
    <row r="1146" spans="1:5" x14ac:dyDescent="0.2">
      <c r="A1146" s="7">
        <v>10684</v>
      </c>
      <c r="B1146" s="8">
        <v>40</v>
      </c>
      <c r="C1146" s="8">
        <v>18.399999999999999</v>
      </c>
      <c r="D1146" s="8">
        <v>20</v>
      </c>
      <c r="E1146" s="8">
        <v>0</v>
      </c>
    </row>
    <row r="1147" spans="1:5" x14ac:dyDescent="0.2">
      <c r="A1147" s="7">
        <v>10684</v>
      </c>
      <c r="B1147" s="8">
        <v>47</v>
      </c>
      <c r="C1147" s="8">
        <v>9.5</v>
      </c>
      <c r="D1147" s="8">
        <v>40</v>
      </c>
      <c r="E1147" s="8">
        <v>0</v>
      </c>
    </row>
    <row r="1148" spans="1:5" x14ac:dyDescent="0.2">
      <c r="A1148" s="7">
        <v>10684</v>
      </c>
      <c r="B1148" s="8">
        <v>60</v>
      </c>
      <c r="C1148" s="8">
        <v>34</v>
      </c>
      <c r="D1148" s="8">
        <v>30</v>
      </c>
      <c r="E1148" s="8">
        <v>0</v>
      </c>
    </row>
    <row r="1149" spans="1:5" x14ac:dyDescent="0.2">
      <c r="A1149" s="7">
        <v>10685</v>
      </c>
      <c r="B1149" s="8">
        <v>10</v>
      </c>
      <c r="C1149" s="8">
        <v>31</v>
      </c>
      <c r="D1149" s="8">
        <v>20</v>
      </c>
      <c r="E1149" s="8">
        <v>0</v>
      </c>
    </row>
    <row r="1150" spans="1:5" x14ac:dyDescent="0.2">
      <c r="A1150" s="7">
        <v>10685</v>
      </c>
      <c r="B1150" s="8">
        <v>41</v>
      </c>
      <c r="C1150" s="8">
        <v>9.65</v>
      </c>
      <c r="D1150" s="8">
        <v>4</v>
      </c>
      <c r="E1150" s="8">
        <v>0</v>
      </c>
    </row>
    <row r="1151" spans="1:5" x14ac:dyDescent="0.2">
      <c r="A1151" s="7">
        <v>10685</v>
      </c>
      <c r="B1151" s="8">
        <v>47</v>
      </c>
      <c r="C1151" s="8">
        <v>9.5</v>
      </c>
      <c r="D1151" s="8">
        <v>15</v>
      </c>
      <c r="E1151" s="8">
        <v>0</v>
      </c>
    </row>
    <row r="1152" spans="1:5" x14ac:dyDescent="0.2">
      <c r="A1152" s="7">
        <v>10686</v>
      </c>
      <c r="B1152" s="8">
        <v>17</v>
      </c>
      <c r="C1152" s="8">
        <v>39</v>
      </c>
      <c r="D1152" s="8">
        <v>30</v>
      </c>
      <c r="E1152" s="8">
        <v>0.2</v>
      </c>
    </row>
    <row r="1153" spans="1:5" x14ac:dyDescent="0.2">
      <c r="A1153" s="7">
        <v>10686</v>
      </c>
      <c r="B1153" s="8">
        <v>26</v>
      </c>
      <c r="C1153" s="8">
        <v>31.23</v>
      </c>
      <c r="D1153" s="8">
        <v>15</v>
      </c>
      <c r="E1153" s="8">
        <v>0</v>
      </c>
    </row>
    <row r="1154" spans="1:5" x14ac:dyDescent="0.2">
      <c r="A1154" s="7">
        <v>10687</v>
      </c>
      <c r="B1154" s="8">
        <v>9</v>
      </c>
      <c r="C1154" s="8">
        <v>97</v>
      </c>
      <c r="D1154" s="8">
        <v>50</v>
      </c>
      <c r="E1154" s="8">
        <v>0.25</v>
      </c>
    </row>
    <row r="1155" spans="1:5" x14ac:dyDescent="0.2">
      <c r="A1155" s="7">
        <v>10687</v>
      </c>
      <c r="B1155" s="8">
        <v>29</v>
      </c>
      <c r="C1155" s="8">
        <v>123.79</v>
      </c>
      <c r="D1155" s="8">
        <v>10</v>
      </c>
      <c r="E1155" s="8">
        <v>0</v>
      </c>
    </row>
    <row r="1156" spans="1:5" x14ac:dyDescent="0.2">
      <c r="A1156" s="7">
        <v>10687</v>
      </c>
      <c r="B1156" s="8">
        <v>36</v>
      </c>
      <c r="C1156" s="8">
        <v>19</v>
      </c>
      <c r="D1156" s="8">
        <v>6</v>
      </c>
      <c r="E1156" s="8">
        <v>0.25</v>
      </c>
    </row>
    <row r="1157" spans="1:5" x14ac:dyDescent="0.2">
      <c r="A1157" s="7">
        <v>10688</v>
      </c>
      <c r="B1157" s="8">
        <v>10</v>
      </c>
      <c r="C1157" s="8">
        <v>31</v>
      </c>
      <c r="D1157" s="8">
        <v>18</v>
      </c>
      <c r="E1157" s="8">
        <v>0.1</v>
      </c>
    </row>
    <row r="1158" spans="1:5" x14ac:dyDescent="0.2">
      <c r="A1158" s="7">
        <v>10688</v>
      </c>
      <c r="B1158" s="8">
        <v>28</v>
      </c>
      <c r="C1158" s="8">
        <v>45.6</v>
      </c>
      <c r="D1158" s="8">
        <v>60</v>
      </c>
      <c r="E1158" s="8">
        <v>0.1</v>
      </c>
    </row>
    <row r="1159" spans="1:5" x14ac:dyDescent="0.2">
      <c r="A1159" s="7">
        <v>10688</v>
      </c>
      <c r="B1159" s="8">
        <v>34</v>
      </c>
      <c r="C1159" s="8">
        <v>14</v>
      </c>
      <c r="D1159" s="8">
        <v>14</v>
      </c>
      <c r="E1159" s="8">
        <v>0</v>
      </c>
    </row>
    <row r="1160" spans="1:5" x14ac:dyDescent="0.2">
      <c r="A1160" s="7">
        <v>10689</v>
      </c>
      <c r="B1160" s="8">
        <v>1</v>
      </c>
      <c r="C1160" s="8">
        <v>18</v>
      </c>
      <c r="D1160" s="8">
        <v>35</v>
      </c>
      <c r="E1160" s="8">
        <v>0.25</v>
      </c>
    </row>
    <row r="1161" spans="1:5" x14ac:dyDescent="0.2">
      <c r="A1161" s="7">
        <v>10690</v>
      </c>
      <c r="B1161" s="8">
        <v>56</v>
      </c>
      <c r="C1161" s="8">
        <v>38</v>
      </c>
      <c r="D1161" s="8">
        <v>20</v>
      </c>
      <c r="E1161" s="8">
        <v>0.25</v>
      </c>
    </row>
    <row r="1162" spans="1:5" x14ac:dyDescent="0.2">
      <c r="A1162" s="7">
        <v>10690</v>
      </c>
      <c r="B1162" s="8">
        <v>77</v>
      </c>
      <c r="C1162" s="8">
        <v>13</v>
      </c>
      <c r="D1162" s="8">
        <v>30</v>
      </c>
      <c r="E1162" s="8">
        <v>0.25</v>
      </c>
    </row>
    <row r="1163" spans="1:5" x14ac:dyDescent="0.2">
      <c r="A1163" s="7">
        <v>10691</v>
      </c>
      <c r="B1163" s="8">
        <v>1</v>
      </c>
      <c r="C1163" s="8">
        <v>18</v>
      </c>
      <c r="D1163" s="8">
        <v>30</v>
      </c>
      <c r="E1163" s="8">
        <v>0</v>
      </c>
    </row>
    <row r="1164" spans="1:5" x14ac:dyDescent="0.2">
      <c r="A1164" s="7">
        <v>10691</v>
      </c>
      <c r="B1164" s="8">
        <v>29</v>
      </c>
      <c r="C1164" s="8">
        <v>123.79</v>
      </c>
      <c r="D1164" s="8">
        <v>40</v>
      </c>
      <c r="E1164" s="8">
        <v>0</v>
      </c>
    </row>
    <row r="1165" spans="1:5" x14ac:dyDescent="0.2">
      <c r="A1165" s="7">
        <v>10691</v>
      </c>
      <c r="B1165" s="8">
        <v>43</v>
      </c>
      <c r="C1165" s="8">
        <v>46</v>
      </c>
      <c r="D1165" s="8">
        <v>40</v>
      </c>
      <c r="E1165" s="8">
        <v>0</v>
      </c>
    </row>
    <row r="1166" spans="1:5" x14ac:dyDescent="0.2">
      <c r="A1166" s="7">
        <v>10691</v>
      </c>
      <c r="B1166" s="8">
        <v>44</v>
      </c>
      <c r="C1166" s="8">
        <v>19.45</v>
      </c>
      <c r="D1166" s="8">
        <v>24</v>
      </c>
      <c r="E1166" s="8">
        <v>0</v>
      </c>
    </row>
    <row r="1167" spans="1:5" x14ac:dyDescent="0.2">
      <c r="A1167" s="7">
        <v>10691</v>
      </c>
      <c r="B1167" s="8">
        <v>62</v>
      </c>
      <c r="C1167" s="8">
        <v>49.3</v>
      </c>
      <c r="D1167" s="8">
        <v>48</v>
      </c>
      <c r="E1167" s="8">
        <v>0</v>
      </c>
    </row>
    <row r="1168" spans="1:5" x14ac:dyDescent="0.2">
      <c r="A1168" s="7">
        <v>10692</v>
      </c>
      <c r="B1168" s="8">
        <v>63</v>
      </c>
      <c r="C1168" s="8">
        <v>43.9</v>
      </c>
      <c r="D1168" s="8">
        <v>20</v>
      </c>
      <c r="E1168" s="8">
        <v>0</v>
      </c>
    </row>
    <row r="1169" spans="1:5" x14ac:dyDescent="0.2">
      <c r="A1169" s="7">
        <v>10693</v>
      </c>
      <c r="B1169" s="8">
        <v>9</v>
      </c>
      <c r="C1169" s="8">
        <v>97</v>
      </c>
      <c r="D1169" s="8">
        <v>6</v>
      </c>
      <c r="E1169" s="8">
        <v>0</v>
      </c>
    </row>
    <row r="1170" spans="1:5" x14ac:dyDescent="0.2">
      <c r="A1170" s="7">
        <v>10693</v>
      </c>
      <c r="B1170" s="8">
        <v>54</v>
      </c>
      <c r="C1170" s="8">
        <v>7.45</v>
      </c>
      <c r="D1170" s="8">
        <v>60</v>
      </c>
      <c r="E1170" s="8">
        <v>0.15</v>
      </c>
    </row>
    <row r="1171" spans="1:5" x14ac:dyDescent="0.2">
      <c r="A1171" s="7">
        <v>10693</v>
      </c>
      <c r="B1171" s="8">
        <v>69</v>
      </c>
      <c r="C1171" s="8">
        <v>36</v>
      </c>
      <c r="D1171" s="8">
        <v>30</v>
      </c>
      <c r="E1171" s="8">
        <v>0.15</v>
      </c>
    </row>
    <row r="1172" spans="1:5" x14ac:dyDescent="0.2">
      <c r="A1172" s="7">
        <v>10693</v>
      </c>
      <c r="B1172" s="8">
        <v>73</v>
      </c>
      <c r="C1172" s="8">
        <v>15</v>
      </c>
      <c r="D1172" s="8">
        <v>15</v>
      </c>
      <c r="E1172" s="8">
        <v>0.15</v>
      </c>
    </row>
    <row r="1173" spans="1:5" x14ac:dyDescent="0.2">
      <c r="A1173" s="7">
        <v>10694</v>
      </c>
      <c r="B1173" s="8">
        <v>7</v>
      </c>
      <c r="C1173" s="8">
        <v>30</v>
      </c>
      <c r="D1173" s="8">
        <v>90</v>
      </c>
      <c r="E1173" s="8">
        <v>0</v>
      </c>
    </row>
    <row r="1174" spans="1:5" x14ac:dyDescent="0.2">
      <c r="A1174" s="7">
        <v>10694</v>
      </c>
      <c r="B1174" s="8">
        <v>59</v>
      </c>
      <c r="C1174" s="8">
        <v>55</v>
      </c>
      <c r="D1174" s="8">
        <v>25</v>
      </c>
      <c r="E1174" s="8">
        <v>0</v>
      </c>
    </row>
    <row r="1175" spans="1:5" x14ac:dyDescent="0.2">
      <c r="A1175" s="7">
        <v>10694</v>
      </c>
      <c r="B1175" s="8">
        <v>70</v>
      </c>
      <c r="C1175" s="8">
        <v>15</v>
      </c>
      <c r="D1175" s="8">
        <v>50</v>
      </c>
      <c r="E1175" s="8">
        <v>0</v>
      </c>
    </row>
    <row r="1176" spans="1:5" x14ac:dyDescent="0.2">
      <c r="A1176" s="7">
        <v>10695</v>
      </c>
      <c r="B1176" s="8">
        <v>8</v>
      </c>
      <c r="C1176" s="8">
        <v>40</v>
      </c>
      <c r="D1176" s="8">
        <v>10</v>
      </c>
      <c r="E1176" s="8">
        <v>0</v>
      </c>
    </row>
    <row r="1177" spans="1:5" x14ac:dyDescent="0.2">
      <c r="A1177" s="7">
        <v>10695</v>
      </c>
      <c r="B1177" s="8">
        <v>12</v>
      </c>
      <c r="C1177" s="8">
        <v>38</v>
      </c>
      <c r="D1177" s="8">
        <v>4</v>
      </c>
      <c r="E1177" s="8">
        <v>0</v>
      </c>
    </row>
    <row r="1178" spans="1:5" x14ac:dyDescent="0.2">
      <c r="A1178" s="7">
        <v>10695</v>
      </c>
      <c r="B1178" s="8">
        <v>24</v>
      </c>
      <c r="C1178" s="8">
        <v>4.5</v>
      </c>
      <c r="D1178" s="8">
        <v>20</v>
      </c>
      <c r="E1178" s="8">
        <v>0</v>
      </c>
    </row>
    <row r="1179" spans="1:5" x14ac:dyDescent="0.2">
      <c r="A1179" s="7">
        <v>10696</v>
      </c>
      <c r="B1179" s="8">
        <v>17</v>
      </c>
      <c r="C1179" s="8">
        <v>39</v>
      </c>
      <c r="D1179" s="8">
        <v>20</v>
      </c>
      <c r="E1179" s="8">
        <v>0</v>
      </c>
    </row>
    <row r="1180" spans="1:5" x14ac:dyDescent="0.2">
      <c r="A1180" s="7">
        <v>10696</v>
      </c>
      <c r="B1180" s="8">
        <v>46</v>
      </c>
      <c r="C1180" s="8">
        <v>12</v>
      </c>
      <c r="D1180" s="8">
        <v>18</v>
      </c>
      <c r="E1180" s="8">
        <v>0</v>
      </c>
    </row>
    <row r="1181" spans="1:5" x14ac:dyDescent="0.2">
      <c r="A1181" s="7">
        <v>10697</v>
      </c>
      <c r="B1181" s="8">
        <v>19</v>
      </c>
      <c r="C1181" s="8">
        <v>9.1999999999999993</v>
      </c>
      <c r="D1181" s="8">
        <v>7</v>
      </c>
      <c r="E1181" s="8">
        <v>0.25</v>
      </c>
    </row>
    <row r="1182" spans="1:5" x14ac:dyDescent="0.2">
      <c r="A1182" s="7">
        <v>10697</v>
      </c>
      <c r="B1182" s="8">
        <v>35</v>
      </c>
      <c r="C1182" s="8">
        <v>18</v>
      </c>
      <c r="D1182" s="8">
        <v>9</v>
      </c>
      <c r="E1182" s="8">
        <v>0.25</v>
      </c>
    </row>
    <row r="1183" spans="1:5" x14ac:dyDescent="0.2">
      <c r="A1183" s="7">
        <v>10697</v>
      </c>
      <c r="B1183" s="8">
        <v>58</v>
      </c>
      <c r="C1183" s="8">
        <v>13.25</v>
      </c>
      <c r="D1183" s="8">
        <v>30</v>
      </c>
      <c r="E1183" s="8">
        <v>0.25</v>
      </c>
    </row>
    <row r="1184" spans="1:5" x14ac:dyDescent="0.2">
      <c r="A1184" s="7">
        <v>10697</v>
      </c>
      <c r="B1184" s="8">
        <v>70</v>
      </c>
      <c r="C1184" s="8">
        <v>15</v>
      </c>
      <c r="D1184" s="8">
        <v>30</v>
      </c>
      <c r="E1184" s="8">
        <v>0.25</v>
      </c>
    </row>
    <row r="1185" spans="1:5" x14ac:dyDescent="0.2">
      <c r="A1185" s="7">
        <v>10698</v>
      </c>
      <c r="B1185" s="8">
        <v>11</v>
      </c>
      <c r="C1185" s="8">
        <v>21</v>
      </c>
      <c r="D1185" s="8">
        <v>15</v>
      </c>
      <c r="E1185" s="8">
        <v>0</v>
      </c>
    </row>
    <row r="1186" spans="1:5" x14ac:dyDescent="0.2">
      <c r="A1186" s="7">
        <v>10698</v>
      </c>
      <c r="B1186" s="8">
        <v>17</v>
      </c>
      <c r="C1186" s="8">
        <v>39</v>
      </c>
      <c r="D1186" s="8">
        <v>8</v>
      </c>
      <c r="E1186" s="8">
        <v>0.05</v>
      </c>
    </row>
    <row r="1187" spans="1:5" x14ac:dyDescent="0.2">
      <c r="A1187" s="7">
        <v>10698</v>
      </c>
      <c r="B1187" s="8">
        <v>29</v>
      </c>
      <c r="C1187" s="8">
        <v>123.79</v>
      </c>
      <c r="D1187" s="8">
        <v>12</v>
      </c>
      <c r="E1187" s="8">
        <v>0.05</v>
      </c>
    </row>
    <row r="1188" spans="1:5" x14ac:dyDescent="0.2">
      <c r="A1188" s="7">
        <v>10698</v>
      </c>
      <c r="B1188" s="8">
        <v>65</v>
      </c>
      <c r="C1188" s="8">
        <v>21.05</v>
      </c>
      <c r="D1188" s="8">
        <v>65</v>
      </c>
      <c r="E1188" s="8">
        <v>0.05</v>
      </c>
    </row>
    <row r="1189" spans="1:5" x14ac:dyDescent="0.2">
      <c r="A1189" s="7">
        <v>10698</v>
      </c>
      <c r="B1189" s="8">
        <v>70</v>
      </c>
      <c r="C1189" s="8">
        <v>15</v>
      </c>
      <c r="D1189" s="8">
        <v>8</v>
      </c>
      <c r="E1189" s="8">
        <v>0.05</v>
      </c>
    </row>
    <row r="1190" spans="1:5" x14ac:dyDescent="0.2">
      <c r="A1190" s="7">
        <v>10699</v>
      </c>
      <c r="B1190" s="8">
        <v>47</v>
      </c>
      <c r="C1190" s="8">
        <v>9.5</v>
      </c>
      <c r="D1190" s="8">
        <v>12</v>
      </c>
      <c r="E1190" s="8">
        <v>0</v>
      </c>
    </row>
    <row r="1191" spans="1:5" x14ac:dyDescent="0.2">
      <c r="A1191" s="7">
        <v>10700</v>
      </c>
      <c r="B1191" s="8">
        <v>1</v>
      </c>
      <c r="C1191" s="8">
        <v>18</v>
      </c>
      <c r="D1191" s="8">
        <v>5</v>
      </c>
      <c r="E1191" s="8">
        <v>0.2</v>
      </c>
    </row>
    <row r="1192" spans="1:5" x14ac:dyDescent="0.2">
      <c r="A1192" s="7">
        <v>10700</v>
      </c>
      <c r="B1192" s="8">
        <v>34</v>
      </c>
      <c r="C1192" s="8">
        <v>14</v>
      </c>
      <c r="D1192" s="8">
        <v>12</v>
      </c>
      <c r="E1192" s="8">
        <v>0.2</v>
      </c>
    </row>
    <row r="1193" spans="1:5" x14ac:dyDescent="0.2">
      <c r="A1193" s="7">
        <v>10700</v>
      </c>
      <c r="B1193" s="8">
        <v>68</v>
      </c>
      <c r="C1193" s="8">
        <v>12.5</v>
      </c>
      <c r="D1193" s="8">
        <v>40</v>
      </c>
      <c r="E1193" s="8">
        <v>0.2</v>
      </c>
    </row>
    <row r="1194" spans="1:5" x14ac:dyDescent="0.2">
      <c r="A1194" s="7">
        <v>10700</v>
      </c>
      <c r="B1194" s="8">
        <v>71</v>
      </c>
      <c r="C1194" s="8">
        <v>21.5</v>
      </c>
      <c r="D1194" s="8">
        <v>60</v>
      </c>
      <c r="E1194" s="8">
        <v>0.2</v>
      </c>
    </row>
    <row r="1195" spans="1:5" x14ac:dyDescent="0.2">
      <c r="A1195" s="7">
        <v>10701</v>
      </c>
      <c r="B1195" s="8">
        <v>59</v>
      </c>
      <c r="C1195" s="8">
        <v>55</v>
      </c>
      <c r="D1195" s="8">
        <v>42</v>
      </c>
      <c r="E1195" s="8">
        <v>0.15</v>
      </c>
    </row>
    <row r="1196" spans="1:5" x14ac:dyDescent="0.2">
      <c r="A1196" s="7">
        <v>10701</v>
      </c>
      <c r="B1196" s="8">
        <v>71</v>
      </c>
      <c r="C1196" s="8">
        <v>21.5</v>
      </c>
      <c r="D1196" s="8">
        <v>20</v>
      </c>
      <c r="E1196" s="8">
        <v>0.15</v>
      </c>
    </row>
    <row r="1197" spans="1:5" x14ac:dyDescent="0.2">
      <c r="A1197" s="7">
        <v>10701</v>
      </c>
      <c r="B1197" s="8">
        <v>76</v>
      </c>
      <c r="C1197" s="8">
        <v>18</v>
      </c>
      <c r="D1197" s="8">
        <v>35</v>
      </c>
      <c r="E1197" s="8">
        <v>0.15</v>
      </c>
    </row>
    <row r="1198" spans="1:5" x14ac:dyDescent="0.2">
      <c r="A1198" s="7">
        <v>10702</v>
      </c>
      <c r="B1198" s="8">
        <v>3</v>
      </c>
      <c r="C1198" s="8">
        <v>10</v>
      </c>
      <c r="D1198" s="8">
        <v>6</v>
      </c>
      <c r="E1198" s="8">
        <v>0</v>
      </c>
    </row>
    <row r="1199" spans="1:5" x14ac:dyDescent="0.2">
      <c r="A1199" s="7">
        <v>10702</v>
      </c>
      <c r="B1199" s="8">
        <v>76</v>
      </c>
      <c r="C1199" s="8">
        <v>18</v>
      </c>
      <c r="D1199" s="8">
        <v>15</v>
      </c>
      <c r="E1199" s="8">
        <v>0</v>
      </c>
    </row>
    <row r="1200" spans="1:5" x14ac:dyDescent="0.2">
      <c r="A1200" s="7">
        <v>10703</v>
      </c>
      <c r="B1200" s="8">
        <v>2</v>
      </c>
      <c r="C1200" s="8">
        <v>19</v>
      </c>
      <c r="D1200" s="8">
        <v>5</v>
      </c>
      <c r="E1200" s="8">
        <v>0</v>
      </c>
    </row>
    <row r="1201" spans="1:5" x14ac:dyDescent="0.2">
      <c r="A1201" s="7">
        <v>10703</v>
      </c>
      <c r="B1201" s="8">
        <v>59</v>
      </c>
      <c r="C1201" s="8">
        <v>55</v>
      </c>
      <c r="D1201" s="8">
        <v>35</v>
      </c>
      <c r="E1201" s="8">
        <v>0</v>
      </c>
    </row>
    <row r="1202" spans="1:5" x14ac:dyDescent="0.2">
      <c r="A1202" s="7">
        <v>10703</v>
      </c>
      <c r="B1202" s="8">
        <v>73</v>
      </c>
      <c r="C1202" s="8">
        <v>15</v>
      </c>
      <c r="D1202" s="8">
        <v>35</v>
      </c>
      <c r="E1202" s="8">
        <v>0</v>
      </c>
    </row>
    <row r="1203" spans="1:5" x14ac:dyDescent="0.2">
      <c r="A1203" s="7">
        <v>10704</v>
      </c>
      <c r="B1203" s="8">
        <v>4</v>
      </c>
      <c r="C1203" s="8">
        <v>22</v>
      </c>
      <c r="D1203" s="8">
        <v>6</v>
      </c>
      <c r="E1203" s="8">
        <v>0</v>
      </c>
    </row>
    <row r="1204" spans="1:5" x14ac:dyDescent="0.2">
      <c r="A1204" s="7">
        <v>10704</v>
      </c>
      <c r="B1204" s="8">
        <v>24</v>
      </c>
      <c r="C1204" s="8">
        <v>4.5</v>
      </c>
      <c r="D1204" s="8">
        <v>35</v>
      </c>
      <c r="E1204" s="8">
        <v>0</v>
      </c>
    </row>
    <row r="1205" spans="1:5" x14ac:dyDescent="0.2">
      <c r="A1205" s="7">
        <v>10704</v>
      </c>
      <c r="B1205" s="8">
        <v>48</v>
      </c>
      <c r="C1205" s="8">
        <v>12.75</v>
      </c>
      <c r="D1205" s="8">
        <v>24</v>
      </c>
      <c r="E1205" s="8">
        <v>0</v>
      </c>
    </row>
    <row r="1206" spans="1:5" x14ac:dyDescent="0.2">
      <c r="A1206" s="7">
        <v>10705</v>
      </c>
      <c r="B1206" s="8">
        <v>31</v>
      </c>
      <c r="C1206" s="8">
        <v>12.5</v>
      </c>
      <c r="D1206" s="8">
        <v>20</v>
      </c>
      <c r="E1206" s="8">
        <v>0</v>
      </c>
    </row>
    <row r="1207" spans="1:5" x14ac:dyDescent="0.2">
      <c r="A1207" s="7">
        <v>10705</v>
      </c>
      <c r="B1207" s="8">
        <v>32</v>
      </c>
      <c r="C1207" s="8">
        <v>32</v>
      </c>
      <c r="D1207" s="8">
        <v>4</v>
      </c>
      <c r="E1207" s="8">
        <v>0</v>
      </c>
    </row>
    <row r="1208" spans="1:5" x14ac:dyDescent="0.2">
      <c r="A1208" s="7">
        <v>10706</v>
      </c>
      <c r="B1208" s="8">
        <v>16</v>
      </c>
      <c r="C1208" s="8">
        <v>17.45</v>
      </c>
      <c r="D1208" s="8">
        <v>20</v>
      </c>
      <c r="E1208" s="8">
        <v>0</v>
      </c>
    </row>
    <row r="1209" spans="1:5" x14ac:dyDescent="0.2">
      <c r="A1209" s="7">
        <v>10706</v>
      </c>
      <c r="B1209" s="8">
        <v>43</v>
      </c>
      <c r="C1209" s="8">
        <v>46</v>
      </c>
      <c r="D1209" s="8">
        <v>24</v>
      </c>
      <c r="E1209" s="8">
        <v>0</v>
      </c>
    </row>
    <row r="1210" spans="1:5" x14ac:dyDescent="0.2">
      <c r="A1210" s="7">
        <v>10706</v>
      </c>
      <c r="B1210" s="8">
        <v>59</v>
      </c>
      <c r="C1210" s="8">
        <v>55</v>
      </c>
      <c r="D1210" s="8">
        <v>8</v>
      </c>
      <c r="E1210" s="8">
        <v>0</v>
      </c>
    </row>
    <row r="1211" spans="1:5" x14ac:dyDescent="0.2">
      <c r="A1211" s="7">
        <v>10707</v>
      </c>
      <c r="B1211" s="8">
        <v>55</v>
      </c>
      <c r="C1211" s="8">
        <v>24</v>
      </c>
      <c r="D1211" s="8">
        <v>21</v>
      </c>
      <c r="E1211" s="8">
        <v>0</v>
      </c>
    </row>
    <row r="1212" spans="1:5" x14ac:dyDescent="0.2">
      <c r="A1212" s="7">
        <v>10707</v>
      </c>
      <c r="B1212" s="8">
        <v>57</v>
      </c>
      <c r="C1212" s="8">
        <v>19.5</v>
      </c>
      <c r="D1212" s="8">
        <v>40</v>
      </c>
      <c r="E1212" s="8">
        <v>0</v>
      </c>
    </row>
    <row r="1213" spans="1:5" x14ac:dyDescent="0.2">
      <c r="A1213" s="7">
        <v>10707</v>
      </c>
      <c r="B1213" s="8">
        <v>70</v>
      </c>
      <c r="C1213" s="8">
        <v>15</v>
      </c>
      <c r="D1213" s="8">
        <v>28</v>
      </c>
      <c r="E1213" s="8">
        <v>0.15</v>
      </c>
    </row>
    <row r="1214" spans="1:5" x14ac:dyDescent="0.2">
      <c r="A1214" s="7">
        <v>10708</v>
      </c>
      <c r="B1214" s="8">
        <v>5</v>
      </c>
      <c r="C1214" s="8">
        <v>21.35</v>
      </c>
      <c r="D1214" s="8">
        <v>4</v>
      </c>
      <c r="E1214" s="8">
        <v>0</v>
      </c>
    </row>
    <row r="1215" spans="1:5" x14ac:dyDescent="0.2">
      <c r="A1215" s="7">
        <v>10708</v>
      </c>
      <c r="B1215" s="8">
        <v>36</v>
      </c>
      <c r="C1215" s="8">
        <v>19</v>
      </c>
      <c r="D1215" s="8">
        <v>5</v>
      </c>
      <c r="E1215" s="8">
        <v>0</v>
      </c>
    </row>
    <row r="1216" spans="1:5" x14ac:dyDescent="0.2">
      <c r="A1216" s="7">
        <v>10709</v>
      </c>
      <c r="B1216" s="8">
        <v>8</v>
      </c>
      <c r="C1216" s="8">
        <v>40</v>
      </c>
      <c r="D1216" s="8">
        <v>40</v>
      </c>
      <c r="E1216" s="8">
        <v>0</v>
      </c>
    </row>
    <row r="1217" spans="1:5" x14ac:dyDescent="0.2">
      <c r="A1217" s="7">
        <v>10709</v>
      </c>
      <c r="B1217" s="8">
        <v>51</v>
      </c>
      <c r="C1217" s="8">
        <v>53</v>
      </c>
      <c r="D1217" s="8">
        <v>28</v>
      </c>
      <c r="E1217" s="8">
        <v>0</v>
      </c>
    </row>
    <row r="1218" spans="1:5" x14ac:dyDescent="0.2">
      <c r="A1218" s="7">
        <v>10709</v>
      </c>
      <c r="B1218" s="8">
        <v>60</v>
      </c>
      <c r="C1218" s="8">
        <v>34</v>
      </c>
      <c r="D1218" s="8">
        <v>10</v>
      </c>
      <c r="E1218" s="8">
        <v>0</v>
      </c>
    </row>
    <row r="1219" spans="1:5" x14ac:dyDescent="0.2">
      <c r="A1219" s="7">
        <v>10710</v>
      </c>
      <c r="B1219" s="8">
        <v>19</v>
      </c>
      <c r="C1219" s="8">
        <v>9.1999999999999993</v>
      </c>
      <c r="D1219" s="8">
        <v>5</v>
      </c>
      <c r="E1219" s="8">
        <v>0</v>
      </c>
    </row>
    <row r="1220" spans="1:5" x14ac:dyDescent="0.2">
      <c r="A1220" s="7">
        <v>10710</v>
      </c>
      <c r="B1220" s="8">
        <v>47</v>
      </c>
      <c r="C1220" s="8">
        <v>9.5</v>
      </c>
      <c r="D1220" s="8">
        <v>5</v>
      </c>
      <c r="E1220" s="8">
        <v>0</v>
      </c>
    </row>
    <row r="1221" spans="1:5" x14ac:dyDescent="0.2">
      <c r="A1221" s="7">
        <v>10711</v>
      </c>
      <c r="B1221" s="8">
        <v>19</v>
      </c>
      <c r="C1221" s="8">
        <v>9.1999999999999993</v>
      </c>
      <c r="D1221" s="8">
        <v>12</v>
      </c>
      <c r="E1221" s="8">
        <v>0</v>
      </c>
    </row>
    <row r="1222" spans="1:5" x14ac:dyDescent="0.2">
      <c r="A1222" s="7">
        <v>10711</v>
      </c>
      <c r="B1222" s="8">
        <v>41</v>
      </c>
      <c r="C1222" s="8">
        <v>9.65</v>
      </c>
      <c r="D1222" s="8">
        <v>42</v>
      </c>
      <c r="E1222" s="8">
        <v>0</v>
      </c>
    </row>
    <row r="1223" spans="1:5" x14ac:dyDescent="0.2">
      <c r="A1223" s="7">
        <v>10711</v>
      </c>
      <c r="B1223" s="8">
        <v>53</v>
      </c>
      <c r="C1223" s="8">
        <v>32.799999999999997</v>
      </c>
      <c r="D1223" s="8">
        <v>120</v>
      </c>
      <c r="E1223" s="8">
        <v>0</v>
      </c>
    </row>
    <row r="1224" spans="1:5" x14ac:dyDescent="0.2">
      <c r="A1224" s="7">
        <v>10712</v>
      </c>
      <c r="B1224" s="8">
        <v>53</v>
      </c>
      <c r="C1224" s="8">
        <v>32.799999999999997</v>
      </c>
      <c r="D1224" s="8">
        <v>3</v>
      </c>
      <c r="E1224" s="8">
        <v>0.05</v>
      </c>
    </row>
    <row r="1225" spans="1:5" x14ac:dyDescent="0.2">
      <c r="A1225" s="7">
        <v>10712</v>
      </c>
      <c r="B1225" s="8">
        <v>56</v>
      </c>
      <c r="C1225" s="8">
        <v>38</v>
      </c>
      <c r="D1225" s="8">
        <v>30</v>
      </c>
      <c r="E1225" s="8">
        <v>0</v>
      </c>
    </row>
    <row r="1226" spans="1:5" x14ac:dyDescent="0.2">
      <c r="A1226" s="7">
        <v>10713</v>
      </c>
      <c r="B1226" s="8">
        <v>10</v>
      </c>
      <c r="C1226" s="8">
        <v>31</v>
      </c>
      <c r="D1226" s="8">
        <v>18</v>
      </c>
      <c r="E1226" s="8">
        <v>0</v>
      </c>
    </row>
    <row r="1227" spans="1:5" x14ac:dyDescent="0.2">
      <c r="A1227" s="7">
        <v>10713</v>
      </c>
      <c r="B1227" s="8">
        <v>26</v>
      </c>
      <c r="C1227" s="8">
        <v>31.23</v>
      </c>
      <c r="D1227" s="8">
        <v>30</v>
      </c>
      <c r="E1227" s="8">
        <v>0</v>
      </c>
    </row>
    <row r="1228" spans="1:5" x14ac:dyDescent="0.2">
      <c r="A1228" s="7">
        <v>10713</v>
      </c>
      <c r="B1228" s="8">
        <v>45</v>
      </c>
      <c r="C1228" s="8">
        <v>9.5</v>
      </c>
      <c r="D1228" s="8">
        <v>110</v>
      </c>
      <c r="E1228" s="8">
        <v>0</v>
      </c>
    </row>
    <row r="1229" spans="1:5" x14ac:dyDescent="0.2">
      <c r="A1229" s="7">
        <v>10713</v>
      </c>
      <c r="B1229" s="8">
        <v>46</v>
      </c>
      <c r="C1229" s="8">
        <v>12</v>
      </c>
      <c r="D1229" s="8">
        <v>24</v>
      </c>
      <c r="E1229" s="8">
        <v>0</v>
      </c>
    </row>
    <row r="1230" spans="1:5" x14ac:dyDescent="0.2">
      <c r="A1230" s="7">
        <v>10714</v>
      </c>
      <c r="B1230" s="8">
        <v>2</v>
      </c>
      <c r="C1230" s="8">
        <v>19</v>
      </c>
      <c r="D1230" s="8">
        <v>30</v>
      </c>
      <c r="E1230" s="8">
        <v>0.25</v>
      </c>
    </row>
    <row r="1231" spans="1:5" x14ac:dyDescent="0.2">
      <c r="A1231" s="7">
        <v>10714</v>
      </c>
      <c r="B1231" s="8">
        <v>17</v>
      </c>
      <c r="C1231" s="8">
        <v>39</v>
      </c>
      <c r="D1231" s="8">
        <v>27</v>
      </c>
      <c r="E1231" s="8">
        <v>0.25</v>
      </c>
    </row>
    <row r="1232" spans="1:5" x14ac:dyDescent="0.2">
      <c r="A1232" s="7">
        <v>10714</v>
      </c>
      <c r="B1232" s="8">
        <v>47</v>
      </c>
      <c r="C1232" s="8">
        <v>9.5</v>
      </c>
      <c r="D1232" s="8">
        <v>50</v>
      </c>
      <c r="E1232" s="8">
        <v>0.25</v>
      </c>
    </row>
    <row r="1233" spans="1:5" x14ac:dyDescent="0.2">
      <c r="A1233" s="7">
        <v>10714</v>
      </c>
      <c r="B1233" s="8">
        <v>56</v>
      </c>
      <c r="C1233" s="8">
        <v>38</v>
      </c>
      <c r="D1233" s="8">
        <v>18</v>
      </c>
      <c r="E1233" s="8">
        <v>0.25</v>
      </c>
    </row>
    <row r="1234" spans="1:5" x14ac:dyDescent="0.2">
      <c r="A1234" s="7">
        <v>10714</v>
      </c>
      <c r="B1234" s="8">
        <v>58</v>
      </c>
      <c r="C1234" s="8">
        <v>13.25</v>
      </c>
      <c r="D1234" s="8">
        <v>12</v>
      </c>
      <c r="E1234" s="8">
        <v>0.25</v>
      </c>
    </row>
    <row r="1235" spans="1:5" x14ac:dyDescent="0.2">
      <c r="A1235" s="7">
        <v>10715</v>
      </c>
      <c r="B1235" s="8">
        <v>10</v>
      </c>
      <c r="C1235" s="8">
        <v>31</v>
      </c>
      <c r="D1235" s="8">
        <v>21</v>
      </c>
      <c r="E1235" s="8">
        <v>0</v>
      </c>
    </row>
    <row r="1236" spans="1:5" x14ac:dyDescent="0.2">
      <c r="A1236" s="7">
        <v>10715</v>
      </c>
      <c r="B1236" s="8">
        <v>71</v>
      </c>
      <c r="C1236" s="8">
        <v>21.5</v>
      </c>
      <c r="D1236" s="8">
        <v>30</v>
      </c>
      <c r="E1236" s="8">
        <v>0</v>
      </c>
    </row>
    <row r="1237" spans="1:5" x14ac:dyDescent="0.2">
      <c r="A1237" s="7">
        <v>10716</v>
      </c>
      <c r="B1237" s="8">
        <v>21</v>
      </c>
      <c r="C1237" s="8">
        <v>10</v>
      </c>
      <c r="D1237" s="8">
        <v>5</v>
      </c>
      <c r="E1237" s="8">
        <v>0</v>
      </c>
    </row>
    <row r="1238" spans="1:5" x14ac:dyDescent="0.2">
      <c r="A1238" s="7">
        <v>10716</v>
      </c>
      <c r="B1238" s="8">
        <v>51</v>
      </c>
      <c r="C1238" s="8">
        <v>53</v>
      </c>
      <c r="D1238" s="8">
        <v>7</v>
      </c>
      <c r="E1238" s="8">
        <v>0</v>
      </c>
    </row>
    <row r="1239" spans="1:5" x14ac:dyDescent="0.2">
      <c r="A1239" s="7">
        <v>10716</v>
      </c>
      <c r="B1239" s="8">
        <v>61</v>
      </c>
      <c r="C1239" s="8">
        <v>28.5</v>
      </c>
      <c r="D1239" s="8">
        <v>10</v>
      </c>
      <c r="E1239" s="8">
        <v>0</v>
      </c>
    </row>
    <row r="1240" spans="1:5" x14ac:dyDescent="0.2">
      <c r="A1240" s="7">
        <v>10717</v>
      </c>
      <c r="B1240" s="8">
        <v>21</v>
      </c>
      <c r="C1240" s="8">
        <v>10</v>
      </c>
      <c r="D1240" s="8">
        <v>32</v>
      </c>
      <c r="E1240" s="8">
        <v>0.05</v>
      </c>
    </row>
    <row r="1241" spans="1:5" x14ac:dyDescent="0.2">
      <c r="A1241" s="7">
        <v>10717</v>
      </c>
      <c r="B1241" s="8">
        <v>54</v>
      </c>
      <c r="C1241" s="8">
        <v>7.45</v>
      </c>
      <c r="D1241" s="8">
        <v>15</v>
      </c>
      <c r="E1241" s="8">
        <v>0</v>
      </c>
    </row>
    <row r="1242" spans="1:5" x14ac:dyDescent="0.2">
      <c r="A1242" s="7">
        <v>10717</v>
      </c>
      <c r="B1242" s="8">
        <v>69</v>
      </c>
      <c r="C1242" s="8">
        <v>36</v>
      </c>
      <c r="D1242" s="8">
        <v>25</v>
      </c>
      <c r="E1242" s="8">
        <v>0.05</v>
      </c>
    </row>
    <row r="1243" spans="1:5" x14ac:dyDescent="0.2">
      <c r="A1243" s="7">
        <v>10718</v>
      </c>
      <c r="B1243" s="8">
        <v>12</v>
      </c>
      <c r="C1243" s="8">
        <v>38</v>
      </c>
      <c r="D1243" s="8">
        <v>36</v>
      </c>
      <c r="E1243" s="8">
        <v>0</v>
      </c>
    </row>
    <row r="1244" spans="1:5" x14ac:dyDescent="0.2">
      <c r="A1244" s="7">
        <v>10718</v>
      </c>
      <c r="B1244" s="8">
        <v>16</v>
      </c>
      <c r="C1244" s="8">
        <v>17.45</v>
      </c>
      <c r="D1244" s="8">
        <v>20</v>
      </c>
      <c r="E1244" s="8">
        <v>0</v>
      </c>
    </row>
    <row r="1245" spans="1:5" x14ac:dyDescent="0.2">
      <c r="A1245" s="7">
        <v>10718</v>
      </c>
      <c r="B1245" s="8">
        <v>36</v>
      </c>
      <c r="C1245" s="8">
        <v>19</v>
      </c>
      <c r="D1245" s="8">
        <v>40</v>
      </c>
      <c r="E1245" s="8">
        <v>0</v>
      </c>
    </row>
    <row r="1246" spans="1:5" x14ac:dyDescent="0.2">
      <c r="A1246" s="7">
        <v>10718</v>
      </c>
      <c r="B1246" s="8">
        <v>62</v>
      </c>
      <c r="C1246" s="8">
        <v>49.3</v>
      </c>
      <c r="D1246" s="8">
        <v>20</v>
      </c>
      <c r="E1246" s="8">
        <v>0</v>
      </c>
    </row>
    <row r="1247" spans="1:5" x14ac:dyDescent="0.2">
      <c r="A1247" s="7">
        <v>10719</v>
      </c>
      <c r="B1247" s="8">
        <v>18</v>
      </c>
      <c r="C1247" s="8">
        <v>62.5</v>
      </c>
      <c r="D1247" s="8">
        <v>12</v>
      </c>
      <c r="E1247" s="8">
        <v>0.25</v>
      </c>
    </row>
    <row r="1248" spans="1:5" x14ac:dyDescent="0.2">
      <c r="A1248" s="7">
        <v>10719</v>
      </c>
      <c r="B1248" s="8">
        <v>30</v>
      </c>
      <c r="C1248" s="8">
        <v>25.89</v>
      </c>
      <c r="D1248" s="8">
        <v>3</v>
      </c>
      <c r="E1248" s="8">
        <v>0.25</v>
      </c>
    </row>
    <row r="1249" spans="1:5" x14ac:dyDescent="0.2">
      <c r="A1249" s="7">
        <v>10719</v>
      </c>
      <c r="B1249" s="8">
        <v>54</v>
      </c>
      <c r="C1249" s="8">
        <v>7.45</v>
      </c>
      <c r="D1249" s="8">
        <v>40</v>
      </c>
      <c r="E1249" s="8">
        <v>0.25</v>
      </c>
    </row>
    <row r="1250" spans="1:5" x14ac:dyDescent="0.2">
      <c r="A1250" s="7">
        <v>10720</v>
      </c>
      <c r="B1250" s="8">
        <v>35</v>
      </c>
      <c r="C1250" s="8">
        <v>18</v>
      </c>
      <c r="D1250" s="8">
        <v>21</v>
      </c>
      <c r="E1250" s="8">
        <v>0</v>
      </c>
    </row>
    <row r="1251" spans="1:5" x14ac:dyDescent="0.2">
      <c r="A1251" s="7">
        <v>10720</v>
      </c>
      <c r="B1251" s="8">
        <v>71</v>
      </c>
      <c r="C1251" s="8">
        <v>21.5</v>
      </c>
      <c r="D1251" s="8">
        <v>8</v>
      </c>
      <c r="E1251" s="8">
        <v>0</v>
      </c>
    </row>
    <row r="1252" spans="1:5" x14ac:dyDescent="0.2">
      <c r="A1252" s="7">
        <v>10721</v>
      </c>
      <c r="B1252" s="8">
        <v>44</v>
      </c>
      <c r="C1252" s="8">
        <v>19.45</v>
      </c>
      <c r="D1252" s="8">
        <v>50</v>
      </c>
      <c r="E1252" s="8">
        <v>0.05</v>
      </c>
    </row>
    <row r="1253" spans="1:5" x14ac:dyDescent="0.2">
      <c r="A1253" s="7">
        <v>10722</v>
      </c>
      <c r="B1253" s="8">
        <v>2</v>
      </c>
      <c r="C1253" s="8">
        <v>19</v>
      </c>
      <c r="D1253" s="8">
        <v>3</v>
      </c>
      <c r="E1253" s="8">
        <v>0</v>
      </c>
    </row>
    <row r="1254" spans="1:5" x14ac:dyDescent="0.2">
      <c r="A1254" s="7">
        <v>10722</v>
      </c>
      <c r="B1254" s="8">
        <v>31</v>
      </c>
      <c r="C1254" s="8">
        <v>12.5</v>
      </c>
      <c r="D1254" s="8">
        <v>50</v>
      </c>
      <c r="E1254" s="8">
        <v>0</v>
      </c>
    </row>
    <row r="1255" spans="1:5" x14ac:dyDescent="0.2">
      <c r="A1255" s="7">
        <v>10722</v>
      </c>
      <c r="B1255" s="8">
        <v>68</v>
      </c>
      <c r="C1255" s="8">
        <v>12.5</v>
      </c>
      <c r="D1255" s="8">
        <v>45</v>
      </c>
      <c r="E1255" s="8">
        <v>0</v>
      </c>
    </row>
    <row r="1256" spans="1:5" x14ac:dyDescent="0.2">
      <c r="A1256" s="7">
        <v>10722</v>
      </c>
      <c r="B1256" s="8">
        <v>75</v>
      </c>
      <c r="C1256" s="8">
        <v>7.75</v>
      </c>
      <c r="D1256" s="8">
        <v>42</v>
      </c>
      <c r="E1256" s="8">
        <v>0</v>
      </c>
    </row>
    <row r="1257" spans="1:5" x14ac:dyDescent="0.2">
      <c r="A1257" s="7">
        <v>10723</v>
      </c>
      <c r="B1257" s="8">
        <v>26</v>
      </c>
      <c r="C1257" s="8">
        <v>31.23</v>
      </c>
      <c r="D1257" s="8">
        <v>15</v>
      </c>
      <c r="E1257" s="8">
        <v>0</v>
      </c>
    </row>
    <row r="1258" spans="1:5" x14ac:dyDescent="0.2">
      <c r="A1258" s="7">
        <v>10724</v>
      </c>
      <c r="B1258" s="8">
        <v>10</v>
      </c>
      <c r="C1258" s="8">
        <v>31</v>
      </c>
      <c r="D1258" s="8">
        <v>16</v>
      </c>
      <c r="E1258" s="8">
        <v>0</v>
      </c>
    </row>
    <row r="1259" spans="1:5" x14ac:dyDescent="0.2">
      <c r="A1259" s="7">
        <v>10724</v>
      </c>
      <c r="B1259" s="8">
        <v>61</v>
      </c>
      <c r="C1259" s="8">
        <v>28.5</v>
      </c>
      <c r="D1259" s="8">
        <v>5</v>
      </c>
      <c r="E1259" s="8">
        <v>0</v>
      </c>
    </row>
    <row r="1260" spans="1:5" x14ac:dyDescent="0.2">
      <c r="A1260" s="7">
        <v>10725</v>
      </c>
      <c r="B1260" s="8">
        <v>41</v>
      </c>
      <c r="C1260" s="8">
        <v>9.65</v>
      </c>
      <c r="D1260" s="8">
        <v>12</v>
      </c>
      <c r="E1260" s="8">
        <v>0</v>
      </c>
    </row>
    <row r="1261" spans="1:5" x14ac:dyDescent="0.2">
      <c r="A1261" s="7">
        <v>10725</v>
      </c>
      <c r="B1261" s="8">
        <v>52</v>
      </c>
      <c r="C1261" s="8">
        <v>7</v>
      </c>
      <c r="D1261" s="8">
        <v>4</v>
      </c>
      <c r="E1261" s="8">
        <v>0</v>
      </c>
    </row>
    <row r="1262" spans="1:5" x14ac:dyDescent="0.2">
      <c r="A1262" s="7">
        <v>10725</v>
      </c>
      <c r="B1262" s="8">
        <v>55</v>
      </c>
      <c r="C1262" s="8">
        <v>24</v>
      </c>
      <c r="D1262" s="8">
        <v>6</v>
      </c>
      <c r="E1262" s="8">
        <v>0</v>
      </c>
    </row>
    <row r="1263" spans="1:5" x14ac:dyDescent="0.2">
      <c r="A1263" s="7">
        <v>10726</v>
      </c>
      <c r="B1263" s="8">
        <v>4</v>
      </c>
      <c r="C1263" s="8">
        <v>22</v>
      </c>
      <c r="D1263" s="8">
        <v>25</v>
      </c>
      <c r="E1263" s="8">
        <v>0</v>
      </c>
    </row>
    <row r="1264" spans="1:5" x14ac:dyDescent="0.2">
      <c r="A1264" s="7">
        <v>10726</v>
      </c>
      <c r="B1264" s="8">
        <v>11</v>
      </c>
      <c r="C1264" s="8">
        <v>21</v>
      </c>
      <c r="D1264" s="8">
        <v>5</v>
      </c>
      <c r="E1264" s="8">
        <v>0</v>
      </c>
    </row>
    <row r="1265" spans="1:5" x14ac:dyDescent="0.2">
      <c r="A1265" s="7">
        <v>10727</v>
      </c>
      <c r="B1265" s="8">
        <v>17</v>
      </c>
      <c r="C1265" s="8">
        <v>39</v>
      </c>
      <c r="D1265" s="8">
        <v>20</v>
      </c>
      <c r="E1265" s="8">
        <v>0.05</v>
      </c>
    </row>
    <row r="1266" spans="1:5" x14ac:dyDescent="0.2">
      <c r="A1266" s="7">
        <v>10727</v>
      </c>
      <c r="B1266" s="8">
        <v>56</v>
      </c>
      <c r="C1266" s="8">
        <v>38</v>
      </c>
      <c r="D1266" s="8">
        <v>10</v>
      </c>
      <c r="E1266" s="8">
        <v>0.05</v>
      </c>
    </row>
    <row r="1267" spans="1:5" x14ac:dyDescent="0.2">
      <c r="A1267" s="7">
        <v>10727</v>
      </c>
      <c r="B1267" s="8">
        <v>59</v>
      </c>
      <c r="C1267" s="8">
        <v>55</v>
      </c>
      <c r="D1267" s="8">
        <v>10</v>
      </c>
      <c r="E1267" s="8">
        <v>0.05</v>
      </c>
    </row>
    <row r="1268" spans="1:5" x14ac:dyDescent="0.2">
      <c r="A1268" s="7">
        <v>10728</v>
      </c>
      <c r="B1268" s="8">
        <v>30</v>
      </c>
      <c r="C1268" s="8">
        <v>25.89</v>
      </c>
      <c r="D1268" s="8">
        <v>15</v>
      </c>
      <c r="E1268" s="8">
        <v>0</v>
      </c>
    </row>
    <row r="1269" spans="1:5" x14ac:dyDescent="0.2">
      <c r="A1269" s="7">
        <v>10728</v>
      </c>
      <c r="B1269" s="8">
        <v>40</v>
      </c>
      <c r="C1269" s="8">
        <v>18.399999999999999</v>
      </c>
      <c r="D1269" s="8">
        <v>6</v>
      </c>
      <c r="E1269" s="8">
        <v>0</v>
      </c>
    </row>
    <row r="1270" spans="1:5" x14ac:dyDescent="0.2">
      <c r="A1270" s="7">
        <v>10728</v>
      </c>
      <c r="B1270" s="8">
        <v>55</v>
      </c>
      <c r="C1270" s="8">
        <v>24</v>
      </c>
      <c r="D1270" s="8">
        <v>12</v>
      </c>
      <c r="E1270" s="8">
        <v>0</v>
      </c>
    </row>
    <row r="1271" spans="1:5" x14ac:dyDescent="0.2">
      <c r="A1271" s="7">
        <v>10728</v>
      </c>
      <c r="B1271" s="8">
        <v>60</v>
      </c>
      <c r="C1271" s="8">
        <v>34</v>
      </c>
      <c r="D1271" s="8">
        <v>15</v>
      </c>
      <c r="E1271" s="8">
        <v>0</v>
      </c>
    </row>
    <row r="1272" spans="1:5" x14ac:dyDescent="0.2">
      <c r="A1272" s="7">
        <v>10729</v>
      </c>
      <c r="B1272" s="8">
        <v>1</v>
      </c>
      <c r="C1272" s="8">
        <v>18</v>
      </c>
      <c r="D1272" s="8">
        <v>50</v>
      </c>
      <c r="E1272" s="8">
        <v>0</v>
      </c>
    </row>
    <row r="1273" spans="1:5" x14ac:dyDescent="0.2">
      <c r="A1273" s="7">
        <v>10729</v>
      </c>
      <c r="B1273" s="8">
        <v>21</v>
      </c>
      <c r="C1273" s="8">
        <v>10</v>
      </c>
      <c r="D1273" s="8">
        <v>30</v>
      </c>
      <c r="E1273" s="8">
        <v>0</v>
      </c>
    </row>
    <row r="1274" spans="1:5" x14ac:dyDescent="0.2">
      <c r="A1274" s="7">
        <v>10729</v>
      </c>
      <c r="B1274" s="8">
        <v>50</v>
      </c>
      <c r="C1274" s="8">
        <v>16.25</v>
      </c>
      <c r="D1274" s="8">
        <v>40</v>
      </c>
      <c r="E1274" s="8">
        <v>0</v>
      </c>
    </row>
    <row r="1275" spans="1:5" x14ac:dyDescent="0.2">
      <c r="A1275" s="7">
        <v>10730</v>
      </c>
      <c r="B1275" s="8">
        <v>16</v>
      </c>
      <c r="C1275" s="8">
        <v>17.45</v>
      </c>
      <c r="D1275" s="8">
        <v>15</v>
      </c>
      <c r="E1275" s="8">
        <v>0.05</v>
      </c>
    </row>
    <row r="1276" spans="1:5" x14ac:dyDescent="0.2">
      <c r="A1276" s="7">
        <v>10730</v>
      </c>
      <c r="B1276" s="8">
        <v>31</v>
      </c>
      <c r="C1276" s="8">
        <v>12.5</v>
      </c>
      <c r="D1276" s="8">
        <v>3</v>
      </c>
      <c r="E1276" s="8">
        <v>0.05</v>
      </c>
    </row>
    <row r="1277" spans="1:5" x14ac:dyDescent="0.2">
      <c r="A1277" s="7">
        <v>10730</v>
      </c>
      <c r="B1277" s="8">
        <v>65</v>
      </c>
      <c r="C1277" s="8">
        <v>21.05</v>
      </c>
      <c r="D1277" s="8">
        <v>10</v>
      </c>
      <c r="E1277" s="8">
        <v>0.05</v>
      </c>
    </row>
    <row r="1278" spans="1:5" x14ac:dyDescent="0.2">
      <c r="A1278" s="7">
        <v>10731</v>
      </c>
      <c r="B1278" s="8">
        <v>21</v>
      </c>
      <c r="C1278" s="8">
        <v>10</v>
      </c>
      <c r="D1278" s="8">
        <v>40</v>
      </c>
      <c r="E1278" s="8">
        <v>0.05</v>
      </c>
    </row>
    <row r="1279" spans="1:5" x14ac:dyDescent="0.2">
      <c r="A1279" s="7">
        <v>10731</v>
      </c>
      <c r="B1279" s="8">
        <v>51</v>
      </c>
      <c r="C1279" s="8">
        <v>53</v>
      </c>
      <c r="D1279" s="8">
        <v>30</v>
      </c>
      <c r="E1279" s="8">
        <v>0.05</v>
      </c>
    </row>
    <row r="1280" spans="1:5" x14ac:dyDescent="0.2">
      <c r="A1280" s="7">
        <v>10732</v>
      </c>
      <c r="B1280" s="8">
        <v>76</v>
      </c>
      <c r="C1280" s="8">
        <v>18</v>
      </c>
      <c r="D1280" s="8">
        <v>20</v>
      </c>
      <c r="E1280" s="8">
        <v>0</v>
      </c>
    </row>
    <row r="1281" spans="1:5" x14ac:dyDescent="0.2">
      <c r="A1281" s="7">
        <v>10733</v>
      </c>
      <c r="B1281" s="8">
        <v>14</v>
      </c>
      <c r="C1281" s="8">
        <v>23.25</v>
      </c>
      <c r="D1281" s="8">
        <v>16</v>
      </c>
      <c r="E1281" s="8">
        <v>0</v>
      </c>
    </row>
    <row r="1282" spans="1:5" x14ac:dyDescent="0.2">
      <c r="A1282" s="7">
        <v>10733</v>
      </c>
      <c r="B1282" s="8">
        <v>28</v>
      </c>
      <c r="C1282" s="8">
        <v>45.6</v>
      </c>
      <c r="D1282" s="8">
        <v>20</v>
      </c>
      <c r="E1282" s="8">
        <v>0</v>
      </c>
    </row>
    <row r="1283" spans="1:5" x14ac:dyDescent="0.2">
      <c r="A1283" s="7">
        <v>10733</v>
      </c>
      <c r="B1283" s="8">
        <v>52</v>
      </c>
      <c r="C1283" s="8">
        <v>7</v>
      </c>
      <c r="D1283" s="8">
        <v>25</v>
      </c>
      <c r="E1283" s="8">
        <v>0</v>
      </c>
    </row>
    <row r="1284" spans="1:5" x14ac:dyDescent="0.2">
      <c r="A1284" s="7">
        <v>10734</v>
      </c>
      <c r="B1284" s="8">
        <v>6</v>
      </c>
      <c r="C1284" s="8">
        <v>25</v>
      </c>
      <c r="D1284" s="8">
        <v>30</v>
      </c>
      <c r="E1284" s="8">
        <v>0</v>
      </c>
    </row>
    <row r="1285" spans="1:5" x14ac:dyDescent="0.2">
      <c r="A1285" s="7">
        <v>10734</v>
      </c>
      <c r="B1285" s="8">
        <v>30</v>
      </c>
      <c r="C1285" s="8">
        <v>25.89</v>
      </c>
      <c r="D1285" s="8">
        <v>15</v>
      </c>
      <c r="E1285" s="8">
        <v>0</v>
      </c>
    </row>
    <row r="1286" spans="1:5" x14ac:dyDescent="0.2">
      <c r="A1286" s="7">
        <v>10734</v>
      </c>
      <c r="B1286" s="8">
        <v>76</v>
      </c>
      <c r="C1286" s="8">
        <v>18</v>
      </c>
      <c r="D1286" s="8">
        <v>20</v>
      </c>
      <c r="E1286" s="8">
        <v>0</v>
      </c>
    </row>
    <row r="1287" spans="1:5" x14ac:dyDescent="0.2">
      <c r="A1287" s="7">
        <v>10735</v>
      </c>
      <c r="B1287" s="8">
        <v>61</v>
      </c>
      <c r="C1287" s="8">
        <v>28.5</v>
      </c>
      <c r="D1287" s="8">
        <v>20</v>
      </c>
      <c r="E1287" s="8">
        <v>0.1</v>
      </c>
    </row>
    <row r="1288" spans="1:5" x14ac:dyDescent="0.2">
      <c r="A1288" s="7">
        <v>10735</v>
      </c>
      <c r="B1288" s="8">
        <v>77</v>
      </c>
      <c r="C1288" s="8">
        <v>13</v>
      </c>
      <c r="D1288" s="8">
        <v>2</v>
      </c>
      <c r="E1288" s="8">
        <v>0.1</v>
      </c>
    </row>
    <row r="1289" spans="1:5" x14ac:dyDescent="0.2">
      <c r="A1289" s="7">
        <v>10736</v>
      </c>
      <c r="B1289" s="8">
        <v>65</v>
      </c>
      <c r="C1289" s="8">
        <v>21.05</v>
      </c>
      <c r="D1289" s="8">
        <v>40</v>
      </c>
      <c r="E1289" s="8">
        <v>0</v>
      </c>
    </row>
    <row r="1290" spans="1:5" x14ac:dyDescent="0.2">
      <c r="A1290" s="7">
        <v>10736</v>
      </c>
      <c r="B1290" s="8">
        <v>75</v>
      </c>
      <c r="C1290" s="8">
        <v>7.75</v>
      </c>
      <c r="D1290" s="8">
        <v>20</v>
      </c>
      <c r="E1290" s="8">
        <v>0</v>
      </c>
    </row>
    <row r="1291" spans="1:5" x14ac:dyDescent="0.2">
      <c r="A1291" s="7">
        <v>10737</v>
      </c>
      <c r="B1291" s="8">
        <v>13</v>
      </c>
      <c r="C1291" s="8">
        <v>6</v>
      </c>
      <c r="D1291" s="8">
        <v>4</v>
      </c>
      <c r="E1291" s="8">
        <v>0</v>
      </c>
    </row>
    <row r="1292" spans="1:5" x14ac:dyDescent="0.2">
      <c r="A1292" s="7">
        <v>10737</v>
      </c>
      <c r="B1292" s="8">
        <v>41</v>
      </c>
      <c r="C1292" s="8">
        <v>9.65</v>
      </c>
      <c r="D1292" s="8">
        <v>12</v>
      </c>
      <c r="E1292" s="8">
        <v>0</v>
      </c>
    </row>
    <row r="1293" spans="1:5" x14ac:dyDescent="0.2">
      <c r="A1293" s="7">
        <v>10738</v>
      </c>
      <c r="B1293" s="8">
        <v>16</v>
      </c>
      <c r="C1293" s="8">
        <v>17.45</v>
      </c>
      <c r="D1293" s="8">
        <v>3</v>
      </c>
      <c r="E1293" s="8">
        <v>0</v>
      </c>
    </row>
    <row r="1294" spans="1:5" x14ac:dyDescent="0.2">
      <c r="A1294" s="7">
        <v>10739</v>
      </c>
      <c r="B1294" s="8">
        <v>36</v>
      </c>
      <c r="C1294" s="8">
        <v>19</v>
      </c>
      <c r="D1294" s="8">
        <v>6</v>
      </c>
      <c r="E1294" s="8">
        <v>0</v>
      </c>
    </row>
    <row r="1295" spans="1:5" x14ac:dyDescent="0.2">
      <c r="A1295" s="7">
        <v>10739</v>
      </c>
      <c r="B1295" s="8">
        <v>52</v>
      </c>
      <c r="C1295" s="8">
        <v>7</v>
      </c>
      <c r="D1295" s="8">
        <v>18</v>
      </c>
      <c r="E1295" s="8">
        <v>0</v>
      </c>
    </row>
    <row r="1296" spans="1:5" x14ac:dyDescent="0.2">
      <c r="A1296" s="7">
        <v>10740</v>
      </c>
      <c r="B1296" s="8">
        <v>28</v>
      </c>
      <c r="C1296" s="8">
        <v>45.6</v>
      </c>
      <c r="D1296" s="8">
        <v>5</v>
      </c>
      <c r="E1296" s="8">
        <v>0.2</v>
      </c>
    </row>
    <row r="1297" spans="1:5" x14ac:dyDescent="0.2">
      <c r="A1297" s="7">
        <v>10740</v>
      </c>
      <c r="B1297" s="8">
        <v>35</v>
      </c>
      <c r="C1297" s="8">
        <v>18</v>
      </c>
      <c r="D1297" s="8">
        <v>35</v>
      </c>
      <c r="E1297" s="8">
        <v>0.2</v>
      </c>
    </row>
    <row r="1298" spans="1:5" x14ac:dyDescent="0.2">
      <c r="A1298" s="7">
        <v>10740</v>
      </c>
      <c r="B1298" s="8">
        <v>45</v>
      </c>
      <c r="C1298" s="8">
        <v>9.5</v>
      </c>
      <c r="D1298" s="8">
        <v>40</v>
      </c>
      <c r="E1298" s="8">
        <v>0.2</v>
      </c>
    </row>
    <row r="1299" spans="1:5" x14ac:dyDescent="0.2">
      <c r="A1299" s="7">
        <v>10740</v>
      </c>
      <c r="B1299" s="8">
        <v>56</v>
      </c>
      <c r="C1299" s="8">
        <v>38</v>
      </c>
      <c r="D1299" s="8">
        <v>14</v>
      </c>
      <c r="E1299" s="8">
        <v>0.2</v>
      </c>
    </row>
    <row r="1300" spans="1:5" x14ac:dyDescent="0.2">
      <c r="A1300" s="7">
        <v>10741</v>
      </c>
      <c r="B1300" s="8">
        <v>2</v>
      </c>
      <c r="C1300" s="8">
        <v>19</v>
      </c>
      <c r="D1300" s="8">
        <v>15</v>
      </c>
      <c r="E1300" s="8">
        <v>0.2</v>
      </c>
    </row>
    <row r="1301" spans="1:5" x14ac:dyDescent="0.2">
      <c r="A1301" s="7">
        <v>10742</v>
      </c>
      <c r="B1301" s="8">
        <v>3</v>
      </c>
      <c r="C1301" s="8">
        <v>10</v>
      </c>
      <c r="D1301" s="8">
        <v>20</v>
      </c>
      <c r="E1301" s="8">
        <v>0</v>
      </c>
    </row>
    <row r="1302" spans="1:5" x14ac:dyDescent="0.2">
      <c r="A1302" s="7">
        <v>10742</v>
      </c>
      <c r="B1302" s="8">
        <v>60</v>
      </c>
      <c r="C1302" s="8">
        <v>34</v>
      </c>
      <c r="D1302" s="8">
        <v>50</v>
      </c>
      <c r="E1302" s="8">
        <v>0</v>
      </c>
    </row>
    <row r="1303" spans="1:5" x14ac:dyDescent="0.2">
      <c r="A1303" s="7">
        <v>10742</v>
      </c>
      <c r="B1303" s="8">
        <v>72</v>
      </c>
      <c r="C1303" s="8">
        <v>34.799999999999997</v>
      </c>
      <c r="D1303" s="8">
        <v>35</v>
      </c>
      <c r="E1303" s="8">
        <v>0</v>
      </c>
    </row>
    <row r="1304" spans="1:5" x14ac:dyDescent="0.2">
      <c r="A1304" s="7">
        <v>10743</v>
      </c>
      <c r="B1304" s="8">
        <v>46</v>
      </c>
      <c r="C1304" s="8">
        <v>12</v>
      </c>
      <c r="D1304" s="8">
        <v>28</v>
      </c>
      <c r="E1304" s="8">
        <v>0.05</v>
      </c>
    </row>
    <row r="1305" spans="1:5" x14ac:dyDescent="0.2">
      <c r="A1305" s="7">
        <v>10744</v>
      </c>
      <c r="B1305" s="8">
        <v>40</v>
      </c>
      <c r="C1305" s="8">
        <v>18.399999999999999</v>
      </c>
      <c r="D1305" s="8">
        <v>50</v>
      </c>
      <c r="E1305" s="8">
        <v>0.2</v>
      </c>
    </row>
    <row r="1306" spans="1:5" x14ac:dyDescent="0.2">
      <c r="A1306" s="7">
        <v>10745</v>
      </c>
      <c r="B1306" s="8">
        <v>18</v>
      </c>
      <c r="C1306" s="8">
        <v>62.5</v>
      </c>
      <c r="D1306" s="8">
        <v>24</v>
      </c>
      <c r="E1306" s="8">
        <v>0</v>
      </c>
    </row>
    <row r="1307" spans="1:5" x14ac:dyDescent="0.2">
      <c r="A1307" s="7">
        <v>10745</v>
      </c>
      <c r="B1307" s="8">
        <v>44</v>
      </c>
      <c r="C1307" s="8">
        <v>19.45</v>
      </c>
      <c r="D1307" s="8">
        <v>16</v>
      </c>
      <c r="E1307" s="8">
        <v>0</v>
      </c>
    </row>
    <row r="1308" spans="1:5" x14ac:dyDescent="0.2">
      <c r="A1308" s="7">
        <v>10745</v>
      </c>
      <c r="B1308" s="8">
        <v>59</v>
      </c>
      <c r="C1308" s="8">
        <v>55</v>
      </c>
      <c r="D1308" s="8">
        <v>45</v>
      </c>
      <c r="E1308" s="8">
        <v>0</v>
      </c>
    </row>
    <row r="1309" spans="1:5" x14ac:dyDescent="0.2">
      <c r="A1309" s="7">
        <v>10745</v>
      </c>
      <c r="B1309" s="8">
        <v>72</v>
      </c>
      <c r="C1309" s="8">
        <v>34.799999999999997</v>
      </c>
      <c r="D1309" s="8">
        <v>7</v>
      </c>
      <c r="E1309" s="8">
        <v>0</v>
      </c>
    </row>
    <row r="1310" spans="1:5" x14ac:dyDescent="0.2">
      <c r="A1310" s="7">
        <v>10746</v>
      </c>
      <c r="B1310" s="8">
        <v>13</v>
      </c>
      <c r="C1310" s="8">
        <v>6</v>
      </c>
      <c r="D1310" s="8">
        <v>6</v>
      </c>
      <c r="E1310" s="8">
        <v>0</v>
      </c>
    </row>
    <row r="1311" spans="1:5" x14ac:dyDescent="0.2">
      <c r="A1311" s="7">
        <v>10746</v>
      </c>
      <c r="B1311" s="8">
        <v>42</v>
      </c>
      <c r="C1311" s="8">
        <v>14</v>
      </c>
      <c r="D1311" s="8">
        <v>28</v>
      </c>
      <c r="E1311" s="8">
        <v>0</v>
      </c>
    </row>
    <row r="1312" spans="1:5" x14ac:dyDescent="0.2">
      <c r="A1312" s="7">
        <v>10746</v>
      </c>
      <c r="B1312" s="8">
        <v>62</v>
      </c>
      <c r="C1312" s="8">
        <v>49.3</v>
      </c>
      <c r="D1312" s="8">
        <v>9</v>
      </c>
      <c r="E1312" s="8">
        <v>0</v>
      </c>
    </row>
    <row r="1313" spans="1:5" x14ac:dyDescent="0.2">
      <c r="A1313" s="7">
        <v>10746</v>
      </c>
      <c r="B1313" s="8">
        <v>69</v>
      </c>
      <c r="C1313" s="8">
        <v>36</v>
      </c>
      <c r="D1313" s="8">
        <v>40</v>
      </c>
      <c r="E1313" s="8">
        <v>0</v>
      </c>
    </row>
    <row r="1314" spans="1:5" x14ac:dyDescent="0.2">
      <c r="A1314" s="7">
        <v>10747</v>
      </c>
      <c r="B1314" s="8">
        <v>31</v>
      </c>
      <c r="C1314" s="8">
        <v>12.5</v>
      </c>
      <c r="D1314" s="8">
        <v>8</v>
      </c>
      <c r="E1314" s="8">
        <v>0</v>
      </c>
    </row>
    <row r="1315" spans="1:5" x14ac:dyDescent="0.2">
      <c r="A1315" s="7">
        <v>10747</v>
      </c>
      <c r="B1315" s="8">
        <v>41</v>
      </c>
      <c r="C1315" s="8">
        <v>9.65</v>
      </c>
      <c r="D1315" s="8">
        <v>35</v>
      </c>
      <c r="E1315" s="8">
        <v>0</v>
      </c>
    </row>
    <row r="1316" spans="1:5" x14ac:dyDescent="0.2">
      <c r="A1316" s="7">
        <v>10747</v>
      </c>
      <c r="B1316" s="8">
        <v>63</v>
      </c>
      <c r="C1316" s="8">
        <v>43.9</v>
      </c>
      <c r="D1316" s="8">
        <v>9</v>
      </c>
      <c r="E1316" s="8">
        <v>0</v>
      </c>
    </row>
    <row r="1317" spans="1:5" x14ac:dyDescent="0.2">
      <c r="A1317" s="7">
        <v>10747</v>
      </c>
      <c r="B1317" s="8">
        <v>69</v>
      </c>
      <c r="C1317" s="8">
        <v>36</v>
      </c>
      <c r="D1317" s="8">
        <v>30</v>
      </c>
      <c r="E1317" s="8">
        <v>0</v>
      </c>
    </row>
    <row r="1318" spans="1:5" x14ac:dyDescent="0.2">
      <c r="A1318" s="7">
        <v>10748</v>
      </c>
      <c r="B1318" s="8">
        <v>23</v>
      </c>
      <c r="C1318" s="8">
        <v>9</v>
      </c>
      <c r="D1318" s="8">
        <v>44</v>
      </c>
      <c r="E1318" s="8">
        <v>0</v>
      </c>
    </row>
    <row r="1319" spans="1:5" x14ac:dyDescent="0.2">
      <c r="A1319" s="7">
        <v>10748</v>
      </c>
      <c r="B1319" s="8">
        <v>40</v>
      </c>
      <c r="C1319" s="8">
        <v>18.399999999999999</v>
      </c>
      <c r="D1319" s="8">
        <v>40</v>
      </c>
      <c r="E1319" s="8">
        <v>0</v>
      </c>
    </row>
    <row r="1320" spans="1:5" x14ac:dyDescent="0.2">
      <c r="A1320" s="7">
        <v>10748</v>
      </c>
      <c r="B1320" s="8">
        <v>56</v>
      </c>
      <c r="C1320" s="8">
        <v>38</v>
      </c>
      <c r="D1320" s="8">
        <v>28</v>
      </c>
      <c r="E1320" s="8">
        <v>0</v>
      </c>
    </row>
    <row r="1321" spans="1:5" x14ac:dyDescent="0.2">
      <c r="A1321" s="7">
        <v>10749</v>
      </c>
      <c r="B1321" s="8">
        <v>56</v>
      </c>
      <c r="C1321" s="8">
        <v>38</v>
      </c>
      <c r="D1321" s="8">
        <v>15</v>
      </c>
      <c r="E1321" s="8">
        <v>0</v>
      </c>
    </row>
    <row r="1322" spans="1:5" x14ac:dyDescent="0.2">
      <c r="A1322" s="7">
        <v>10749</v>
      </c>
      <c r="B1322" s="8">
        <v>59</v>
      </c>
      <c r="C1322" s="8">
        <v>55</v>
      </c>
      <c r="D1322" s="8">
        <v>6</v>
      </c>
      <c r="E1322" s="8">
        <v>0</v>
      </c>
    </row>
    <row r="1323" spans="1:5" x14ac:dyDescent="0.2">
      <c r="A1323" s="7">
        <v>10749</v>
      </c>
      <c r="B1323" s="8">
        <v>76</v>
      </c>
      <c r="C1323" s="8">
        <v>18</v>
      </c>
      <c r="D1323" s="8">
        <v>10</v>
      </c>
      <c r="E1323" s="8">
        <v>0</v>
      </c>
    </row>
    <row r="1324" spans="1:5" x14ac:dyDescent="0.2">
      <c r="A1324" s="7">
        <v>10750</v>
      </c>
      <c r="B1324" s="8">
        <v>14</v>
      </c>
      <c r="C1324" s="8">
        <v>23.25</v>
      </c>
      <c r="D1324" s="8">
        <v>5</v>
      </c>
      <c r="E1324" s="8">
        <v>0.15</v>
      </c>
    </row>
    <row r="1325" spans="1:5" x14ac:dyDescent="0.2">
      <c r="A1325" s="7">
        <v>10750</v>
      </c>
      <c r="B1325" s="8">
        <v>45</v>
      </c>
      <c r="C1325" s="8">
        <v>9.5</v>
      </c>
      <c r="D1325" s="8">
        <v>40</v>
      </c>
      <c r="E1325" s="8">
        <v>0.15</v>
      </c>
    </row>
    <row r="1326" spans="1:5" x14ac:dyDescent="0.2">
      <c r="A1326" s="7">
        <v>10750</v>
      </c>
      <c r="B1326" s="8">
        <v>59</v>
      </c>
      <c r="C1326" s="8">
        <v>55</v>
      </c>
      <c r="D1326" s="8">
        <v>25</v>
      </c>
      <c r="E1326" s="8">
        <v>0.15</v>
      </c>
    </row>
    <row r="1327" spans="1:5" x14ac:dyDescent="0.2">
      <c r="A1327" s="7">
        <v>10751</v>
      </c>
      <c r="B1327" s="8">
        <v>26</v>
      </c>
      <c r="C1327" s="8">
        <v>31.23</v>
      </c>
      <c r="D1327" s="8">
        <v>12</v>
      </c>
      <c r="E1327" s="8">
        <v>0.1</v>
      </c>
    </row>
    <row r="1328" spans="1:5" x14ac:dyDescent="0.2">
      <c r="A1328" s="7">
        <v>10751</v>
      </c>
      <c r="B1328" s="8">
        <v>30</v>
      </c>
      <c r="C1328" s="8">
        <v>25.89</v>
      </c>
      <c r="D1328" s="8">
        <v>30</v>
      </c>
      <c r="E1328" s="8">
        <v>0</v>
      </c>
    </row>
    <row r="1329" spans="1:5" x14ac:dyDescent="0.2">
      <c r="A1329" s="7">
        <v>10751</v>
      </c>
      <c r="B1329" s="8">
        <v>50</v>
      </c>
      <c r="C1329" s="8">
        <v>16.25</v>
      </c>
      <c r="D1329" s="8">
        <v>20</v>
      </c>
      <c r="E1329" s="8">
        <v>0.1</v>
      </c>
    </row>
    <row r="1330" spans="1:5" x14ac:dyDescent="0.2">
      <c r="A1330" s="7">
        <v>10751</v>
      </c>
      <c r="B1330" s="8">
        <v>73</v>
      </c>
      <c r="C1330" s="8">
        <v>15</v>
      </c>
      <c r="D1330" s="8">
        <v>15</v>
      </c>
      <c r="E1330" s="8">
        <v>0</v>
      </c>
    </row>
    <row r="1331" spans="1:5" x14ac:dyDescent="0.2">
      <c r="A1331" s="7">
        <v>10752</v>
      </c>
      <c r="B1331" s="8">
        <v>1</v>
      </c>
      <c r="C1331" s="8">
        <v>18</v>
      </c>
      <c r="D1331" s="8">
        <v>8</v>
      </c>
      <c r="E1331" s="8">
        <v>0</v>
      </c>
    </row>
    <row r="1332" spans="1:5" x14ac:dyDescent="0.2">
      <c r="A1332" s="7">
        <v>10752</v>
      </c>
      <c r="B1332" s="8">
        <v>69</v>
      </c>
      <c r="C1332" s="8">
        <v>36</v>
      </c>
      <c r="D1332" s="8">
        <v>3</v>
      </c>
      <c r="E1332" s="8">
        <v>0</v>
      </c>
    </row>
    <row r="1333" spans="1:5" x14ac:dyDescent="0.2">
      <c r="A1333" s="7">
        <v>10753</v>
      </c>
      <c r="B1333" s="8">
        <v>45</v>
      </c>
      <c r="C1333" s="8">
        <v>9.5</v>
      </c>
      <c r="D1333" s="8">
        <v>4</v>
      </c>
      <c r="E1333" s="8">
        <v>0</v>
      </c>
    </row>
    <row r="1334" spans="1:5" x14ac:dyDescent="0.2">
      <c r="A1334" s="7">
        <v>10753</v>
      </c>
      <c r="B1334" s="8">
        <v>74</v>
      </c>
      <c r="C1334" s="8">
        <v>10</v>
      </c>
      <c r="D1334" s="8">
        <v>5</v>
      </c>
      <c r="E1334" s="8">
        <v>0</v>
      </c>
    </row>
    <row r="1335" spans="1:5" x14ac:dyDescent="0.2">
      <c r="A1335" s="7">
        <v>10754</v>
      </c>
      <c r="B1335" s="8">
        <v>40</v>
      </c>
      <c r="C1335" s="8">
        <v>18.399999999999999</v>
      </c>
      <c r="D1335" s="8">
        <v>3</v>
      </c>
      <c r="E1335" s="8">
        <v>0</v>
      </c>
    </row>
    <row r="1336" spans="1:5" x14ac:dyDescent="0.2">
      <c r="A1336" s="7">
        <v>10755</v>
      </c>
      <c r="B1336" s="8">
        <v>47</v>
      </c>
      <c r="C1336" s="8">
        <v>9.5</v>
      </c>
      <c r="D1336" s="8">
        <v>30</v>
      </c>
      <c r="E1336" s="8">
        <v>0.25</v>
      </c>
    </row>
    <row r="1337" spans="1:5" x14ac:dyDescent="0.2">
      <c r="A1337" s="7">
        <v>10755</v>
      </c>
      <c r="B1337" s="8">
        <v>56</v>
      </c>
      <c r="C1337" s="8">
        <v>38</v>
      </c>
      <c r="D1337" s="8">
        <v>30</v>
      </c>
      <c r="E1337" s="8">
        <v>0.25</v>
      </c>
    </row>
    <row r="1338" spans="1:5" x14ac:dyDescent="0.2">
      <c r="A1338" s="7">
        <v>10755</v>
      </c>
      <c r="B1338" s="8">
        <v>57</v>
      </c>
      <c r="C1338" s="8">
        <v>19.5</v>
      </c>
      <c r="D1338" s="8">
        <v>14</v>
      </c>
      <c r="E1338" s="8">
        <v>0.25</v>
      </c>
    </row>
    <row r="1339" spans="1:5" x14ac:dyDescent="0.2">
      <c r="A1339" s="7">
        <v>10755</v>
      </c>
      <c r="B1339" s="8">
        <v>69</v>
      </c>
      <c r="C1339" s="8">
        <v>36</v>
      </c>
      <c r="D1339" s="8">
        <v>25</v>
      </c>
      <c r="E1339" s="8">
        <v>0.25</v>
      </c>
    </row>
    <row r="1340" spans="1:5" x14ac:dyDescent="0.2">
      <c r="A1340" s="7">
        <v>10756</v>
      </c>
      <c r="B1340" s="8">
        <v>18</v>
      </c>
      <c r="C1340" s="8">
        <v>62.5</v>
      </c>
      <c r="D1340" s="8">
        <v>21</v>
      </c>
      <c r="E1340" s="8">
        <v>0.2</v>
      </c>
    </row>
    <row r="1341" spans="1:5" x14ac:dyDescent="0.2">
      <c r="A1341" s="7">
        <v>10756</v>
      </c>
      <c r="B1341" s="8">
        <v>36</v>
      </c>
      <c r="C1341" s="8">
        <v>19</v>
      </c>
      <c r="D1341" s="8">
        <v>20</v>
      </c>
      <c r="E1341" s="8">
        <v>0.2</v>
      </c>
    </row>
    <row r="1342" spans="1:5" x14ac:dyDescent="0.2">
      <c r="A1342" s="7">
        <v>10756</v>
      </c>
      <c r="B1342" s="8">
        <v>68</v>
      </c>
      <c r="C1342" s="8">
        <v>12.5</v>
      </c>
      <c r="D1342" s="8">
        <v>6</v>
      </c>
      <c r="E1342" s="8">
        <v>0.2</v>
      </c>
    </row>
    <row r="1343" spans="1:5" x14ac:dyDescent="0.2">
      <c r="A1343" s="7">
        <v>10756</v>
      </c>
      <c r="B1343" s="8">
        <v>69</v>
      </c>
      <c r="C1343" s="8">
        <v>36</v>
      </c>
      <c r="D1343" s="8">
        <v>20</v>
      </c>
      <c r="E1343" s="8">
        <v>0.2</v>
      </c>
    </row>
    <row r="1344" spans="1:5" x14ac:dyDescent="0.2">
      <c r="A1344" s="7">
        <v>10757</v>
      </c>
      <c r="B1344" s="8">
        <v>34</v>
      </c>
      <c r="C1344" s="8">
        <v>14</v>
      </c>
      <c r="D1344" s="8">
        <v>30</v>
      </c>
      <c r="E1344" s="8">
        <v>0</v>
      </c>
    </row>
    <row r="1345" spans="1:5" x14ac:dyDescent="0.2">
      <c r="A1345" s="7">
        <v>10757</v>
      </c>
      <c r="B1345" s="8">
        <v>59</v>
      </c>
      <c r="C1345" s="8">
        <v>55</v>
      </c>
      <c r="D1345" s="8">
        <v>7</v>
      </c>
      <c r="E1345" s="8">
        <v>0</v>
      </c>
    </row>
    <row r="1346" spans="1:5" x14ac:dyDescent="0.2">
      <c r="A1346" s="7">
        <v>10757</v>
      </c>
      <c r="B1346" s="8">
        <v>62</v>
      </c>
      <c r="C1346" s="8">
        <v>49.3</v>
      </c>
      <c r="D1346" s="8">
        <v>30</v>
      </c>
      <c r="E1346" s="8">
        <v>0</v>
      </c>
    </row>
    <row r="1347" spans="1:5" x14ac:dyDescent="0.2">
      <c r="A1347" s="7">
        <v>10757</v>
      </c>
      <c r="B1347" s="8">
        <v>64</v>
      </c>
      <c r="C1347" s="8">
        <v>33.25</v>
      </c>
      <c r="D1347" s="8">
        <v>24</v>
      </c>
      <c r="E1347" s="8">
        <v>0</v>
      </c>
    </row>
    <row r="1348" spans="1:5" x14ac:dyDescent="0.2">
      <c r="A1348" s="7">
        <v>10758</v>
      </c>
      <c r="B1348" s="8">
        <v>26</v>
      </c>
      <c r="C1348" s="8">
        <v>31.23</v>
      </c>
      <c r="D1348" s="8">
        <v>20</v>
      </c>
      <c r="E1348" s="8">
        <v>0</v>
      </c>
    </row>
    <row r="1349" spans="1:5" x14ac:dyDescent="0.2">
      <c r="A1349" s="7">
        <v>10758</v>
      </c>
      <c r="B1349" s="8">
        <v>52</v>
      </c>
      <c r="C1349" s="8">
        <v>7</v>
      </c>
      <c r="D1349" s="8">
        <v>60</v>
      </c>
      <c r="E1349" s="8">
        <v>0</v>
      </c>
    </row>
    <row r="1350" spans="1:5" x14ac:dyDescent="0.2">
      <c r="A1350" s="7">
        <v>10758</v>
      </c>
      <c r="B1350" s="8">
        <v>70</v>
      </c>
      <c r="C1350" s="8">
        <v>15</v>
      </c>
      <c r="D1350" s="8">
        <v>40</v>
      </c>
      <c r="E1350" s="8">
        <v>0</v>
      </c>
    </row>
    <row r="1351" spans="1:5" x14ac:dyDescent="0.2">
      <c r="A1351" s="7">
        <v>10759</v>
      </c>
      <c r="B1351" s="8">
        <v>32</v>
      </c>
      <c r="C1351" s="8">
        <v>32</v>
      </c>
      <c r="D1351" s="8">
        <v>10</v>
      </c>
      <c r="E1351" s="8">
        <v>0</v>
      </c>
    </row>
    <row r="1352" spans="1:5" x14ac:dyDescent="0.2">
      <c r="A1352" s="7">
        <v>10760</v>
      </c>
      <c r="B1352" s="8">
        <v>25</v>
      </c>
      <c r="C1352" s="8">
        <v>14</v>
      </c>
      <c r="D1352" s="8">
        <v>12</v>
      </c>
      <c r="E1352" s="8">
        <v>0.25</v>
      </c>
    </row>
    <row r="1353" spans="1:5" x14ac:dyDescent="0.2">
      <c r="A1353" s="7">
        <v>10760</v>
      </c>
      <c r="B1353" s="8">
        <v>27</v>
      </c>
      <c r="C1353" s="8">
        <v>43.9</v>
      </c>
      <c r="D1353" s="8">
        <v>40</v>
      </c>
      <c r="E1353" s="8">
        <v>0</v>
      </c>
    </row>
    <row r="1354" spans="1:5" x14ac:dyDescent="0.2">
      <c r="A1354" s="7">
        <v>10760</v>
      </c>
      <c r="B1354" s="8">
        <v>43</v>
      </c>
      <c r="C1354" s="8">
        <v>46</v>
      </c>
      <c r="D1354" s="8">
        <v>30</v>
      </c>
      <c r="E1354" s="8">
        <v>0.25</v>
      </c>
    </row>
    <row r="1355" spans="1:5" x14ac:dyDescent="0.2">
      <c r="A1355" s="7">
        <v>10761</v>
      </c>
      <c r="B1355" s="8">
        <v>25</v>
      </c>
      <c r="C1355" s="8">
        <v>14</v>
      </c>
      <c r="D1355" s="8">
        <v>35</v>
      </c>
      <c r="E1355" s="8">
        <v>0.25</v>
      </c>
    </row>
    <row r="1356" spans="1:5" x14ac:dyDescent="0.2">
      <c r="A1356" s="7">
        <v>10761</v>
      </c>
      <c r="B1356" s="8">
        <v>75</v>
      </c>
      <c r="C1356" s="8">
        <v>7.75</v>
      </c>
      <c r="D1356" s="8">
        <v>18</v>
      </c>
      <c r="E1356" s="8">
        <v>0</v>
      </c>
    </row>
    <row r="1357" spans="1:5" x14ac:dyDescent="0.2">
      <c r="A1357" s="7">
        <v>10762</v>
      </c>
      <c r="B1357" s="8">
        <v>39</v>
      </c>
      <c r="C1357" s="8">
        <v>18</v>
      </c>
      <c r="D1357" s="8">
        <v>16</v>
      </c>
      <c r="E1357" s="8">
        <v>0</v>
      </c>
    </row>
    <row r="1358" spans="1:5" x14ac:dyDescent="0.2">
      <c r="A1358" s="7">
        <v>10762</v>
      </c>
      <c r="B1358" s="8">
        <v>47</v>
      </c>
      <c r="C1358" s="8">
        <v>9.5</v>
      </c>
      <c r="D1358" s="8">
        <v>30</v>
      </c>
      <c r="E1358" s="8">
        <v>0</v>
      </c>
    </row>
    <row r="1359" spans="1:5" x14ac:dyDescent="0.2">
      <c r="A1359" s="7">
        <v>10762</v>
      </c>
      <c r="B1359" s="8">
        <v>51</v>
      </c>
      <c r="C1359" s="8">
        <v>53</v>
      </c>
      <c r="D1359" s="8">
        <v>28</v>
      </c>
      <c r="E1359" s="8">
        <v>0</v>
      </c>
    </row>
    <row r="1360" spans="1:5" x14ac:dyDescent="0.2">
      <c r="A1360" s="7">
        <v>10762</v>
      </c>
      <c r="B1360" s="8">
        <v>56</v>
      </c>
      <c r="C1360" s="8">
        <v>38</v>
      </c>
      <c r="D1360" s="8">
        <v>60</v>
      </c>
      <c r="E1360" s="8">
        <v>0</v>
      </c>
    </row>
    <row r="1361" spans="1:5" x14ac:dyDescent="0.2">
      <c r="A1361" s="7">
        <v>10763</v>
      </c>
      <c r="B1361" s="8">
        <v>21</v>
      </c>
      <c r="C1361" s="8">
        <v>10</v>
      </c>
      <c r="D1361" s="8">
        <v>40</v>
      </c>
      <c r="E1361" s="8">
        <v>0</v>
      </c>
    </row>
    <row r="1362" spans="1:5" x14ac:dyDescent="0.2">
      <c r="A1362" s="7">
        <v>10763</v>
      </c>
      <c r="B1362" s="8">
        <v>22</v>
      </c>
      <c r="C1362" s="8">
        <v>21</v>
      </c>
      <c r="D1362" s="8">
        <v>6</v>
      </c>
      <c r="E1362" s="8">
        <v>0</v>
      </c>
    </row>
    <row r="1363" spans="1:5" x14ac:dyDescent="0.2">
      <c r="A1363" s="7">
        <v>10763</v>
      </c>
      <c r="B1363" s="8">
        <v>24</v>
      </c>
      <c r="C1363" s="8">
        <v>4.5</v>
      </c>
      <c r="D1363" s="8">
        <v>20</v>
      </c>
      <c r="E1363" s="8">
        <v>0</v>
      </c>
    </row>
    <row r="1364" spans="1:5" x14ac:dyDescent="0.2">
      <c r="A1364" s="7">
        <v>10764</v>
      </c>
      <c r="B1364" s="8">
        <v>3</v>
      </c>
      <c r="C1364" s="8">
        <v>10</v>
      </c>
      <c r="D1364" s="8">
        <v>20</v>
      </c>
      <c r="E1364" s="8">
        <v>0.1</v>
      </c>
    </row>
    <row r="1365" spans="1:5" x14ac:dyDescent="0.2">
      <c r="A1365" s="7">
        <v>10764</v>
      </c>
      <c r="B1365" s="8">
        <v>39</v>
      </c>
      <c r="C1365" s="8">
        <v>18</v>
      </c>
      <c r="D1365" s="8">
        <v>130</v>
      </c>
      <c r="E1365" s="8">
        <v>0.1</v>
      </c>
    </row>
    <row r="1366" spans="1:5" x14ac:dyDescent="0.2">
      <c r="A1366" s="7">
        <v>10765</v>
      </c>
      <c r="B1366" s="8">
        <v>65</v>
      </c>
      <c r="C1366" s="8">
        <v>21.05</v>
      </c>
      <c r="D1366" s="8">
        <v>80</v>
      </c>
      <c r="E1366" s="8">
        <v>0.1</v>
      </c>
    </row>
    <row r="1367" spans="1:5" x14ac:dyDescent="0.2">
      <c r="A1367" s="7">
        <v>10766</v>
      </c>
      <c r="B1367" s="8">
        <v>2</v>
      </c>
      <c r="C1367" s="8">
        <v>19</v>
      </c>
      <c r="D1367" s="8">
        <v>40</v>
      </c>
      <c r="E1367" s="8">
        <v>0</v>
      </c>
    </row>
    <row r="1368" spans="1:5" x14ac:dyDescent="0.2">
      <c r="A1368" s="7">
        <v>10766</v>
      </c>
      <c r="B1368" s="8">
        <v>7</v>
      </c>
      <c r="C1368" s="8">
        <v>30</v>
      </c>
      <c r="D1368" s="8">
        <v>35</v>
      </c>
      <c r="E1368" s="8">
        <v>0</v>
      </c>
    </row>
    <row r="1369" spans="1:5" x14ac:dyDescent="0.2">
      <c r="A1369" s="7">
        <v>10766</v>
      </c>
      <c r="B1369" s="8">
        <v>68</v>
      </c>
      <c r="C1369" s="8">
        <v>12.5</v>
      </c>
      <c r="D1369" s="8">
        <v>40</v>
      </c>
      <c r="E1369" s="8">
        <v>0</v>
      </c>
    </row>
    <row r="1370" spans="1:5" x14ac:dyDescent="0.2">
      <c r="A1370" s="7">
        <v>10767</v>
      </c>
      <c r="B1370" s="8">
        <v>42</v>
      </c>
      <c r="C1370" s="8">
        <v>14</v>
      </c>
      <c r="D1370" s="8">
        <v>2</v>
      </c>
      <c r="E1370" s="8">
        <v>0</v>
      </c>
    </row>
    <row r="1371" spans="1:5" x14ac:dyDescent="0.2">
      <c r="A1371" s="7">
        <v>10768</v>
      </c>
      <c r="B1371" s="8">
        <v>22</v>
      </c>
      <c r="C1371" s="8">
        <v>21</v>
      </c>
      <c r="D1371" s="8">
        <v>4</v>
      </c>
      <c r="E1371" s="8">
        <v>0</v>
      </c>
    </row>
    <row r="1372" spans="1:5" x14ac:dyDescent="0.2">
      <c r="A1372" s="7">
        <v>10768</v>
      </c>
      <c r="B1372" s="8">
        <v>31</v>
      </c>
      <c r="C1372" s="8">
        <v>12.5</v>
      </c>
      <c r="D1372" s="8">
        <v>50</v>
      </c>
      <c r="E1372" s="8">
        <v>0</v>
      </c>
    </row>
    <row r="1373" spans="1:5" x14ac:dyDescent="0.2">
      <c r="A1373" s="7">
        <v>10768</v>
      </c>
      <c r="B1373" s="8">
        <v>60</v>
      </c>
      <c r="C1373" s="8">
        <v>34</v>
      </c>
      <c r="D1373" s="8">
        <v>15</v>
      </c>
      <c r="E1373" s="8">
        <v>0</v>
      </c>
    </row>
    <row r="1374" spans="1:5" x14ac:dyDescent="0.2">
      <c r="A1374" s="7">
        <v>10768</v>
      </c>
      <c r="B1374" s="8">
        <v>71</v>
      </c>
      <c r="C1374" s="8">
        <v>21.5</v>
      </c>
      <c r="D1374" s="8">
        <v>12</v>
      </c>
      <c r="E1374" s="8">
        <v>0</v>
      </c>
    </row>
    <row r="1375" spans="1:5" x14ac:dyDescent="0.2">
      <c r="A1375" s="7">
        <v>10769</v>
      </c>
      <c r="B1375" s="8">
        <v>41</v>
      </c>
      <c r="C1375" s="8">
        <v>9.65</v>
      </c>
      <c r="D1375" s="8">
        <v>30</v>
      </c>
      <c r="E1375" s="8">
        <v>0.05</v>
      </c>
    </row>
    <row r="1376" spans="1:5" x14ac:dyDescent="0.2">
      <c r="A1376" s="7">
        <v>10769</v>
      </c>
      <c r="B1376" s="8">
        <v>52</v>
      </c>
      <c r="C1376" s="8">
        <v>7</v>
      </c>
      <c r="D1376" s="8">
        <v>15</v>
      </c>
      <c r="E1376" s="8">
        <v>0.05</v>
      </c>
    </row>
    <row r="1377" spans="1:5" x14ac:dyDescent="0.2">
      <c r="A1377" s="7">
        <v>10769</v>
      </c>
      <c r="B1377" s="8">
        <v>61</v>
      </c>
      <c r="C1377" s="8">
        <v>28.5</v>
      </c>
      <c r="D1377" s="8">
        <v>20</v>
      </c>
      <c r="E1377" s="8">
        <v>0</v>
      </c>
    </row>
    <row r="1378" spans="1:5" x14ac:dyDescent="0.2">
      <c r="A1378" s="7">
        <v>10769</v>
      </c>
      <c r="B1378" s="8">
        <v>62</v>
      </c>
      <c r="C1378" s="8">
        <v>49.3</v>
      </c>
      <c r="D1378" s="8">
        <v>15</v>
      </c>
      <c r="E1378" s="8">
        <v>0</v>
      </c>
    </row>
    <row r="1379" spans="1:5" x14ac:dyDescent="0.2">
      <c r="A1379" s="7">
        <v>10770</v>
      </c>
      <c r="B1379" s="8">
        <v>11</v>
      </c>
      <c r="C1379" s="8">
        <v>21</v>
      </c>
      <c r="D1379" s="8">
        <v>15</v>
      </c>
      <c r="E1379" s="8">
        <v>0.25</v>
      </c>
    </row>
    <row r="1380" spans="1:5" x14ac:dyDescent="0.2">
      <c r="A1380" s="7">
        <v>10771</v>
      </c>
      <c r="B1380" s="8">
        <v>71</v>
      </c>
      <c r="C1380" s="8">
        <v>21.5</v>
      </c>
      <c r="D1380" s="8">
        <v>16</v>
      </c>
      <c r="E1380" s="8">
        <v>0</v>
      </c>
    </row>
    <row r="1381" spans="1:5" x14ac:dyDescent="0.2">
      <c r="A1381" s="7">
        <v>10772</v>
      </c>
      <c r="B1381" s="8">
        <v>29</v>
      </c>
      <c r="C1381" s="8">
        <v>123.79</v>
      </c>
      <c r="D1381" s="8">
        <v>18</v>
      </c>
      <c r="E1381" s="8">
        <v>0</v>
      </c>
    </row>
    <row r="1382" spans="1:5" x14ac:dyDescent="0.2">
      <c r="A1382" s="7">
        <v>10772</v>
      </c>
      <c r="B1382" s="8">
        <v>59</v>
      </c>
      <c r="C1382" s="8">
        <v>55</v>
      </c>
      <c r="D1382" s="8">
        <v>25</v>
      </c>
      <c r="E1382" s="8">
        <v>0</v>
      </c>
    </row>
    <row r="1383" spans="1:5" x14ac:dyDescent="0.2">
      <c r="A1383" s="7">
        <v>10773</v>
      </c>
      <c r="B1383" s="8">
        <v>17</v>
      </c>
      <c r="C1383" s="8">
        <v>39</v>
      </c>
      <c r="D1383" s="8">
        <v>33</v>
      </c>
      <c r="E1383" s="8">
        <v>0</v>
      </c>
    </row>
    <row r="1384" spans="1:5" x14ac:dyDescent="0.2">
      <c r="A1384" s="7">
        <v>10773</v>
      </c>
      <c r="B1384" s="8">
        <v>31</v>
      </c>
      <c r="C1384" s="8">
        <v>12.5</v>
      </c>
      <c r="D1384" s="8">
        <v>70</v>
      </c>
      <c r="E1384" s="8">
        <v>0.2</v>
      </c>
    </row>
    <row r="1385" spans="1:5" x14ac:dyDescent="0.2">
      <c r="A1385" s="7">
        <v>10773</v>
      </c>
      <c r="B1385" s="8">
        <v>75</v>
      </c>
      <c r="C1385" s="8">
        <v>7.75</v>
      </c>
      <c r="D1385" s="8">
        <v>7</v>
      </c>
      <c r="E1385" s="8">
        <v>0.2</v>
      </c>
    </row>
    <row r="1386" spans="1:5" x14ac:dyDescent="0.2">
      <c r="A1386" s="7">
        <v>10774</v>
      </c>
      <c r="B1386" s="8">
        <v>31</v>
      </c>
      <c r="C1386" s="8">
        <v>12.5</v>
      </c>
      <c r="D1386" s="8">
        <v>2</v>
      </c>
      <c r="E1386" s="8">
        <v>0.25</v>
      </c>
    </row>
    <row r="1387" spans="1:5" x14ac:dyDescent="0.2">
      <c r="A1387" s="7">
        <v>10774</v>
      </c>
      <c r="B1387" s="8">
        <v>66</v>
      </c>
      <c r="C1387" s="8">
        <v>17</v>
      </c>
      <c r="D1387" s="8">
        <v>50</v>
      </c>
      <c r="E1387" s="8">
        <v>0</v>
      </c>
    </row>
    <row r="1388" spans="1:5" x14ac:dyDescent="0.2">
      <c r="A1388" s="7">
        <v>10775</v>
      </c>
      <c r="B1388" s="8">
        <v>10</v>
      </c>
      <c r="C1388" s="8">
        <v>31</v>
      </c>
      <c r="D1388" s="8">
        <v>6</v>
      </c>
      <c r="E1388" s="8">
        <v>0</v>
      </c>
    </row>
    <row r="1389" spans="1:5" x14ac:dyDescent="0.2">
      <c r="A1389" s="7">
        <v>10775</v>
      </c>
      <c r="B1389" s="8">
        <v>67</v>
      </c>
      <c r="C1389" s="8">
        <v>14</v>
      </c>
      <c r="D1389" s="8">
        <v>3</v>
      </c>
      <c r="E1389" s="8">
        <v>0</v>
      </c>
    </row>
    <row r="1390" spans="1:5" x14ac:dyDescent="0.2">
      <c r="A1390" s="7">
        <v>10776</v>
      </c>
      <c r="B1390" s="8">
        <v>31</v>
      </c>
      <c r="C1390" s="8">
        <v>12.5</v>
      </c>
      <c r="D1390" s="8">
        <v>16</v>
      </c>
      <c r="E1390" s="8">
        <v>0.05</v>
      </c>
    </row>
    <row r="1391" spans="1:5" x14ac:dyDescent="0.2">
      <c r="A1391" s="7">
        <v>10776</v>
      </c>
      <c r="B1391" s="8">
        <v>42</v>
      </c>
      <c r="C1391" s="8">
        <v>14</v>
      </c>
      <c r="D1391" s="8">
        <v>12</v>
      </c>
      <c r="E1391" s="8">
        <v>0.05</v>
      </c>
    </row>
    <row r="1392" spans="1:5" x14ac:dyDescent="0.2">
      <c r="A1392" s="7">
        <v>10776</v>
      </c>
      <c r="B1392" s="8">
        <v>45</v>
      </c>
      <c r="C1392" s="8">
        <v>9.5</v>
      </c>
      <c r="D1392" s="8">
        <v>27</v>
      </c>
      <c r="E1392" s="8">
        <v>0.05</v>
      </c>
    </row>
    <row r="1393" spans="1:5" x14ac:dyDescent="0.2">
      <c r="A1393" s="7">
        <v>10776</v>
      </c>
      <c r="B1393" s="8">
        <v>51</v>
      </c>
      <c r="C1393" s="8">
        <v>53</v>
      </c>
      <c r="D1393" s="8">
        <v>120</v>
      </c>
      <c r="E1393" s="8">
        <v>0.05</v>
      </c>
    </row>
    <row r="1394" spans="1:5" x14ac:dyDescent="0.2">
      <c r="A1394" s="7">
        <v>10777</v>
      </c>
      <c r="B1394" s="8">
        <v>42</v>
      </c>
      <c r="C1394" s="8">
        <v>14</v>
      </c>
      <c r="D1394" s="8">
        <v>20</v>
      </c>
      <c r="E1394" s="8">
        <v>0.2</v>
      </c>
    </row>
    <row r="1395" spans="1:5" x14ac:dyDescent="0.2">
      <c r="A1395" s="7">
        <v>10778</v>
      </c>
      <c r="B1395" s="8">
        <v>41</v>
      </c>
      <c r="C1395" s="8">
        <v>9.65</v>
      </c>
      <c r="D1395" s="8">
        <v>10</v>
      </c>
      <c r="E1395" s="8">
        <v>0</v>
      </c>
    </row>
    <row r="1396" spans="1:5" x14ac:dyDescent="0.2">
      <c r="A1396" s="7">
        <v>10779</v>
      </c>
      <c r="B1396" s="8">
        <v>16</v>
      </c>
      <c r="C1396" s="8">
        <v>17.45</v>
      </c>
      <c r="D1396" s="8">
        <v>20</v>
      </c>
      <c r="E1396" s="8">
        <v>0</v>
      </c>
    </row>
    <row r="1397" spans="1:5" x14ac:dyDescent="0.2">
      <c r="A1397" s="7">
        <v>10779</v>
      </c>
      <c r="B1397" s="8">
        <v>62</v>
      </c>
      <c r="C1397" s="8">
        <v>49.3</v>
      </c>
      <c r="D1397" s="8">
        <v>20</v>
      </c>
      <c r="E1397" s="8">
        <v>0</v>
      </c>
    </row>
    <row r="1398" spans="1:5" x14ac:dyDescent="0.2">
      <c r="A1398" s="7">
        <v>10780</v>
      </c>
      <c r="B1398" s="8">
        <v>70</v>
      </c>
      <c r="C1398" s="8">
        <v>15</v>
      </c>
      <c r="D1398" s="8">
        <v>35</v>
      </c>
      <c r="E1398" s="8">
        <v>0</v>
      </c>
    </row>
    <row r="1399" spans="1:5" x14ac:dyDescent="0.2">
      <c r="A1399" s="7">
        <v>10780</v>
      </c>
      <c r="B1399" s="8">
        <v>77</v>
      </c>
      <c r="C1399" s="8">
        <v>13</v>
      </c>
      <c r="D1399" s="8">
        <v>15</v>
      </c>
      <c r="E1399" s="8">
        <v>0</v>
      </c>
    </row>
    <row r="1400" spans="1:5" x14ac:dyDescent="0.2">
      <c r="A1400" s="7">
        <v>10781</v>
      </c>
      <c r="B1400" s="8">
        <v>54</v>
      </c>
      <c r="C1400" s="8">
        <v>7.45</v>
      </c>
      <c r="D1400" s="8">
        <v>3</v>
      </c>
      <c r="E1400" s="8">
        <v>0.2</v>
      </c>
    </row>
    <row r="1401" spans="1:5" x14ac:dyDescent="0.2">
      <c r="A1401" s="7">
        <v>10781</v>
      </c>
      <c r="B1401" s="8">
        <v>56</v>
      </c>
      <c r="C1401" s="8">
        <v>38</v>
      </c>
      <c r="D1401" s="8">
        <v>20</v>
      </c>
      <c r="E1401" s="8">
        <v>0.2</v>
      </c>
    </row>
    <row r="1402" spans="1:5" x14ac:dyDescent="0.2">
      <c r="A1402" s="7">
        <v>10781</v>
      </c>
      <c r="B1402" s="8">
        <v>74</v>
      </c>
      <c r="C1402" s="8">
        <v>10</v>
      </c>
      <c r="D1402" s="8">
        <v>35</v>
      </c>
      <c r="E1402" s="8">
        <v>0</v>
      </c>
    </row>
    <row r="1403" spans="1:5" x14ac:dyDescent="0.2">
      <c r="A1403" s="7">
        <v>10782</v>
      </c>
      <c r="B1403" s="8">
        <v>31</v>
      </c>
      <c r="C1403" s="8">
        <v>12.5</v>
      </c>
      <c r="D1403" s="8">
        <v>1</v>
      </c>
      <c r="E1403" s="8">
        <v>0</v>
      </c>
    </row>
    <row r="1404" spans="1:5" x14ac:dyDescent="0.2">
      <c r="A1404" s="7">
        <v>10783</v>
      </c>
      <c r="B1404" s="8">
        <v>31</v>
      </c>
      <c r="C1404" s="8">
        <v>12.5</v>
      </c>
      <c r="D1404" s="8">
        <v>10</v>
      </c>
      <c r="E1404" s="8">
        <v>0</v>
      </c>
    </row>
    <row r="1405" spans="1:5" x14ac:dyDescent="0.2">
      <c r="A1405" s="7">
        <v>10783</v>
      </c>
      <c r="B1405" s="8">
        <v>38</v>
      </c>
      <c r="C1405" s="8">
        <v>263.5</v>
      </c>
      <c r="D1405" s="8">
        <v>5</v>
      </c>
      <c r="E1405" s="8">
        <v>0</v>
      </c>
    </row>
    <row r="1406" spans="1:5" x14ac:dyDescent="0.2">
      <c r="A1406" s="7">
        <v>10784</v>
      </c>
      <c r="B1406" s="8">
        <v>36</v>
      </c>
      <c r="C1406" s="8">
        <v>19</v>
      </c>
      <c r="D1406" s="8">
        <v>30</v>
      </c>
      <c r="E1406" s="8">
        <v>0</v>
      </c>
    </row>
    <row r="1407" spans="1:5" x14ac:dyDescent="0.2">
      <c r="A1407" s="7">
        <v>10784</v>
      </c>
      <c r="B1407" s="8">
        <v>39</v>
      </c>
      <c r="C1407" s="8">
        <v>18</v>
      </c>
      <c r="D1407" s="8">
        <v>2</v>
      </c>
      <c r="E1407" s="8">
        <v>0.15</v>
      </c>
    </row>
    <row r="1408" spans="1:5" x14ac:dyDescent="0.2">
      <c r="A1408" s="7">
        <v>10784</v>
      </c>
      <c r="B1408" s="8">
        <v>72</v>
      </c>
      <c r="C1408" s="8">
        <v>34.799999999999997</v>
      </c>
      <c r="D1408" s="8">
        <v>30</v>
      </c>
      <c r="E1408" s="8">
        <v>0.15</v>
      </c>
    </row>
    <row r="1409" spans="1:5" x14ac:dyDescent="0.2">
      <c r="A1409" s="7">
        <v>10785</v>
      </c>
      <c r="B1409" s="8">
        <v>10</v>
      </c>
      <c r="C1409" s="8">
        <v>31</v>
      </c>
      <c r="D1409" s="8">
        <v>10</v>
      </c>
      <c r="E1409" s="8">
        <v>0</v>
      </c>
    </row>
    <row r="1410" spans="1:5" x14ac:dyDescent="0.2">
      <c r="A1410" s="7">
        <v>10785</v>
      </c>
      <c r="B1410" s="8">
        <v>75</v>
      </c>
      <c r="C1410" s="8">
        <v>7.75</v>
      </c>
      <c r="D1410" s="8">
        <v>10</v>
      </c>
      <c r="E1410" s="8">
        <v>0</v>
      </c>
    </row>
    <row r="1411" spans="1:5" x14ac:dyDescent="0.2">
      <c r="A1411" s="7">
        <v>10786</v>
      </c>
      <c r="B1411" s="8">
        <v>8</v>
      </c>
      <c r="C1411" s="8">
        <v>40</v>
      </c>
      <c r="D1411" s="8">
        <v>30</v>
      </c>
      <c r="E1411" s="8">
        <v>0.2</v>
      </c>
    </row>
    <row r="1412" spans="1:5" x14ac:dyDescent="0.2">
      <c r="A1412" s="7">
        <v>10786</v>
      </c>
      <c r="B1412" s="8">
        <v>30</v>
      </c>
      <c r="C1412" s="8">
        <v>25.89</v>
      </c>
      <c r="D1412" s="8">
        <v>15</v>
      </c>
      <c r="E1412" s="8">
        <v>0.2</v>
      </c>
    </row>
    <row r="1413" spans="1:5" x14ac:dyDescent="0.2">
      <c r="A1413" s="7">
        <v>10786</v>
      </c>
      <c r="B1413" s="8">
        <v>75</v>
      </c>
      <c r="C1413" s="8">
        <v>7.75</v>
      </c>
      <c r="D1413" s="8">
        <v>42</v>
      </c>
      <c r="E1413" s="8">
        <v>0.2</v>
      </c>
    </row>
    <row r="1414" spans="1:5" x14ac:dyDescent="0.2">
      <c r="A1414" s="7">
        <v>10787</v>
      </c>
      <c r="B1414" s="8">
        <v>2</v>
      </c>
      <c r="C1414" s="8">
        <v>19</v>
      </c>
      <c r="D1414" s="8">
        <v>15</v>
      </c>
      <c r="E1414" s="8">
        <v>0.05</v>
      </c>
    </row>
    <row r="1415" spans="1:5" x14ac:dyDescent="0.2">
      <c r="A1415" s="7">
        <v>10787</v>
      </c>
      <c r="B1415" s="8">
        <v>29</v>
      </c>
      <c r="C1415" s="8">
        <v>123.79</v>
      </c>
      <c r="D1415" s="8">
        <v>20</v>
      </c>
      <c r="E1415" s="8">
        <v>0.05</v>
      </c>
    </row>
    <row r="1416" spans="1:5" x14ac:dyDescent="0.2">
      <c r="A1416" s="7">
        <v>10788</v>
      </c>
      <c r="B1416" s="8">
        <v>19</v>
      </c>
      <c r="C1416" s="8">
        <v>9.1999999999999993</v>
      </c>
      <c r="D1416" s="8">
        <v>50</v>
      </c>
      <c r="E1416" s="8">
        <v>0.05</v>
      </c>
    </row>
    <row r="1417" spans="1:5" x14ac:dyDescent="0.2">
      <c r="A1417" s="7">
        <v>10788</v>
      </c>
      <c r="B1417" s="8">
        <v>75</v>
      </c>
      <c r="C1417" s="8">
        <v>7.75</v>
      </c>
      <c r="D1417" s="8">
        <v>40</v>
      </c>
      <c r="E1417" s="8">
        <v>0.05</v>
      </c>
    </row>
    <row r="1418" spans="1:5" x14ac:dyDescent="0.2">
      <c r="A1418" s="7">
        <v>10789</v>
      </c>
      <c r="B1418" s="8">
        <v>18</v>
      </c>
      <c r="C1418" s="8">
        <v>62.5</v>
      </c>
      <c r="D1418" s="8">
        <v>30</v>
      </c>
      <c r="E1418" s="8">
        <v>0</v>
      </c>
    </row>
    <row r="1419" spans="1:5" x14ac:dyDescent="0.2">
      <c r="A1419" s="7">
        <v>10789</v>
      </c>
      <c r="B1419" s="8">
        <v>35</v>
      </c>
      <c r="C1419" s="8">
        <v>18</v>
      </c>
      <c r="D1419" s="8">
        <v>15</v>
      </c>
      <c r="E1419" s="8">
        <v>0</v>
      </c>
    </row>
    <row r="1420" spans="1:5" x14ac:dyDescent="0.2">
      <c r="A1420" s="7">
        <v>10789</v>
      </c>
      <c r="B1420" s="8">
        <v>63</v>
      </c>
      <c r="C1420" s="8">
        <v>43.9</v>
      </c>
      <c r="D1420" s="8">
        <v>30</v>
      </c>
      <c r="E1420" s="8">
        <v>0</v>
      </c>
    </row>
    <row r="1421" spans="1:5" x14ac:dyDescent="0.2">
      <c r="A1421" s="7">
        <v>10789</v>
      </c>
      <c r="B1421" s="8">
        <v>68</v>
      </c>
      <c r="C1421" s="8">
        <v>12.5</v>
      </c>
      <c r="D1421" s="8">
        <v>18</v>
      </c>
      <c r="E1421" s="8">
        <v>0</v>
      </c>
    </row>
    <row r="1422" spans="1:5" x14ac:dyDescent="0.2">
      <c r="A1422" s="7">
        <v>10790</v>
      </c>
      <c r="B1422" s="8">
        <v>7</v>
      </c>
      <c r="C1422" s="8">
        <v>30</v>
      </c>
      <c r="D1422" s="8">
        <v>3</v>
      </c>
      <c r="E1422" s="8">
        <v>0.15</v>
      </c>
    </row>
    <row r="1423" spans="1:5" x14ac:dyDescent="0.2">
      <c r="A1423" s="7">
        <v>10790</v>
      </c>
      <c r="B1423" s="8">
        <v>56</v>
      </c>
      <c r="C1423" s="8">
        <v>38</v>
      </c>
      <c r="D1423" s="8">
        <v>20</v>
      </c>
      <c r="E1423" s="8">
        <v>0.15</v>
      </c>
    </row>
    <row r="1424" spans="1:5" x14ac:dyDescent="0.2">
      <c r="A1424" s="7">
        <v>10791</v>
      </c>
      <c r="B1424" s="8">
        <v>29</v>
      </c>
      <c r="C1424" s="8">
        <v>123.79</v>
      </c>
      <c r="D1424" s="8">
        <v>14</v>
      </c>
      <c r="E1424" s="8">
        <v>0.05</v>
      </c>
    </row>
    <row r="1425" spans="1:5" x14ac:dyDescent="0.2">
      <c r="A1425" s="7">
        <v>10791</v>
      </c>
      <c r="B1425" s="8">
        <v>41</v>
      </c>
      <c r="C1425" s="8">
        <v>9.65</v>
      </c>
      <c r="D1425" s="8">
        <v>20</v>
      </c>
      <c r="E1425" s="8">
        <v>0.05</v>
      </c>
    </row>
    <row r="1426" spans="1:5" x14ac:dyDescent="0.2">
      <c r="A1426" s="7">
        <v>10792</v>
      </c>
      <c r="B1426" s="8">
        <v>2</v>
      </c>
      <c r="C1426" s="8">
        <v>19</v>
      </c>
      <c r="D1426" s="8">
        <v>10</v>
      </c>
      <c r="E1426" s="8">
        <v>0</v>
      </c>
    </row>
    <row r="1427" spans="1:5" x14ac:dyDescent="0.2">
      <c r="A1427" s="7">
        <v>10792</v>
      </c>
      <c r="B1427" s="8">
        <v>54</v>
      </c>
      <c r="C1427" s="8">
        <v>7.45</v>
      </c>
      <c r="D1427" s="8">
        <v>3</v>
      </c>
      <c r="E1427" s="8">
        <v>0</v>
      </c>
    </row>
    <row r="1428" spans="1:5" x14ac:dyDescent="0.2">
      <c r="A1428" s="7">
        <v>10792</v>
      </c>
      <c r="B1428" s="8">
        <v>68</v>
      </c>
      <c r="C1428" s="8">
        <v>12.5</v>
      </c>
      <c r="D1428" s="8">
        <v>15</v>
      </c>
      <c r="E1428" s="8">
        <v>0</v>
      </c>
    </row>
    <row r="1429" spans="1:5" x14ac:dyDescent="0.2">
      <c r="A1429" s="7">
        <v>10793</v>
      </c>
      <c r="B1429" s="8">
        <v>41</v>
      </c>
      <c r="C1429" s="8">
        <v>9.65</v>
      </c>
      <c r="D1429" s="8">
        <v>14</v>
      </c>
      <c r="E1429" s="8">
        <v>0</v>
      </c>
    </row>
    <row r="1430" spans="1:5" x14ac:dyDescent="0.2">
      <c r="A1430" s="7">
        <v>10793</v>
      </c>
      <c r="B1430" s="8">
        <v>52</v>
      </c>
      <c r="C1430" s="8">
        <v>7</v>
      </c>
      <c r="D1430" s="8">
        <v>8</v>
      </c>
      <c r="E1430" s="8">
        <v>0</v>
      </c>
    </row>
    <row r="1431" spans="1:5" x14ac:dyDescent="0.2">
      <c r="A1431" s="7">
        <v>10794</v>
      </c>
      <c r="B1431" s="8">
        <v>14</v>
      </c>
      <c r="C1431" s="8">
        <v>23.25</v>
      </c>
      <c r="D1431" s="8">
        <v>15</v>
      </c>
      <c r="E1431" s="8">
        <v>0.2</v>
      </c>
    </row>
    <row r="1432" spans="1:5" x14ac:dyDescent="0.2">
      <c r="A1432" s="7">
        <v>10794</v>
      </c>
      <c r="B1432" s="8">
        <v>54</v>
      </c>
      <c r="C1432" s="8">
        <v>7.45</v>
      </c>
      <c r="D1432" s="8">
        <v>6</v>
      </c>
      <c r="E1432" s="8">
        <v>0.2</v>
      </c>
    </row>
    <row r="1433" spans="1:5" x14ac:dyDescent="0.2">
      <c r="A1433" s="7">
        <v>10795</v>
      </c>
      <c r="B1433" s="8">
        <v>16</v>
      </c>
      <c r="C1433" s="8">
        <v>17.45</v>
      </c>
      <c r="D1433" s="8">
        <v>65</v>
      </c>
      <c r="E1433" s="8">
        <v>0</v>
      </c>
    </row>
    <row r="1434" spans="1:5" x14ac:dyDescent="0.2">
      <c r="A1434" s="7">
        <v>10795</v>
      </c>
      <c r="B1434" s="8">
        <v>17</v>
      </c>
      <c r="C1434" s="8">
        <v>39</v>
      </c>
      <c r="D1434" s="8">
        <v>35</v>
      </c>
      <c r="E1434" s="8">
        <v>0.25</v>
      </c>
    </row>
    <row r="1435" spans="1:5" x14ac:dyDescent="0.2">
      <c r="A1435" s="7">
        <v>10796</v>
      </c>
      <c r="B1435" s="8">
        <v>26</v>
      </c>
      <c r="C1435" s="8">
        <v>31.23</v>
      </c>
      <c r="D1435" s="8">
        <v>21</v>
      </c>
      <c r="E1435" s="8">
        <v>0.2</v>
      </c>
    </row>
    <row r="1436" spans="1:5" x14ac:dyDescent="0.2">
      <c r="A1436" s="7">
        <v>10796</v>
      </c>
      <c r="B1436" s="8">
        <v>44</v>
      </c>
      <c r="C1436" s="8">
        <v>19.45</v>
      </c>
      <c r="D1436" s="8">
        <v>10</v>
      </c>
      <c r="E1436" s="8">
        <v>0</v>
      </c>
    </row>
    <row r="1437" spans="1:5" x14ac:dyDescent="0.2">
      <c r="A1437" s="7">
        <v>10796</v>
      </c>
      <c r="B1437" s="8">
        <v>64</v>
      </c>
      <c r="C1437" s="8">
        <v>33.25</v>
      </c>
      <c r="D1437" s="8">
        <v>35</v>
      </c>
      <c r="E1437" s="8">
        <v>0.2</v>
      </c>
    </row>
    <row r="1438" spans="1:5" x14ac:dyDescent="0.2">
      <c r="A1438" s="7">
        <v>10796</v>
      </c>
      <c r="B1438" s="8">
        <v>69</v>
      </c>
      <c r="C1438" s="8">
        <v>36</v>
      </c>
      <c r="D1438" s="8">
        <v>24</v>
      </c>
      <c r="E1438" s="8">
        <v>0.2</v>
      </c>
    </row>
    <row r="1439" spans="1:5" x14ac:dyDescent="0.2">
      <c r="A1439" s="7">
        <v>10797</v>
      </c>
      <c r="B1439" s="8">
        <v>11</v>
      </c>
      <c r="C1439" s="8">
        <v>21</v>
      </c>
      <c r="D1439" s="8">
        <v>20</v>
      </c>
      <c r="E1439" s="8">
        <v>0</v>
      </c>
    </row>
    <row r="1440" spans="1:5" x14ac:dyDescent="0.2">
      <c r="A1440" s="7">
        <v>10798</v>
      </c>
      <c r="B1440" s="8">
        <v>62</v>
      </c>
      <c r="C1440" s="8">
        <v>49.3</v>
      </c>
      <c r="D1440" s="8">
        <v>2</v>
      </c>
      <c r="E1440" s="8">
        <v>0</v>
      </c>
    </row>
    <row r="1441" spans="1:5" x14ac:dyDescent="0.2">
      <c r="A1441" s="7">
        <v>10798</v>
      </c>
      <c r="B1441" s="8">
        <v>72</v>
      </c>
      <c r="C1441" s="8">
        <v>34.799999999999997</v>
      </c>
      <c r="D1441" s="8">
        <v>10</v>
      </c>
      <c r="E1441" s="8">
        <v>0</v>
      </c>
    </row>
    <row r="1442" spans="1:5" x14ac:dyDescent="0.2">
      <c r="A1442" s="7">
        <v>10799</v>
      </c>
      <c r="B1442" s="8">
        <v>13</v>
      </c>
      <c r="C1442" s="8">
        <v>6</v>
      </c>
      <c r="D1442" s="8">
        <v>20</v>
      </c>
      <c r="E1442" s="8">
        <v>0.15</v>
      </c>
    </row>
    <row r="1443" spans="1:5" x14ac:dyDescent="0.2">
      <c r="A1443" s="7">
        <v>10799</v>
      </c>
      <c r="B1443" s="8">
        <v>24</v>
      </c>
      <c r="C1443" s="8">
        <v>4.5</v>
      </c>
      <c r="D1443" s="8">
        <v>20</v>
      </c>
      <c r="E1443" s="8">
        <v>0.15</v>
      </c>
    </row>
    <row r="1444" spans="1:5" x14ac:dyDescent="0.2">
      <c r="A1444" s="7">
        <v>10799</v>
      </c>
      <c r="B1444" s="8">
        <v>59</v>
      </c>
      <c r="C1444" s="8">
        <v>55</v>
      </c>
      <c r="D1444" s="8">
        <v>25</v>
      </c>
      <c r="E1444" s="8">
        <v>0</v>
      </c>
    </row>
    <row r="1445" spans="1:5" x14ac:dyDescent="0.2">
      <c r="A1445" s="7">
        <v>10800</v>
      </c>
      <c r="B1445" s="8">
        <v>11</v>
      </c>
      <c r="C1445" s="8">
        <v>21</v>
      </c>
      <c r="D1445" s="8">
        <v>50</v>
      </c>
      <c r="E1445" s="8">
        <v>0.1</v>
      </c>
    </row>
    <row r="1446" spans="1:5" x14ac:dyDescent="0.2">
      <c r="A1446" s="7">
        <v>10800</v>
      </c>
      <c r="B1446" s="8">
        <v>51</v>
      </c>
      <c r="C1446" s="8">
        <v>53</v>
      </c>
      <c r="D1446" s="8">
        <v>10</v>
      </c>
      <c r="E1446" s="8">
        <v>0.1</v>
      </c>
    </row>
    <row r="1447" spans="1:5" x14ac:dyDescent="0.2">
      <c r="A1447" s="7">
        <v>10800</v>
      </c>
      <c r="B1447" s="8">
        <v>54</v>
      </c>
      <c r="C1447" s="8">
        <v>7.45</v>
      </c>
      <c r="D1447" s="8">
        <v>7</v>
      </c>
      <c r="E1447" s="8">
        <v>0.1</v>
      </c>
    </row>
    <row r="1448" spans="1:5" x14ac:dyDescent="0.2">
      <c r="A1448" s="7">
        <v>10801</v>
      </c>
      <c r="B1448" s="8">
        <v>17</v>
      </c>
      <c r="C1448" s="8">
        <v>39</v>
      </c>
      <c r="D1448" s="8">
        <v>40</v>
      </c>
      <c r="E1448" s="8">
        <v>0.25</v>
      </c>
    </row>
    <row r="1449" spans="1:5" x14ac:dyDescent="0.2">
      <c r="A1449" s="7">
        <v>10801</v>
      </c>
      <c r="B1449" s="8">
        <v>29</v>
      </c>
      <c r="C1449" s="8">
        <v>123.79</v>
      </c>
      <c r="D1449" s="8">
        <v>20</v>
      </c>
      <c r="E1449" s="8">
        <v>0.25</v>
      </c>
    </row>
    <row r="1450" spans="1:5" x14ac:dyDescent="0.2">
      <c r="A1450" s="7">
        <v>10802</v>
      </c>
      <c r="B1450" s="8">
        <v>30</v>
      </c>
      <c r="C1450" s="8">
        <v>25.89</v>
      </c>
      <c r="D1450" s="8">
        <v>25</v>
      </c>
      <c r="E1450" s="8">
        <v>0.25</v>
      </c>
    </row>
    <row r="1451" spans="1:5" x14ac:dyDescent="0.2">
      <c r="A1451" s="7">
        <v>10802</v>
      </c>
      <c r="B1451" s="8">
        <v>51</v>
      </c>
      <c r="C1451" s="8">
        <v>53</v>
      </c>
      <c r="D1451" s="8">
        <v>30</v>
      </c>
      <c r="E1451" s="8">
        <v>0.25</v>
      </c>
    </row>
    <row r="1452" spans="1:5" x14ac:dyDescent="0.2">
      <c r="A1452" s="7">
        <v>10802</v>
      </c>
      <c r="B1452" s="8">
        <v>55</v>
      </c>
      <c r="C1452" s="8">
        <v>24</v>
      </c>
      <c r="D1452" s="8">
        <v>60</v>
      </c>
      <c r="E1452" s="8">
        <v>0.25</v>
      </c>
    </row>
    <row r="1453" spans="1:5" x14ac:dyDescent="0.2">
      <c r="A1453" s="7">
        <v>10802</v>
      </c>
      <c r="B1453" s="8">
        <v>62</v>
      </c>
      <c r="C1453" s="8">
        <v>49.3</v>
      </c>
      <c r="D1453" s="8">
        <v>5</v>
      </c>
      <c r="E1453" s="8">
        <v>0.25</v>
      </c>
    </row>
    <row r="1454" spans="1:5" x14ac:dyDescent="0.2">
      <c r="A1454" s="7">
        <v>10803</v>
      </c>
      <c r="B1454" s="8">
        <v>19</v>
      </c>
      <c r="C1454" s="8">
        <v>9.1999999999999993</v>
      </c>
      <c r="D1454" s="8">
        <v>24</v>
      </c>
      <c r="E1454" s="8">
        <v>0.05</v>
      </c>
    </row>
    <row r="1455" spans="1:5" x14ac:dyDescent="0.2">
      <c r="A1455" s="7">
        <v>10803</v>
      </c>
      <c r="B1455" s="8">
        <v>25</v>
      </c>
      <c r="C1455" s="8">
        <v>14</v>
      </c>
      <c r="D1455" s="8">
        <v>15</v>
      </c>
      <c r="E1455" s="8">
        <v>0.05</v>
      </c>
    </row>
    <row r="1456" spans="1:5" x14ac:dyDescent="0.2">
      <c r="A1456" s="7">
        <v>10803</v>
      </c>
      <c r="B1456" s="8">
        <v>59</v>
      </c>
      <c r="C1456" s="8">
        <v>55</v>
      </c>
      <c r="D1456" s="8">
        <v>15</v>
      </c>
      <c r="E1456" s="8">
        <v>0.05</v>
      </c>
    </row>
    <row r="1457" spans="1:5" x14ac:dyDescent="0.2">
      <c r="A1457" s="7">
        <v>10804</v>
      </c>
      <c r="B1457" s="8">
        <v>10</v>
      </c>
      <c r="C1457" s="8">
        <v>31</v>
      </c>
      <c r="D1457" s="8">
        <v>36</v>
      </c>
      <c r="E1457" s="8">
        <v>0</v>
      </c>
    </row>
    <row r="1458" spans="1:5" x14ac:dyDescent="0.2">
      <c r="A1458" s="7">
        <v>10804</v>
      </c>
      <c r="B1458" s="8">
        <v>28</v>
      </c>
      <c r="C1458" s="8">
        <v>45.6</v>
      </c>
      <c r="D1458" s="8">
        <v>24</v>
      </c>
      <c r="E1458" s="8">
        <v>0</v>
      </c>
    </row>
    <row r="1459" spans="1:5" x14ac:dyDescent="0.2">
      <c r="A1459" s="7">
        <v>10804</v>
      </c>
      <c r="B1459" s="8">
        <v>49</v>
      </c>
      <c r="C1459" s="8">
        <v>20</v>
      </c>
      <c r="D1459" s="8">
        <v>4</v>
      </c>
      <c r="E1459" s="8">
        <v>0.15</v>
      </c>
    </row>
    <row r="1460" spans="1:5" x14ac:dyDescent="0.2">
      <c r="A1460" s="7">
        <v>10805</v>
      </c>
      <c r="B1460" s="8">
        <v>34</v>
      </c>
      <c r="C1460" s="8">
        <v>14</v>
      </c>
      <c r="D1460" s="8">
        <v>10</v>
      </c>
      <c r="E1460" s="8">
        <v>0</v>
      </c>
    </row>
    <row r="1461" spans="1:5" x14ac:dyDescent="0.2">
      <c r="A1461" s="7">
        <v>10805</v>
      </c>
      <c r="B1461" s="8">
        <v>38</v>
      </c>
      <c r="C1461" s="8">
        <v>263.5</v>
      </c>
      <c r="D1461" s="8">
        <v>10</v>
      </c>
      <c r="E1461" s="8">
        <v>0</v>
      </c>
    </row>
    <row r="1462" spans="1:5" x14ac:dyDescent="0.2">
      <c r="A1462" s="7">
        <v>10806</v>
      </c>
      <c r="B1462" s="8">
        <v>2</v>
      </c>
      <c r="C1462" s="8">
        <v>19</v>
      </c>
      <c r="D1462" s="8">
        <v>20</v>
      </c>
      <c r="E1462" s="8">
        <v>0.25</v>
      </c>
    </row>
    <row r="1463" spans="1:5" x14ac:dyDescent="0.2">
      <c r="A1463" s="7">
        <v>10806</v>
      </c>
      <c r="B1463" s="8">
        <v>65</v>
      </c>
      <c r="C1463" s="8">
        <v>21.05</v>
      </c>
      <c r="D1463" s="8">
        <v>2</v>
      </c>
      <c r="E1463" s="8">
        <v>0</v>
      </c>
    </row>
    <row r="1464" spans="1:5" x14ac:dyDescent="0.2">
      <c r="A1464" s="7">
        <v>10806</v>
      </c>
      <c r="B1464" s="8">
        <v>74</v>
      </c>
      <c r="C1464" s="8">
        <v>10</v>
      </c>
      <c r="D1464" s="8">
        <v>15</v>
      </c>
      <c r="E1464" s="8">
        <v>0.25</v>
      </c>
    </row>
    <row r="1465" spans="1:5" x14ac:dyDescent="0.2">
      <c r="A1465" s="7">
        <v>10807</v>
      </c>
      <c r="B1465" s="8">
        <v>40</v>
      </c>
      <c r="C1465" s="8">
        <v>18.399999999999999</v>
      </c>
      <c r="D1465" s="8">
        <v>1</v>
      </c>
      <c r="E1465" s="8">
        <v>0</v>
      </c>
    </row>
    <row r="1466" spans="1:5" x14ac:dyDescent="0.2">
      <c r="A1466" s="7">
        <v>10808</v>
      </c>
      <c r="B1466" s="8">
        <v>56</v>
      </c>
      <c r="C1466" s="8">
        <v>38</v>
      </c>
      <c r="D1466" s="8">
        <v>20</v>
      </c>
      <c r="E1466" s="8">
        <v>0.15</v>
      </c>
    </row>
    <row r="1467" spans="1:5" x14ac:dyDescent="0.2">
      <c r="A1467" s="7">
        <v>10808</v>
      </c>
      <c r="B1467" s="8">
        <v>76</v>
      </c>
      <c r="C1467" s="8">
        <v>18</v>
      </c>
      <c r="D1467" s="8">
        <v>50</v>
      </c>
      <c r="E1467" s="8">
        <v>0.15</v>
      </c>
    </row>
    <row r="1468" spans="1:5" x14ac:dyDescent="0.2">
      <c r="A1468" s="7">
        <v>10809</v>
      </c>
      <c r="B1468" s="8">
        <v>52</v>
      </c>
      <c r="C1468" s="8">
        <v>7</v>
      </c>
      <c r="D1468" s="8">
        <v>20</v>
      </c>
      <c r="E1468" s="8">
        <v>0</v>
      </c>
    </row>
    <row r="1469" spans="1:5" x14ac:dyDescent="0.2">
      <c r="A1469" s="7">
        <v>10810</v>
      </c>
      <c r="B1469" s="8">
        <v>13</v>
      </c>
      <c r="C1469" s="8">
        <v>6</v>
      </c>
      <c r="D1469" s="8">
        <v>7</v>
      </c>
      <c r="E1469" s="8">
        <v>0</v>
      </c>
    </row>
    <row r="1470" spans="1:5" x14ac:dyDescent="0.2">
      <c r="A1470" s="7">
        <v>10810</v>
      </c>
      <c r="B1470" s="8">
        <v>25</v>
      </c>
      <c r="C1470" s="8">
        <v>14</v>
      </c>
      <c r="D1470" s="8">
        <v>5</v>
      </c>
      <c r="E1470" s="8">
        <v>0</v>
      </c>
    </row>
    <row r="1471" spans="1:5" x14ac:dyDescent="0.2">
      <c r="A1471" s="7">
        <v>10810</v>
      </c>
      <c r="B1471" s="8">
        <v>70</v>
      </c>
      <c r="C1471" s="8">
        <v>15</v>
      </c>
      <c r="D1471" s="8">
        <v>5</v>
      </c>
      <c r="E1471" s="8">
        <v>0</v>
      </c>
    </row>
    <row r="1472" spans="1:5" x14ac:dyDescent="0.2">
      <c r="A1472" s="7">
        <v>10811</v>
      </c>
      <c r="B1472" s="8">
        <v>19</v>
      </c>
      <c r="C1472" s="8">
        <v>9.1999999999999993</v>
      </c>
      <c r="D1472" s="8">
        <v>15</v>
      </c>
      <c r="E1472" s="8">
        <v>0</v>
      </c>
    </row>
    <row r="1473" spans="1:5" x14ac:dyDescent="0.2">
      <c r="A1473" s="7">
        <v>10811</v>
      </c>
      <c r="B1473" s="8">
        <v>23</v>
      </c>
      <c r="C1473" s="8">
        <v>9</v>
      </c>
      <c r="D1473" s="8">
        <v>18</v>
      </c>
      <c r="E1473" s="8">
        <v>0</v>
      </c>
    </row>
    <row r="1474" spans="1:5" x14ac:dyDescent="0.2">
      <c r="A1474" s="7">
        <v>10811</v>
      </c>
      <c r="B1474" s="8">
        <v>40</v>
      </c>
      <c r="C1474" s="8">
        <v>18.399999999999999</v>
      </c>
      <c r="D1474" s="8">
        <v>30</v>
      </c>
      <c r="E1474" s="8">
        <v>0</v>
      </c>
    </row>
    <row r="1475" spans="1:5" x14ac:dyDescent="0.2">
      <c r="A1475" s="7">
        <v>10812</v>
      </c>
      <c r="B1475" s="8">
        <v>31</v>
      </c>
      <c r="C1475" s="8">
        <v>12.5</v>
      </c>
      <c r="D1475" s="8">
        <v>16</v>
      </c>
      <c r="E1475" s="8">
        <v>0.1</v>
      </c>
    </row>
    <row r="1476" spans="1:5" x14ac:dyDescent="0.2">
      <c r="A1476" s="7">
        <v>10812</v>
      </c>
      <c r="B1476" s="8">
        <v>72</v>
      </c>
      <c r="C1476" s="8">
        <v>34.799999999999997</v>
      </c>
      <c r="D1476" s="8">
        <v>40</v>
      </c>
      <c r="E1476" s="8">
        <v>0.1</v>
      </c>
    </row>
    <row r="1477" spans="1:5" x14ac:dyDescent="0.2">
      <c r="A1477" s="7">
        <v>10812</v>
      </c>
      <c r="B1477" s="8">
        <v>77</v>
      </c>
      <c r="C1477" s="8">
        <v>13</v>
      </c>
      <c r="D1477" s="8">
        <v>20</v>
      </c>
      <c r="E1477" s="8">
        <v>0</v>
      </c>
    </row>
    <row r="1478" spans="1:5" x14ac:dyDescent="0.2">
      <c r="A1478" s="7">
        <v>10813</v>
      </c>
      <c r="B1478" s="8">
        <v>2</v>
      </c>
      <c r="C1478" s="8">
        <v>19</v>
      </c>
      <c r="D1478" s="8">
        <v>12</v>
      </c>
      <c r="E1478" s="8">
        <v>0.2</v>
      </c>
    </row>
    <row r="1479" spans="1:5" x14ac:dyDescent="0.2">
      <c r="A1479" s="7">
        <v>10813</v>
      </c>
      <c r="B1479" s="8">
        <v>46</v>
      </c>
      <c r="C1479" s="8">
        <v>12</v>
      </c>
      <c r="D1479" s="8">
        <v>35</v>
      </c>
      <c r="E1479" s="8">
        <v>0</v>
      </c>
    </row>
    <row r="1480" spans="1:5" x14ac:dyDescent="0.2">
      <c r="A1480" s="7">
        <v>10814</v>
      </c>
      <c r="B1480" s="8">
        <v>41</v>
      </c>
      <c r="C1480" s="8">
        <v>9.65</v>
      </c>
      <c r="D1480" s="8">
        <v>20</v>
      </c>
      <c r="E1480" s="8">
        <v>0</v>
      </c>
    </row>
    <row r="1481" spans="1:5" x14ac:dyDescent="0.2">
      <c r="A1481" s="7">
        <v>10814</v>
      </c>
      <c r="B1481" s="8">
        <v>43</v>
      </c>
      <c r="C1481" s="8">
        <v>46</v>
      </c>
      <c r="D1481" s="8">
        <v>20</v>
      </c>
      <c r="E1481" s="8">
        <v>0.15</v>
      </c>
    </row>
    <row r="1482" spans="1:5" x14ac:dyDescent="0.2">
      <c r="A1482" s="7">
        <v>10814</v>
      </c>
      <c r="B1482" s="8">
        <v>48</v>
      </c>
      <c r="C1482" s="8">
        <v>12.75</v>
      </c>
      <c r="D1482" s="8">
        <v>8</v>
      </c>
      <c r="E1482" s="8">
        <v>0.15</v>
      </c>
    </row>
    <row r="1483" spans="1:5" x14ac:dyDescent="0.2">
      <c r="A1483" s="7">
        <v>10814</v>
      </c>
      <c r="B1483" s="8">
        <v>61</v>
      </c>
      <c r="C1483" s="8">
        <v>28.5</v>
      </c>
      <c r="D1483" s="8">
        <v>30</v>
      </c>
      <c r="E1483" s="8">
        <v>0.15</v>
      </c>
    </row>
    <row r="1484" spans="1:5" x14ac:dyDescent="0.2">
      <c r="A1484" s="7">
        <v>10815</v>
      </c>
      <c r="B1484" s="8">
        <v>33</v>
      </c>
      <c r="C1484" s="8">
        <v>2.5</v>
      </c>
      <c r="D1484" s="8">
        <v>16</v>
      </c>
      <c r="E1484" s="8">
        <v>0</v>
      </c>
    </row>
    <row r="1485" spans="1:5" x14ac:dyDescent="0.2">
      <c r="A1485" s="7">
        <v>10816</v>
      </c>
      <c r="B1485" s="8">
        <v>38</v>
      </c>
      <c r="C1485" s="8">
        <v>263.5</v>
      </c>
      <c r="D1485" s="8">
        <v>30</v>
      </c>
      <c r="E1485" s="8">
        <v>0.05</v>
      </c>
    </row>
    <row r="1486" spans="1:5" x14ac:dyDescent="0.2">
      <c r="A1486" s="7">
        <v>10816</v>
      </c>
      <c r="B1486" s="8">
        <v>62</v>
      </c>
      <c r="C1486" s="8">
        <v>49.3</v>
      </c>
      <c r="D1486" s="8">
        <v>20</v>
      </c>
      <c r="E1486" s="8">
        <v>0.05</v>
      </c>
    </row>
    <row r="1487" spans="1:5" x14ac:dyDescent="0.2">
      <c r="A1487" s="7">
        <v>10817</v>
      </c>
      <c r="B1487" s="8">
        <v>26</v>
      </c>
      <c r="C1487" s="8">
        <v>31.23</v>
      </c>
      <c r="D1487" s="8">
        <v>40</v>
      </c>
      <c r="E1487" s="8">
        <v>0.15</v>
      </c>
    </row>
    <row r="1488" spans="1:5" x14ac:dyDescent="0.2">
      <c r="A1488" s="7">
        <v>10817</v>
      </c>
      <c r="B1488" s="8">
        <v>38</v>
      </c>
      <c r="C1488" s="8">
        <v>263.5</v>
      </c>
      <c r="D1488" s="8">
        <v>30</v>
      </c>
      <c r="E1488" s="8">
        <v>0</v>
      </c>
    </row>
    <row r="1489" spans="1:5" x14ac:dyDescent="0.2">
      <c r="A1489" s="7">
        <v>10817</v>
      </c>
      <c r="B1489" s="8">
        <v>40</v>
      </c>
      <c r="C1489" s="8">
        <v>18.399999999999999</v>
      </c>
      <c r="D1489" s="8">
        <v>60</v>
      </c>
      <c r="E1489" s="8">
        <v>0.15</v>
      </c>
    </row>
    <row r="1490" spans="1:5" x14ac:dyDescent="0.2">
      <c r="A1490" s="7">
        <v>10817</v>
      </c>
      <c r="B1490" s="8">
        <v>62</v>
      </c>
      <c r="C1490" s="8">
        <v>49.3</v>
      </c>
      <c r="D1490" s="8">
        <v>25</v>
      </c>
      <c r="E1490" s="8">
        <v>0.15</v>
      </c>
    </row>
    <row r="1491" spans="1:5" x14ac:dyDescent="0.2">
      <c r="A1491" s="7">
        <v>10818</v>
      </c>
      <c r="B1491" s="8">
        <v>32</v>
      </c>
      <c r="C1491" s="8">
        <v>32</v>
      </c>
      <c r="D1491" s="8">
        <v>20</v>
      </c>
      <c r="E1491" s="8">
        <v>0</v>
      </c>
    </row>
    <row r="1492" spans="1:5" x14ac:dyDescent="0.2">
      <c r="A1492" s="7">
        <v>10818</v>
      </c>
      <c r="B1492" s="8">
        <v>41</v>
      </c>
      <c r="C1492" s="8">
        <v>9.65</v>
      </c>
      <c r="D1492" s="8">
        <v>20</v>
      </c>
      <c r="E1492" s="8">
        <v>0</v>
      </c>
    </row>
    <row r="1493" spans="1:5" x14ac:dyDescent="0.2">
      <c r="A1493" s="7">
        <v>10819</v>
      </c>
      <c r="B1493" s="8">
        <v>43</v>
      </c>
      <c r="C1493" s="8">
        <v>46</v>
      </c>
      <c r="D1493" s="8">
        <v>7</v>
      </c>
      <c r="E1493" s="8">
        <v>0</v>
      </c>
    </row>
    <row r="1494" spans="1:5" x14ac:dyDescent="0.2">
      <c r="A1494" s="7">
        <v>10819</v>
      </c>
      <c r="B1494" s="8">
        <v>75</v>
      </c>
      <c r="C1494" s="8">
        <v>7.75</v>
      </c>
      <c r="D1494" s="8">
        <v>20</v>
      </c>
      <c r="E1494" s="8">
        <v>0</v>
      </c>
    </row>
    <row r="1495" spans="1:5" x14ac:dyDescent="0.2">
      <c r="A1495" s="7">
        <v>10820</v>
      </c>
      <c r="B1495" s="8">
        <v>56</v>
      </c>
      <c r="C1495" s="8">
        <v>38</v>
      </c>
      <c r="D1495" s="8">
        <v>30</v>
      </c>
      <c r="E1495" s="8">
        <v>0</v>
      </c>
    </row>
    <row r="1496" spans="1:5" x14ac:dyDescent="0.2">
      <c r="A1496" s="7">
        <v>10821</v>
      </c>
      <c r="B1496" s="8">
        <v>35</v>
      </c>
      <c r="C1496" s="8">
        <v>18</v>
      </c>
      <c r="D1496" s="8">
        <v>20</v>
      </c>
      <c r="E1496" s="8">
        <v>0</v>
      </c>
    </row>
    <row r="1497" spans="1:5" x14ac:dyDescent="0.2">
      <c r="A1497" s="7">
        <v>10821</v>
      </c>
      <c r="B1497" s="8">
        <v>51</v>
      </c>
      <c r="C1497" s="8">
        <v>53</v>
      </c>
      <c r="D1497" s="8">
        <v>6</v>
      </c>
      <c r="E1497" s="8">
        <v>0</v>
      </c>
    </row>
    <row r="1498" spans="1:5" x14ac:dyDescent="0.2">
      <c r="A1498" s="7">
        <v>10822</v>
      </c>
      <c r="B1498" s="8">
        <v>62</v>
      </c>
      <c r="C1498" s="8">
        <v>49.3</v>
      </c>
      <c r="D1498" s="8">
        <v>3</v>
      </c>
      <c r="E1498" s="8">
        <v>0</v>
      </c>
    </row>
    <row r="1499" spans="1:5" x14ac:dyDescent="0.2">
      <c r="A1499" s="7">
        <v>10822</v>
      </c>
      <c r="B1499" s="8">
        <v>70</v>
      </c>
      <c r="C1499" s="8">
        <v>15</v>
      </c>
      <c r="D1499" s="8">
        <v>6</v>
      </c>
      <c r="E1499" s="8">
        <v>0</v>
      </c>
    </row>
    <row r="1500" spans="1:5" x14ac:dyDescent="0.2">
      <c r="A1500" s="7">
        <v>10823</v>
      </c>
      <c r="B1500" s="8">
        <v>11</v>
      </c>
      <c r="C1500" s="8">
        <v>21</v>
      </c>
      <c r="D1500" s="8">
        <v>20</v>
      </c>
      <c r="E1500" s="8">
        <v>0.1</v>
      </c>
    </row>
    <row r="1501" spans="1:5" x14ac:dyDescent="0.2">
      <c r="A1501" s="7">
        <v>10823</v>
      </c>
      <c r="B1501" s="8">
        <v>57</v>
      </c>
      <c r="C1501" s="8">
        <v>19.5</v>
      </c>
      <c r="D1501" s="8">
        <v>15</v>
      </c>
      <c r="E1501" s="8">
        <v>0</v>
      </c>
    </row>
    <row r="1502" spans="1:5" x14ac:dyDescent="0.2">
      <c r="A1502" s="7">
        <v>10823</v>
      </c>
      <c r="B1502" s="8">
        <v>59</v>
      </c>
      <c r="C1502" s="8">
        <v>55</v>
      </c>
      <c r="D1502" s="8">
        <v>40</v>
      </c>
      <c r="E1502" s="8">
        <v>0.1</v>
      </c>
    </row>
    <row r="1503" spans="1:5" x14ac:dyDescent="0.2">
      <c r="A1503" s="7">
        <v>10823</v>
      </c>
      <c r="B1503" s="8">
        <v>77</v>
      </c>
      <c r="C1503" s="8">
        <v>13</v>
      </c>
      <c r="D1503" s="8">
        <v>15</v>
      </c>
      <c r="E1503" s="8">
        <v>0.1</v>
      </c>
    </row>
    <row r="1504" spans="1:5" x14ac:dyDescent="0.2">
      <c r="A1504" s="7">
        <v>10824</v>
      </c>
      <c r="B1504" s="8">
        <v>41</v>
      </c>
      <c r="C1504" s="8">
        <v>9.65</v>
      </c>
      <c r="D1504" s="8">
        <v>12</v>
      </c>
      <c r="E1504" s="8">
        <v>0</v>
      </c>
    </row>
    <row r="1505" spans="1:5" x14ac:dyDescent="0.2">
      <c r="A1505" s="7">
        <v>10824</v>
      </c>
      <c r="B1505" s="8">
        <v>70</v>
      </c>
      <c r="C1505" s="8">
        <v>15</v>
      </c>
      <c r="D1505" s="8">
        <v>9</v>
      </c>
      <c r="E1505" s="8">
        <v>0</v>
      </c>
    </row>
    <row r="1506" spans="1:5" x14ac:dyDescent="0.2">
      <c r="A1506" s="7">
        <v>10825</v>
      </c>
      <c r="B1506" s="8">
        <v>26</v>
      </c>
      <c r="C1506" s="8">
        <v>31.23</v>
      </c>
      <c r="D1506" s="8">
        <v>12</v>
      </c>
      <c r="E1506" s="8">
        <v>0</v>
      </c>
    </row>
    <row r="1507" spans="1:5" x14ac:dyDescent="0.2">
      <c r="A1507" s="7">
        <v>10825</v>
      </c>
      <c r="B1507" s="8">
        <v>53</v>
      </c>
      <c r="C1507" s="8">
        <v>32.799999999999997</v>
      </c>
      <c r="D1507" s="8">
        <v>20</v>
      </c>
      <c r="E1507" s="8">
        <v>0</v>
      </c>
    </row>
    <row r="1508" spans="1:5" x14ac:dyDescent="0.2">
      <c r="A1508" s="7">
        <v>10826</v>
      </c>
      <c r="B1508" s="8">
        <v>31</v>
      </c>
      <c r="C1508" s="8">
        <v>12.5</v>
      </c>
      <c r="D1508" s="8">
        <v>35</v>
      </c>
      <c r="E1508" s="8">
        <v>0</v>
      </c>
    </row>
    <row r="1509" spans="1:5" x14ac:dyDescent="0.2">
      <c r="A1509" s="7">
        <v>10826</v>
      </c>
      <c r="B1509" s="8">
        <v>57</v>
      </c>
      <c r="C1509" s="8">
        <v>19.5</v>
      </c>
      <c r="D1509" s="8">
        <v>15</v>
      </c>
      <c r="E1509" s="8">
        <v>0</v>
      </c>
    </row>
    <row r="1510" spans="1:5" x14ac:dyDescent="0.2">
      <c r="A1510" s="7">
        <v>10827</v>
      </c>
      <c r="B1510" s="8">
        <v>10</v>
      </c>
      <c r="C1510" s="8">
        <v>31</v>
      </c>
      <c r="D1510" s="8">
        <v>15</v>
      </c>
      <c r="E1510" s="8">
        <v>0</v>
      </c>
    </row>
    <row r="1511" spans="1:5" x14ac:dyDescent="0.2">
      <c r="A1511" s="7">
        <v>10827</v>
      </c>
      <c r="B1511" s="8">
        <v>39</v>
      </c>
      <c r="C1511" s="8">
        <v>18</v>
      </c>
      <c r="D1511" s="8">
        <v>21</v>
      </c>
      <c r="E1511" s="8">
        <v>0</v>
      </c>
    </row>
    <row r="1512" spans="1:5" x14ac:dyDescent="0.2">
      <c r="A1512" s="7">
        <v>10828</v>
      </c>
      <c r="B1512" s="8">
        <v>20</v>
      </c>
      <c r="C1512" s="8">
        <v>81</v>
      </c>
      <c r="D1512" s="8">
        <v>5</v>
      </c>
      <c r="E1512" s="8">
        <v>0</v>
      </c>
    </row>
    <row r="1513" spans="1:5" x14ac:dyDescent="0.2">
      <c r="A1513" s="7">
        <v>10828</v>
      </c>
      <c r="B1513" s="8">
        <v>38</v>
      </c>
      <c r="C1513" s="8">
        <v>263.5</v>
      </c>
      <c r="D1513" s="8">
        <v>2</v>
      </c>
      <c r="E1513" s="8">
        <v>0</v>
      </c>
    </row>
    <row r="1514" spans="1:5" x14ac:dyDescent="0.2">
      <c r="A1514" s="7">
        <v>10829</v>
      </c>
      <c r="B1514" s="8">
        <v>2</v>
      </c>
      <c r="C1514" s="8">
        <v>19</v>
      </c>
      <c r="D1514" s="8">
        <v>10</v>
      </c>
      <c r="E1514" s="8">
        <v>0</v>
      </c>
    </row>
    <row r="1515" spans="1:5" x14ac:dyDescent="0.2">
      <c r="A1515" s="7">
        <v>10829</v>
      </c>
      <c r="B1515" s="8">
        <v>8</v>
      </c>
      <c r="C1515" s="8">
        <v>40</v>
      </c>
      <c r="D1515" s="8">
        <v>20</v>
      </c>
      <c r="E1515" s="8">
        <v>0</v>
      </c>
    </row>
    <row r="1516" spans="1:5" x14ac:dyDescent="0.2">
      <c r="A1516" s="7">
        <v>10829</v>
      </c>
      <c r="B1516" s="8">
        <v>13</v>
      </c>
      <c r="C1516" s="8">
        <v>6</v>
      </c>
      <c r="D1516" s="8">
        <v>10</v>
      </c>
      <c r="E1516" s="8">
        <v>0</v>
      </c>
    </row>
    <row r="1517" spans="1:5" x14ac:dyDescent="0.2">
      <c r="A1517" s="7">
        <v>10829</v>
      </c>
      <c r="B1517" s="8">
        <v>60</v>
      </c>
      <c r="C1517" s="8">
        <v>34</v>
      </c>
      <c r="D1517" s="8">
        <v>21</v>
      </c>
      <c r="E1517" s="8">
        <v>0</v>
      </c>
    </row>
    <row r="1518" spans="1:5" x14ac:dyDescent="0.2">
      <c r="A1518" s="7">
        <v>10830</v>
      </c>
      <c r="B1518" s="8">
        <v>6</v>
      </c>
      <c r="C1518" s="8">
        <v>25</v>
      </c>
      <c r="D1518" s="8">
        <v>6</v>
      </c>
      <c r="E1518" s="8">
        <v>0</v>
      </c>
    </row>
    <row r="1519" spans="1:5" x14ac:dyDescent="0.2">
      <c r="A1519" s="7">
        <v>10830</v>
      </c>
      <c r="B1519" s="8">
        <v>39</v>
      </c>
      <c r="C1519" s="8">
        <v>18</v>
      </c>
      <c r="D1519" s="8">
        <v>28</v>
      </c>
      <c r="E1519" s="8">
        <v>0</v>
      </c>
    </row>
    <row r="1520" spans="1:5" x14ac:dyDescent="0.2">
      <c r="A1520" s="7">
        <v>10830</v>
      </c>
      <c r="B1520" s="8">
        <v>60</v>
      </c>
      <c r="C1520" s="8">
        <v>34</v>
      </c>
      <c r="D1520" s="8">
        <v>30</v>
      </c>
      <c r="E1520" s="8">
        <v>0</v>
      </c>
    </row>
    <row r="1521" spans="1:5" x14ac:dyDescent="0.2">
      <c r="A1521" s="7">
        <v>10830</v>
      </c>
      <c r="B1521" s="8">
        <v>68</v>
      </c>
      <c r="C1521" s="8">
        <v>12.5</v>
      </c>
      <c r="D1521" s="8">
        <v>24</v>
      </c>
      <c r="E1521" s="8">
        <v>0</v>
      </c>
    </row>
    <row r="1522" spans="1:5" x14ac:dyDescent="0.2">
      <c r="A1522" s="7">
        <v>10831</v>
      </c>
      <c r="B1522" s="8">
        <v>19</v>
      </c>
      <c r="C1522" s="8">
        <v>9.1999999999999993</v>
      </c>
      <c r="D1522" s="8">
        <v>2</v>
      </c>
      <c r="E1522" s="8">
        <v>0</v>
      </c>
    </row>
    <row r="1523" spans="1:5" x14ac:dyDescent="0.2">
      <c r="A1523" s="7">
        <v>10831</v>
      </c>
      <c r="B1523" s="8">
        <v>35</v>
      </c>
      <c r="C1523" s="8">
        <v>18</v>
      </c>
      <c r="D1523" s="8">
        <v>8</v>
      </c>
      <c r="E1523" s="8">
        <v>0</v>
      </c>
    </row>
    <row r="1524" spans="1:5" x14ac:dyDescent="0.2">
      <c r="A1524" s="7">
        <v>10831</v>
      </c>
      <c r="B1524" s="8">
        <v>38</v>
      </c>
      <c r="C1524" s="8">
        <v>263.5</v>
      </c>
      <c r="D1524" s="8">
        <v>8</v>
      </c>
      <c r="E1524" s="8">
        <v>0</v>
      </c>
    </row>
    <row r="1525" spans="1:5" x14ac:dyDescent="0.2">
      <c r="A1525" s="7">
        <v>10831</v>
      </c>
      <c r="B1525" s="8">
        <v>43</v>
      </c>
      <c r="C1525" s="8">
        <v>46</v>
      </c>
      <c r="D1525" s="8">
        <v>9</v>
      </c>
      <c r="E1525" s="8">
        <v>0</v>
      </c>
    </row>
    <row r="1526" spans="1:5" x14ac:dyDescent="0.2">
      <c r="A1526" s="7">
        <v>10832</v>
      </c>
      <c r="B1526" s="8">
        <v>13</v>
      </c>
      <c r="C1526" s="8">
        <v>6</v>
      </c>
      <c r="D1526" s="8">
        <v>3</v>
      </c>
      <c r="E1526" s="8">
        <v>0.2</v>
      </c>
    </row>
    <row r="1527" spans="1:5" x14ac:dyDescent="0.2">
      <c r="A1527" s="7">
        <v>10832</v>
      </c>
      <c r="B1527" s="8">
        <v>25</v>
      </c>
      <c r="C1527" s="8">
        <v>14</v>
      </c>
      <c r="D1527" s="8">
        <v>10</v>
      </c>
      <c r="E1527" s="8">
        <v>0.2</v>
      </c>
    </row>
    <row r="1528" spans="1:5" x14ac:dyDescent="0.2">
      <c r="A1528" s="7">
        <v>10832</v>
      </c>
      <c r="B1528" s="8">
        <v>44</v>
      </c>
      <c r="C1528" s="8">
        <v>19.45</v>
      </c>
      <c r="D1528" s="8">
        <v>16</v>
      </c>
      <c r="E1528" s="8">
        <v>0.2</v>
      </c>
    </row>
    <row r="1529" spans="1:5" x14ac:dyDescent="0.2">
      <c r="A1529" s="7">
        <v>10832</v>
      </c>
      <c r="B1529" s="8">
        <v>64</v>
      </c>
      <c r="C1529" s="8">
        <v>33.25</v>
      </c>
      <c r="D1529" s="8">
        <v>3</v>
      </c>
      <c r="E1529" s="8">
        <v>0</v>
      </c>
    </row>
    <row r="1530" spans="1:5" x14ac:dyDescent="0.2">
      <c r="A1530" s="7">
        <v>10833</v>
      </c>
      <c r="B1530" s="8">
        <v>7</v>
      </c>
      <c r="C1530" s="8">
        <v>30</v>
      </c>
      <c r="D1530" s="8">
        <v>20</v>
      </c>
      <c r="E1530" s="8">
        <v>0.1</v>
      </c>
    </row>
    <row r="1531" spans="1:5" x14ac:dyDescent="0.2">
      <c r="A1531" s="7">
        <v>10833</v>
      </c>
      <c r="B1531" s="8">
        <v>31</v>
      </c>
      <c r="C1531" s="8">
        <v>12.5</v>
      </c>
      <c r="D1531" s="8">
        <v>9</v>
      </c>
      <c r="E1531" s="8">
        <v>0.1</v>
      </c>
    </row>
    <row r="1532" spans="1:5" x14ac:dyDescent="0.2">
      <c r="A1532" s="7">
        <v>10833</v>
      </c>
      <c r="B1532" s="8">
        <v>53</v>
      </c>
      <c r="C1532" s="8">
        <v>32.799999999999997</v>
      </c>
      <c r="D1532" s="8">
        <v>9</v>
      </c>
      <c r="E1532" s="8">
        <v>0.1</v>
      </c>
    </row>
    <row r="1533" spans="1:5" x14ac:dyDescent="0.2">
      <c r="A1533" s="7">
        <v>10834</v>
      </c>
      <c r="B1533" s="8">
        <v>29</v>
      </c>
      <c r="C1533" s="8">
        <v>123.79</v>
      </c>
      <c r="D1533" s="8">
        <v>8</v>
      </c>
      <c r="E1533" s="8">
        <v>0.05</v>
      </c>
    </row>
    <row r="1534" spans="1:5" x14ac:dyDescent="0.2">
      <c r="A1534" s="7">
        <v>10834</v>
      </c>
      <c r="B1534" s="8">
        <v>30</v>
      </c>
      <c r="C1534" s="8">
        <v>25.89</v>
      </c>
      <c r="D1534" s="8">
        <v>20</v>
      </c>
      <c r="E1534" s="8">
        <v>0.05</v>
      </c>
    </row>
    <row r="1535" spans="1:5" x14ac:dyDescent="0.2">
      <c r="A1535" s="7">
        <v>10835</v>
      </c>
      <c r="B1535" s="8">
        <v>59</v>
      </c>
      <c r="C1535" s="8">
        <v>55</v>
      </c>
      <c r="D1535" s="8">
        <v>15</v>
      </c>
      <c r="E1535" s="8">
        <v>0</v>
      </c>
    </row>
    <row r="1536" spans="1:5" x14ac:dyDescent="0.2">
      <c r="A1536" s="7">
        <v>10835</v>
      </c>
      <c r="B1536" s="8">
        <v>77</v>
      </c>
      <c r="C1536" s="8">
        <v>13</v>
      </c>
      <c r="D1536" s="8">
        <v>2</v>
      </c>
      <c r="E1536" s="8">
        <v>0.2</v>
      </c>
    </row>
    <row r="1537" spans="1:5" x14ac:dyDescent="0.2">
      <c r="A1537" s="7">
        <v>10836</v>
      </c>
      <c r="B1537" s="8">
        <v>22</v>
      </c>
      <c r="C1537" s="8">
        <v>21</v>
      </c>
      <c r="D1537" s="8">
        <v>52</v>
      </c>
      <c r="E1537" s="8">
        <v>0</v>
      </c>
    </row>
    <row r="1538" spans="1:5" x14ac:dyDescent="0.2">
      <c r="A1538" s="7">
        <v>10836</v>
      </c>
      <c r="B1538" s="8">
        <v>35</v>
      </c>
      <c r="C1538" s="8">
        <v>18</v>
      </c>
      <c r="D1538" s="8">
        <v>6</v>
      </c>
      <c r="E1538" s="8">
        <v>0</v>
      </c>
    </row>
    <row r="1539" spans="1:5" x14ac:dyDescent="0.2">
      <c r="A1539" s="7">
        <v>10836</v>
      </c>
      <c r="B1539" s="8">
        <v>57</v>
      </c>
      <c r="C1539" s="8">
        <v>19.5</v>
      </c>
      <c r="D1539" s="8">
        <v>24</v>
      </c>
      <c r="E1539" s="8">
        <v>0</v>
      </c>
    </row>
    <row r="1540" spans="1:5" x14ac:dyDescent="0.2">
      <c r="A1540" s="7">
        <v>10836</v>
      </c>
      <c r="B1540" s="8">
        <v>60</v>
      </c>
      <c r="C1540" s="8">
        <v>34</v>
      </c>
      <c r="D1540" s="8">
        <v>60</v>
      </c>
      <c r="E1540" s="8">
        <v>0</v>
      </c>
    </row>
    <row r="1541" spans="1:5" x14ac:dyDescent="0.2">
      <c r="A1541" s="7">
        <v>10836</v>
      </c>
      <c r="B1541" s="8">
        <v>64</v>
      </c>
      <c r="C1541" s="8">
        <v>33.25</v>
      </c>
      <c r="D1541" s="8">
        <v>30</v>
      </c>
      <c r="E1541" s="8">
        <v>0</v>
      </c>
    </row>
    <row r="1542" spans="1:5" x14ac:dyDescent="0.2">
      <c r="A1542" s="7">
        <v>10837</v>
      </c>
      <c r="B1542" s="8">
        <v>13</v>
      </c>
      <c r="C1542" s="8">
        <v>6</v>
      </c>
      <c r="D1542" s="8">
        <v>6</v>
      </c>
      <c r="E1542" s="8">
        <v>0</v>
      </c>
    </row>
    <row r="1543" spans="1:5" x14ac:dyDescent="0.2">
      <c r="A1543" s="7">
        <v>10837</v>
      </c>
      <c r="B1543" s="8">
        <v>40</v>
      </c>
      <c r="C1543" s="8">
        <v>18.399999999999999</v>
      </c>
      <c r="D1543" s="8">
        <v>25</v>
      </c>
      <c r="E1543" s="8">
        <v>0</v>
      </c>
    </row>
    <row r="1544" spans="1:5" x14ac:dyDescent="0.2">
      <c r="A1544" s="7">
        <v>10837</v>
      </c>
      <c r="B1544" s="8">
        <v>47</v>
      </c>
      <c r="C1544" s="8">
        <v>9.5</v>
      </c>
      <c r="D1544" s="8">
        <v>40</v>
      </c>
      <c r="E1544" s="8">
        <v>0.25</v>
      </c>
    </row>
    <row r="1545" spans="1:5" x14ac:dyDescent="0.2">
      <c r="A1545" s="7">
        <v>10837</v>
      </c>
      <c r="B1545" s="8">
        <v>76</v>
      </c>
      <c r="C1545" s="8">
        <v>18</v>
      </c>
      <c r="D1545" s="8">
        <v>21</v>
      </c>
      <c r="E1545" s="8">
        <v>0.25</v>
      </c>
    </row>
    <row r="1546" spans="1:5" x14ac:dyDescent="0.2">
      <c r="A1546" s="7">
        <v>10838</v>
      </c>
      <c r="B1546" s="8">
        <v>1</v>
      </c>
      <c r="C1546" s="8">
        <v>18</v>
      </c>
      <c r="D1546" s="8">
        <v>4</v>
      </c>
      <c r="E1546" s="8">
        <v>0.25</v>
      </c>
    </row>
    <row r="1547" spans="1:5" x14ac:dyDescent="0.2">
      <c r="A1547" s="7">
        <v>10838</v>
      </c>
      <c r="B1547" s="8">
        <v>18</v>
      </c>
      <c r="C1547" s="8">
        <v>62.5</v>
      </c>
      <c r="D1547" s="8">
        <v>25</v>
      </c>
      <c r="E1547" s="8">
        <v>0.25</v>
      </c>
    </row>
    <row r="1548" spans="1:5" x14ac:dyDescent="0.2">
      <c r="A1548" s="7">
        <v>10838</v>
      </c>
      <c r="B1548" s="8">
        <v>36</v>
      </c>
      <c r="C1548" s="8">
        <v>19</v>
      </c>
      <c r="D1548" s="8">
        <v>50</v>
      </c>
      <c r="E1548" s="8">
        <v>0.25</v>
      </c>
    </row>
    <row r="1549" spans="1:5" x14ac:dyDescent="0.2">
      <c r="A1549" s="7">
        <v>10839</v>
      </c>
      <c r="B1549" s="8">
        <v>58</v>
      </c>
      <c r="C1549" s="8">
        <v>13.25</v>
      </c>
      <c r="D1549" s="8">
        <v>30</v>
      </c>
      <c r="E1549" s="8">
        <v>0.1</v>
      </c>
    </row>
    <row r="1550" spans="1:5" x14ac:dyDescent="0.2">
      <c r="A1550" s="7">
        <v>10839</v>
      </c>
      <c r="B1550" s="8">
        <v>72</v>
      </c>
      <c r="C1550" s="8">
        <v>34.799999999999997</v>
      </c>
      <c r="D1550" s="8">
        <v>15</v>
      </c>
      <c r="E1550" s="8">
        <v>0.1</v>
      </c>
    </row>
    <row r="1551" spans="1:5" x14ac:dyDescent="0.2">
      <c r="A1551" s="7">
        <v>10840</v>
      </c>
      <c r="B1551" s="8">
        <v>25</v>
      </c>
      <c r="C1551" s="8">
        <v>14</v>
      </c>
      <c r="D1551" s="8">
        <v>6</v>
      </c>
      <c r="E1551" s="8">
        <v>0.2</v>
      </c>
    </row>
    <row r="1552" spans="1:5" x14ac:dyDescent="0.2">
      <c r="A1552" s="7">
        <v>10840</v>
      </c>
      <c r="B1552" s="8">
        <v>39</v>
      </c>
      <c r="C1552" s="8">
        <v>18</v>
      </c>
      <c r="D1552" s="8">
        <v>10</v>
      </c>
      <c r="E1552" s="8">
        <v>0.2</v>
      </c>
    </row>
    <row r="1553" spans="1:5" x14ac:dyDescent="0.2">
      <c r="A1553" s="7">
        <v>10841</v>
      </c>
      <c r="B1553" s="8">
        <v>10</v>
      </c>
      <c r="C1553" s="8">
        <v>31</v>
      </c>
      <c r="D1553" s="8">
        <v>16</v>
      </c>
      <c r="E1553" s="8">
        <v>0</v>
      </c>
    </row>
    <row r="1554" spans="1:5" x14ac:dyDescent="0.2">
      <c r="A1554" s="7">
        <v>10841</v>
      </c>
      <c r="B1554" s="8">
        <v>56</v>
      </c>
      <c r="C1554" s="8">
        <v>38</v>
      </c>
      <c r="D1554" s="8">
        <v>30</v>
      </c>
      <c r="E1554" s="8">
        <v>0</v>
      </c>
    </row>
    <row r="1555" spans="1:5" x14ac:dyDescent="0.2">
      <c r="A1555" s="7">
        <v>10841</v>
      </c>
      <c r="B1555" s="8">
        <v>59</v>
      </c>
      <c r="C1555" s="8">
        <v>55</v>
      </c>
      <c r="D1555" s="8">
        <v>50</v>
      </c>
      <c r="E1555" s="8">
        <v>0</v>
      </c>
    </row>
    <row r="1556" spans="1:5" x14ac:dyDescent="0.2">
      <c r="A1556" s="7">
        <v>10841</v>
      </c>
      <c r="B1556" s="8">
        <v>77</v>
      </c>
      <c r="C1556" s="8">
        <v>13</v>
      </c>
      <c r="D1556" s="8">
        <v>15</v>
      </c>
      <c r="E1556" s="8">
        <v>0</v>
      </c>
    </row>
    <row r="1557" spans="1:5" x14ac:dyDescent="0.2">
      <c r="A1557" s="7">
        <v>10842</v>
      </c>
      <c r="B1557" s="8">
        <v>11</v>
      </c>
      <c r="C1557" s="8">
        <v>21</v>
      </c>
      <c r="D1557" s="8">
        <v>15</v>
      </c>
      <c r="E1557" s="8">
        <v>0</v>
      </c>
    </row>
    <row r="1558" spans="1:5" x14ac:dyDescent="0.2">
      <c r="A1558" s="7">
        <v>10842</v>
      </c>
      <c r="B1558" s="8">
        <v>43</v>
      </c>
      <c r="C1558" s="8">
        <v>46</v>
      </c>
      <c r="D1558" s="8">
        <v>5</v>
      </c>
      <c r="E1558" s="8">
        <v>0</v>
      </c>
    </row>
    <row r="1559" spans="1:5" x14ac:dyDescent="0.2">
      <c r="A1559" s="7">
        <v>10842</v>
      </c>
      <c r="B1559" s="8">
        <v>68</v>
      </c>
      <c r="C1559" s="8">
        <v>12.5</v>
      </c>
      <c r="D1559" s="8">
        <v>20</v>
      </c>
      <c r="E1559" s="8">
        <v>0</v>
      </c>
    </row>
    <row r="1560" spans="1:5" x14ac:dyDescent="0.2">
      <c r="A1560" s="7">
        <v>10842</v>
      </c>
      <c r="B1560" s="8">
        <v>70</v>
      </c>
      <c r="C1560" s="8">
        <v>15</v>
      </c>
      <c r="D1560" s="8">
        <v>12</v>
      </c>
      <c r="E1560" s="8">
        <v>0</v>
      </c>
    </row>
    <row r="1561" spans="1:5" x14ac:dyDescent="0.2">
      <c r="A1561" s="7">
        <v>10843</v>
      </c>
      <c r="B1561" s="8">
        <v>51</v>
      </c>
      <c r="C1561" s="8">
        <v>53</v>
      </c>
      <c r="D1561" s="8">
        <v>4</v>
      </c>
      <c r="E1561" s="8">
        <v>0.25</v>
      </c>
    </row>
    <row r="1562" spans="1:5" x14ac:dyDescent="0.2">
      <c r="A1562" s="7">
        <v>10844</v>
      </c>
      <c r="B1562" s="8">
        <v>22</v>
      </c>
      <c r="C1562" s="8">
        <v>21</v>
      </c>
      <c r="D1562" s="8">
        <v>35</v>
      </c>
      <c r="E1562" s="8">
        <v>0</v>
      </c>
    </row>
    <row r="1563" spans="1:5" x14ac:dyDescent="0.2">
      <c r="A1563" s="7">
        <v>10845</v>
      </c>
      <c r="B1563" s="8">
        <v>23</v>
      </c>
      <c r="C1563" s="8">
        <v>9</v>
      </c>
      <c r="D1563" s="8">
        <v>70</v>
      </c>
      <c r="E1563" s="8">
        <v>0.1</v>
      </c>
    </row>
    <row r="1564" spans="1:5" x14ac:dyDescent="0.2">
      <c r="A1564" s="7">
        <v>10845</v>
      </c>
      <c r="B1564" s="8">
        <v>35</v>
      </c>
      <c r="C1564" s="8">
        <v>18</v>
      </c>
      <c r="D1564" s="8">
        <v>25</v>
      </c>
      <c r="E1564" s="8">
        <v>0.1</v>
      </c>
    </row>
    <row r="1565" spans="1:5" x14ac:dyDescent="0.2">
      <c r="A1565" s="7">
        <v>10845</v>
      </c>
      <c r="B1565" s="8">
        <v>42</v>
      </c>
      <c r="C1565" s="8">
        <v>14</v>
      </c>
      <c r="D1565" s="8">
        <v>42</v>
      </c>
      <c r="E1565" s="8">
        <v>0.1</v>
      </c>
    </row>
    <row r="1566" spans="1:5" x14ac:dyDescent="0.2">
      <c r="A1566" s="7">
        <v>10845</v>
      </c>
      <c r="B1566" s="8">
        <v>58</v>
      </c>
      <c r="C1566" s="8">
        <v>13.25</v>
      </c>
      <c r="D1566" s="8">
        <v>60</v>
      </c>
      <c r="E1566" s="8">
        <v>0.1</v>
      </c>
    </row>
    <row r="1567" spans="1:5" x14ac:dyDescent="0.2">
      <c r="A1567" s="7">
        <v>10845</v>
      </c>
      <c r="B1567" s="8">
        <v>64</v>
      </c>
      <c r="C1567" s="8">
        <v>33.25</v>
      </c>
      <c r="D1567" s="8">
        <v>48</v>
      </c>
      <c r="E1567" s="8">
        <v>0</v>
      </c>
    </row>
    <row r="1568" spans="1:5" x14ac:dyDescent="0.2">
      <c r="A1568" s="7">
        <v>10846</v>
      </c>
      <c r="B1568" s="8">
        <v>4</v>
      </c>
      <c r="C1568" s="8">
        <v>22</v>
      </c>
      <c r="D1568" s="8">
        <v>21</v>
      </c>
      <c r="E1568" s="8">
        <v>0</v>
      </c>
    </row>
    <row r="1569" spans="1:5" x14ac:dyDescent="0.2">
      <c r="A1569" s="7">
        <v>10846</v>
      </c>
      <c r="B1569" s="8">
        <v>70</v>
      </c>
      <c r="C1569" s="8">
        <v>15</v>
      </c>
      <c r="D1569" s="8">
        <v>30</v>
      </c>
      <c r="E1569" s="8">
        <v>0</v>
      </c>
    </row>
    <row r="1570" spans="1:5" x14ac:dyDescent="0.2">
      <c r="A1570" s="7">
        <v>10846</v>
      </c>
      <c r="B1570" s="8">
        <v>74</v>
      </c>
      <c r="C1570" s="8">
        <v>10</v>
      </c>
      <c r="D1570" s="8">
        <v>20</v>
      </c>
      <c r="E1570" s="8">
        <v>0</v>
      </c>
    </row>
    <row r="1571" spans="1:5" x14ac:dyDescent="0.2">
      <c r="A1571" s="7">
        <v>10847</v>
      </c>
      <c r="B1571" s="8">
        <v>1</v>
      </c>
      <c r="C1571" s="8">
        <v>18</v>
      </c>
      <c r="D1571" s="8">
        <v>80</v>
      </c>
      <c r="E1571" s="8">
        <v>0.2</v>
      </c>
    </row>
    <row r="1572" spans="1:5" x14ac:dyDescent="0.2">
      <c r="A1572" s="7">
        <v>10847</v>
      </c>
      <c r="B1572" s="8">
        <v>19</v>
      </c>
      <c r="C1572" s="8">
        <v>9.1999999999999993</v>
      </c>
      <c r="D1572" s="8">
        <v>12</v>
      </c>
      <c r="E1572" s="8">
        <v>0.2</v>
      </c>
    </row>
    <row r="1573" spans="1:5" x14ac:dyDescent="0.2">
      <c r="A1573" s="7">
        <v>10847</v>
      </c>
      <c r="B1573" s="8">
        <v>37</v>
      </c>
      <c r="C1573" s="8">
        <v>26</v>
      </c>
      <c r="D1573" s="8">
        <v>60</v>
      </c>
      <c r="E1573" s="8">
        <v>0.2</v>
      </c>
    </row>
    <row r="1574" spans="1:5" x14ac:dyDescent="0.2">
      <c r="A1574" s="7">
        <v>10847</v>
      </c>
      <c r="B1574" s="8">
        <v>45</v>
      </c>
      <c r="C1574" s="8">
        <v>9.5</v>
      </c>
      <c r="D1574" s="8">
        <v>36</v>
      </c>
      <c r="E1574" s="8">
        <v>0.2</v>
      </c>
    </row>
    <row r="1575" spans="1:5" x14ac:dyDescent="0.2">
      <c r="A1575" s="7">
        <v>10847</v>
      </c>
      <c r="B1575" s="8">
        <v>60</v>
      </c>
      <c r="C1575" s="8">
        <v>34</v>
      </c>
      <c r="D1575" s="8">
        <v>45</v>
      </c>
      <c r="E1575" s="8">
        <v>0.2</v>
      </c>
    </row>
    <row r="1576" spans="1:5" x14ac:dyDescent="0.2">
      <c r="A1576" s="7">
        <v>10847</v>
      </c>
      <c r="B1576" s="8">
        <v>71</v>
      </c>
      <c r="C1576" s="8">
        <v>21.5</v>
      </c>
      <c r="D1576" s="8">
        <v>55</v>
      </c>
      <c r="E1576" s="8">
        <v>0.2</v>
      </c>
    </row>
    <row r="1577" spans="1:5" x14ac:dyDescent="0.2">
      <c r="A1577" s="7">
        <v>10848</v>
      </c>
      <c r="B1577" s="8">
        <v>5</v>
      </c>
      <c r="C1577" s="8">
        <v>21.35</v>
      </c>
      <c r="D1577" s="8">
        <v>30</v>
      </c>
      <c r="E1577" s="8">
        <v>0</v>
      </c>
    </row>
    <row r="1578" spans="1:5" x14ac:dyDescent="0.2">
      <c r="A1578" s="7">
        <v>10848</v>
      </c>
      <c r="B1578" s="8">
        <v>9</v>
      </c>
      <c r="C1578" s="8">
        <v>97</v>
      </c>
      <c r="D1578" s="8">
        <v>3</v>
      </c>
      <c r="E1578" s="8">
        <v>0</v>
      </c>
    </row>
    <row r="1579" spans="1:5" x14ac:dyDescent="0.2">
      <c r="A1579" s="7">
        <v>10849</v>
      </c>
      <c r="B1579" s="8">
        <v>3</v>
      </c>
      <c r="C1579" s="8">
        <v>10</v>
      </c>
      <c r="D1579" s="8">
        <v>49</v>
      </c>
      <c r="E1579" s="8">
        <v>0</v>
      </c>
    </row>
    <row r="1580" spans="1:5" x14ac:dyDescent="0.2">
      <c r="A1580" s="7">
        <v>10849</v>
      </c>
      <c r="B1580" s="8">
        <v>26</v>
      </c>
      <c r="C1580" s="8">
        <v>31.23</v>
      </c>
      <c r="D1580" s="8">
        <v>18</v>
      </c>
      <c r="E1580" s="8">
        <v>0.15</v>
      </c>
    </row>
    <row r="1581" spans="1:5" x14ac:dyDescent="0.2">
      <c r="A1581" s="7">
        <v>10850</v>
      </c>
      <c r="B1581" s="8">
        <v>25</v>
      </c>
      <c r="C1581" s="8">
        <v>14</v>
      </c>
      <c r="D1581" s="8">
        <v>20</v>
      </c>
      <c r="E1581" s="8">
        <v>0.15</v>
      </c>
    </row>
    <row r="1582" spans="1:5" x14ac:dyDescent="0.2">
      <c r="A1582" s="7">
        <v>10850</v>
      </c>
      <c r="B1582" s="8">
        <v>33</v>
      </c>
      <c r="C1582" s="8">
        <v>2.5</v>
      </c>
      <c r="D1582" s="8">
        <v>4</v>
      </c>
      <c r="E1582" s="8">
        <v>0.15</v>
      </c>
    </row>
    <row r="1583" spans="1:5" x14ac:dyDescent="0.2">
      <c r="A1583" s="7">
        <v>10850</v>
      </c>
      <c r="B1583" s="8">
        <v>70</v>
      </c>
      <c r="C1583" s="8">
        <v>15</v>
      </c>
      <c r="D1583" s="8">
        <v>30</v>
      </c>
      <c r="E1583" s="8">
        <v>0.15</v>
      </c>
    </row>
    <row r="1584" spans="1:5" x14ac:dyDescent="0.2">
      <c r="A1584" s="7">
        <v>10851</v>
      </c>
      <c r="B1584" s="8">
        <v>2</v>
      </c>
      <c r="C1584" s="8">
        <v>19</v>
      </c>
      <c r="D1584" s="8">
        <v>5</v>
      </c>
      <c r="E1584" s="8">
        <v>0.05</v>
      </c>
    </row>
    <row r="1585" spans="1:5" x14ac:dyDescent="0.2">
      <c r="A1585" s="7">
        <v>10851</v>
      </c>
      <c r="B1585" s="8">
        <v>25</v>
      </c>
      <c r="C1585" s="8">
        <v>14</v>
      </c>
      <c r="D1585" s="8">
        <v>10</v>
      </c>
      <c r="E1585" s="8">
        <v>0.05</v>
      </c>
    </row>
    <row r="1586" spans="1:5" x14ac:dyDescent="0.2">
      <c r="A1586" s="7">
        <v>10851</v>
      </c>
      <c r="B1586" s="8">
        <v>57</v>
      </c>
      <c r="C1586" s="8">
        <v>19.5</v>
      </c>
      <c r="D1586" s="8">
        <v>10</v>
      </c>
      <c r="E1586" s="8">
        <v>0.05</v>
      </c>
    </row>
    <row r="1587" spans="1:5" x14ac:dyDescent="0.2">
      <c r="A1587" s="7">
        <v>10851</v>
      </c>
      <c r="B1587" s="8">
        <v>59</v>
      </c>
      <c r="C1587" s="8">
        <v>55</v>
      </c>
      <c r="D1587" s="8">
        <v>42</v>
      </c>
      <c r="E1587" s="8">
        <v>0.05</v>
      </c>
    </row>
    <row r="1588" spans="1:5" x14ac:dyDescent="0.2">
      <c r="A1588" s="7">
        <v>10852</v>
      </c>
      <c r="B1588" s="8">
        <v>2</v>
      </c>
      <c r="C1588" s="8">
        <v>19</v>
      </c>
      <c r="D1588" s="8">
        <v>15</v>
      </c>
      <c r="E1588" s="8">
        <v>0</v>
      </c>
    </row>
    <row r="1589" spans="1:5" x14ac:dyDescent="0.2">
      <c r="A1589" s="7">
        <v>10852</v>
      </c>
      <c r="B1589" s="8">
        <v>17</v>
      </c>
      <c r="C1589" s="8">
        <v>39</v>
      </c>
      <c r="D1589" s="8">
        <v>6</v>
      </c>
      <c r="E1589" s="8">
        <v>0</v>
      </c>
    </row>
    <row r="1590" spans="1:5" x14ac:dyDescent="0.2">
      <c r="A1590" s="7">
        <v>10852</v>
      </c>
      <c r="B1590" s="8">
        <v>62</v>
      </c>
      <c r="C1590" s="8">
        <v>49.3</v>
      </c>
      <c r="D1590" s="8">
        <v>50</v>
      </c>
      <c r="E1590" s="8">
        <v>0</v>
      </c>
    </row>
    <row r="1591" spans="1:5" x14ac:dyDescent="0.2">
      <c r="A1591" s="7">
        <v>10853</v>
      </c>
      <c r="B1591" s="8">
        <v>18</v>
      </c>
      <c r="C1591" s="8">
        <v>62.5</v>
      </c>
      <c r="D1591" s="8">
        <v>10</v>
      </c>
      <c r="E1591" s="8">
        <v>0</v>
      </c>
    </row>
    <row r="1592" spans="1:5" x14ac:dyDescent="0.2">
      <c r="A1592" s="7">
        <v>10854</v>
      </c>
      <c r="B1592" s="8">
        <v>10</v>
      </c>
      <c r="C1592" s="8">
        <v>31</v>
      </c>
      <c r="D1592" s="8">
        <v>100</v>
      </c>
      <c r="E1592" s="8">
        <v>0.15</v>
      </c>
    </row>
    <row r="1593" spans="1:5" x14ac:dyDescent="0.2">
      <c r="A1593" s="7">
        <v>10854</v>
      </c>
      <c r="B1593" s="8">
        <v>13</v>
      </c>
      <c r="C1593" s="8">
        <v>6</v>
      </c>
      <c r="D1593" s="8">
        <v>65</v>
      </c>
      <c r="E1593" s="8">
        <v>0.15</v>
      </c>
    </row>
    <row r="1594" spans="1:5" x14ac:dyDescent="0.2">
      <c r="A1594" s="7">
        <v>10855</v>
      </c>
      <c r="B1594" s="8">
        <v>16</v>
      </c>
      <c r="C1594" s="8">
        <v>17.45</v>
      </c>
      <c r="D1594" s="8">
        <v>50</v>
      </c>
      <c r="E1594" s="8">
        <v>0</v>
      </c>
    </row>
    <row r="1595" spans="1:5" x14ac:dyDescent="0.2">
      <c r="A1595" s="7">
        <v>10855</v>
      </c>
      <c r="B1595" s="8">
        <v>31</v>
      </c>
      <c r="C1595" s="8">
        <v>12.5</v>
      </c>
      <c r="D1595" s="8">
        <v>14</v>
      </c>
      <c r="E1595" s="8">
        <v>0</v>
      </c>
    </row>
    <row r="1596" spans="1:5" x14ac:dyDescent="0.2">
      <c r="A1596" s="7">
        <v>10855</v>
      </c>
      <c r="B1596" s="8">
        <v>56</v>
      </c>
      <c r="C1596" s="8">
        <v>38</v>
      </c>
      <c r="D1596" s="8">
        <v>24</v>
      </c>
      <c r="E1596" s="8">
        <v>0</v>
      </c>
    </row>
    <row r="1597" spans="1:5" x14ac:dyDescent="0.2">
      <c r="A1597" s="7">
        <v>10855</v>
      </c>
      <c r="B1597" s="8">
        <v>65</v>
      </c>
      <c r="C1597" s="8">
        <v>21.05</v>
      </c>
      <c r="D1597" s="8">
        <v>15</v>
      </c>
      <c r="E1597" s="8">
        <v>0.15</v>
      </c>
    </row>
    <row r="1598" spans="1:5" x14ac:dyDescent="0.2">
      <c r="A1598" s="7">
        <v>10856</v>
      </c>
      <c r="B1598" s="8">
        <v>2</v>
      </c>
      <c r="C1598" s="8">
        <v>19</v>
      </c>
      <c r="D1598" s="8">
        <v>20</v>
      </c>
      <c r="E1598" s="8">
        <v>0</v>
      </c>
    </row>
    <row r="1599" spans="1:5" x14ac:dyDescent="0.2">
      <c r="A1599" s="7">
        <v>10856</v>
      </c>
      <c r="B1599" s="8">
        <v>42</v>
      </c>
      <c r="C1599" s="8">
        <v>14</v>
      </c>
      <c r="D1599" s="8">
        <v>20</v>
      </c>
      <c r="E1599" s="8">
        <v>0</v>
      </c>
    </row>
    <row r="1600" spans="1:5" x14ac:dyDescent="0.2">
      <c r="A1600" s="7">
        <v>10857</v>
      </c>
      <c r="B1600" s="8">
        <v>3</v>
      </c>
      <c r="C1600" s="8">
        <v>10</v>
      </c>
      <c r="D1600" s="8">
        <v>30</v>
      </c>
      <c r="E1600" s="8">
        <v>0</v>
      </c>
    </row>
    <row r="1601" spans="1:5" x14ac:dyDescent="0.2">
      <c r="A1601" s="7">
        <v>10857</v>
      </c>
      <c r="B1601" s="8">
        <v>26</v>
      </c>
      <c r="C1601" s="8">
        <v>31.23</v>
      </c>
      <c r="D1601" s="8">
        <v>35</v>
      </c>
      <c r="E1601" s="8">
        <v>0.25</v>
      </c>
    </row>
    <row r="1602" spans="1:5" x14ac:dyDescent="0.2">
      <c r="A1602" s="7">
        <v>10857</v>
      </c>
      <c r="B1602" s="8">
        <v>29</v>
      </c>
      <c r="C1602" s="8">
        <v>123.79</v>
      </c>
      <c r="D1602" s="8">
        <v>10</v>
      </c>
      <c r="E1602" s="8">
        <v>0.25</v>
      </c>
    </row>
    <row r="1603" spans="1:5" x14ac:dyDescent="0.2">
      <c r="A1603" s="7">
        <v>10858</v>
      </c>
      <c r="B1603" s="8">
        <v>7</v>
      </c>
      <c r="C1603" s="8">
        <v>30</v>
      </c>
      <c r="D1603" s="8">
        <v>5</v>
      </c>
      <c r="E1603" s="8">
        <v>0</v>
      </c>
    </row>
    <row r="1604" spans="1:5" x14ac:dyDescent="0.2">
      <c r="A1604" s="7">
        <v>10858</v>
      </c>
      <c r="B1604" s="8">
        <v>27</v>
      </c>
      <c r="C1604" s="8">
        <v>43.9</v>
      </c>
      <c r="D1604" s="8">
        <v>10</v>
      </c>
      <c r="E1604" s="8">
        <v>0</v>
      </c>
    </row>
    <row r="1605" spans="1:5" x14ac:dyDescent="0.2">
      <c r="A1605" s="7">
        <v>10858</v>
      </c>
      <c r="B1605" s="8">
        <v>70</v>
      </c>
      <c r="C1605" s="8">
        <v>15</v>
      </c>
      <c r="D1605" s="8">
        <v>4</v>
      </c>
      <c r="E1605" s="8">
        <v>0</v>
      </c>
    </row>
    <row r="1606" spans="1:5" x14ac:dyDescent="0.2">
      <c r="A1606" s="7">
        <v>10859</v>
      </c>
      <c r="B1606" s="8">
        <v>24</v>
      </c>
      <c r="C1606" s="8">
        <v>4.5</v>
      </c>
      <c r="D1606" s="8">
        <v>40</v>
      </c>
      <c r="E1606" s="8">
        <v>0.25</v>
      </c>
    </row>
    <row r="1607" spans="1:5" x14ac:dyDescent="0.2">
      <c r="A1607" s="7">
        <v>10859</v>
      </c>
      <c r="B1607" s="8">
        <v>54</v>
      </c>
      <c r="C1607" s="8">
        <v>7.45</v>
      </c>
      <c r="D1607" s="8">
        <v>35</v>
      </c>
      <c r="E1607" s="8">
        <v>0.25</v>
      </c>
    </row>
    <row r="1608" spans="1:5" x14ac:dyDescent="0.2">
      <c r="A1608" s="7">
        <v>10859</v>
      </c>
      <c r="B1608" s="8">
        <v>64</v>
      </c>
      <c r="C1608" s="8">
        <v>33.25</v>
      </c>
      <c r="D1608" s="8">
        <v>30</v>
      </c>
      <c r="E1608" s="8">
        <v>0.25</v>
      </c>
    </row>
    <row r="1609" spans="1:5" x14ac:dyDescent="0.2">
      <c r="A1609" s="7">
        <v>10860</v>
      </c>
      <c r="B1609" s="8">
        <v>51</v>
      </c>
      <c r="C1609" s="8">
        <v>53</v>
      </c>
      <c r="D1609" s="8">
        <v>3</v>
      </c>
      <c r="E1609" s="8">
        <v>0</v>
      </c>
    </row>
    <row r="1610" spans="1:5" x14ac:dyDescent="0.2">
      <c r="A1610" s="7">
        <v>10860</v>
      </c>
      <c r="B1610" s="8">
        <v>76</v>
      </c>
      <c r="C1610" s="8">
        <v>18</v>
      </c>
      <c r="D1610" s="8">
        <v>20</v>
      </c>
      <c r="E1610" s="8">
        <v>0</v>
      </c>
    </row>
    <row r="1611" spans="1:5" x14ac:dyDescent="0.2">
      <c r="A1611" s="7">
        <v>10861</v>
      </c>
      <c r="B1611" s="8">
        <v>17</v>
      </c>
      <c r="C1611" s="8">
        <v>39</v>
      </c>
      <c r="D1611" s="8">
        <v>42</v>
      </c>
      <c r="E1611" s="8">
        <v>0</v>
      </c>
    </row>
    <row r="1612" spans="1:5" x14ac:dyDescent="0.2">
      <c r="A1612" s="7">
        <v>10861</v>
      </c>
      <c r="B1612" s="8">
        <v>18</v>
      </c>
      <c r="C1612" s="8">
        <v>62.5</v>
      </c>
      <c r="D1612" s="8">
        <v>20</v>
      </c>
      <c r="E1612" s="8">
        <v>0</v>
      </c>
    </row>
    <row r="1613" spans="1:5" x14ac:dyDescent="0.2">
      <c r="A1613" s="7">
        <v>10861</v>
      </c>
      <c r="B1613" s="8">
        <v>21</v>
      </c>
      <c r="C1613" s="8">
        <v>10</v>
      </c>
      <c r="D1613" s="8">
        <v>40</v>
      </c>
      <c r="E1613" s="8">
        <v>0</v>
      </c>
    </row>
    <row r="1614" spans="1:5" x14ac:dyDescent="0.2">
      <c r="A1614" s="7">
        <v>10861</v>
      </c>
      <c r="B1614" s="8">
        <v>33</v>
      </c>
      <c r="C1614" s="8">
        <v>2.5</v>
      </c>
      <c r="D1614" s="8">
        <v>35</v>
      </c>
      <c r="E1614" s="8">
        <v>0</v>
      </c>
    </row>
    <row r="1615" spans="1:5" x14ac:dyDescent="0.2">
      <c r="A1615" s="7">
        <v>10861</v>
      </c>
      <c r="B1615" s="8">
        <v>62</v>
      </c>
      <c r="C1615" s="8">
        <v>49.3</v>
      </c>
      <c r="D1615" s="8">
        <v>3</v>
      </c>
      <c r="E1615" s="8">
        <v>0</v>
      </c>
    </row>
    <row r="1616" spans="1:5" x14ac:dyDescent="0.2">
      <c r="A1616" s="7">
        <v>10862</v>
      </c>
      <c r="B1616" s="8">
        <v>11</v>
      </c>
      <c r="C1616" s="8">
        <v>21</v>
      </c>
      <c r="D1616" s="8">
        <v>25</v>
      </c>
      <c r="E1616" s="8">
        <v>0</v>
      </c>
    </row>
    <row r="1617" spans="1:5" x14ac:dyDescent="0.2">
      <c r="A1617" s="7">
        <v>10862</v>
      </c>
      <c r="B1617" s="8">
        <v>52</v>
      </c>
      <c r="C1617" s="8">
        <v>7</v>
      </c>
      <c r="D1617" s="8">
        <v>8</v>
      </c>
      <c r="E1617" s="8">
        <v>0</v>
      </c>
    </row>
    <row r="1618" spans="1:5" x14ac:dyDescent="0.2">
      <c r="A1618" s="7">
        <v>10863</v>
      </c>
      <c r="B1618" s="8">
        <v>1</v>
      </c>
      <c r="C1618" s="8">
        <v>18</v>
      </c>
      <c r="D1618" s="8">
        <v>20</v>
      </c>
      <c r="E1618" s="8">
        <v>0.15</v>
      </c>
    </row>
    <row r="1619" spans="1:5" x14ac:dyDescent="0.2">
      <c r="A1619" s="7">
        <v>10863</v>
      </c>
      <c r="B1619" s="8">
        <v>58</v>
      </c>
      <c r="C1619" s="8">
        <v>13.25</v>
      </c>
      <c r="D1619" s="8">
        <v>12</v>
      </c>
      <c r="E1619" s="8">
        <v>0.15</v>
      </c>
    </row>
    <row r="1620" spans="1:5" x14ac:dyDescent="0.2">
      <c r="A1620" s="7">
        <v>10864</v>
      </c>
      <c r="B1620" s="8">
        <v>35</v>
      </c>
      <c r="C1620" s="8">
        <v>18</v>
      </c>
      <c r="D1620" s="8">
        <v>4</v>
      </c>
      <c r="E1620" s="8">
        <v>0</v>
      </c>
    </row>
    <row r="1621" spans="1:5" x14ac:dyDescent="0.2">
      <c r="A1621" s="7">
        <v>10864</v>
      </c>
      <c r="B1621" s="8">
        <v>67</v>
      </c>
      <c r="C1621" s="8">
        <v>14</v>
      </c>
      <c r="D1621" s="8">
        <v>15</v>
      </c>
      <c r="E1621" s="8">
        <v>0</v>
      </c>
    </row>
    <row r="1622" spans="1:5" x14ac:dyDescent="0.2">
      <c r="A1622" s="7">
        <v>10865</v>
      </c>
      <c r="B1622" s="8">
        <v>38</v>
      </c>
      <c r="C1622" s="8">
        <v>263.5</v>
      </c>
      <c r="D1622" s="8">
        <v>60</v>
      </c>
      <c r="E1622" s="8">
        <v>0.05</v>
      </c>
    </row>
    <row r="1623" spans="1:5" x14ac:dyDescent="0.2">
      <c r="A1623" s="7">
        <v>10865</v>
      </c>
      <c r="B1623" s="8">
        <v>39</v>
      </c>
      <c r="C1623" s="8">
        <v>18</v>
      </c>
      <c r="D1623" s="8">
        <v>80</v>
      </c>
      <c r="E1623" s="8">
        <v>0.05</v>
      </c>
    </row>
    <row r="1624" spans="1:5" x14ac:dyDescent="0.2">
      <c r="A1624" s="7">
        <v>10866</v>
      </c>
      <c r="B1624" s="8">
        <v>2</v>
      </c>
      <c r="C1624" s="8">
        <v>19</v>
      </c>
      <c r="D1624" s="8">
        <v>21</v>
      </c>
      <c r="E1624" s="8">
        <v>0.25</v>
      </c>
    </row>
    <row r="1625" spans="1:5" x14ac:dyDescent="0.2">
      <c r="A1625" s="7">
        <v>10866</v>
      </c>
      <c r="B1625" s="8">
        <v>24</v>
      </c>
      <c r="C1625" s="8">
        <v>4.5</v>
      </c>
      <c r="D1625" s="8">
        <v>6</v>
      </c>
      <c r="E1625" s="8">
        <v>0.25</v>
      </c>
    </row>
    <row r="1626" spans="1:5" x14ac:dyDescent="0.2">
      <c r="A1626" s="7">
        <v>10866</v>
      </c>
      <c r="B1626" s="8">
        <v>30</v>
      </c>
      <c r="C1626" s="8">
        <v>25.89</v>
      </c>
      <c r="D1626" s="8">
        <v>40</v>
      </c>
      <c r="E1626" s="8">
        <v>0.25</v>
      </c>
    </row>
    <row r="1627" spans="1:5" x14ac:dyDescent="0.2">
      <c r="A1627" s="7">
        <v>10867</v>
      </c>
      <c r="B1627" s="8">
        <v>53</v>
      </c>
      <c r="C1627" s="8">
        <v>32.799999999999997</v>
      </c>
      <c r="D1627" s="8">
        <v>3</v>
      </c>
      <c r="E1627" s="8">
        <v>0</v>
      </c>
    </row>
    <row r="1628" spans="1:5" x14ac:dyDescent="0.2">
      <c r="A1628" s="7">
        <v>10868</v>
      </c>
      <c r="B1628" s="8">
        <v>26</v>
      </c>
      <c r="C1628" s="8">
        <v>31.23</v>
      </c>
      <c r="D1628" s="8">
        <v>20</v>
      </c>
      <c r="E1628" s="8">
        <v>0</v>
      </c>
    </row>
    <row r="1629" spans="1:5" x14ac:dyDescent="0.2">
      <c r="A1629" s="7">
        <v>10868</v>
      </c>
      <c r="B1629" s="8">
        <v>35</v>
      </c>
      <c r="C1629" s="8">
        <v>18</v>
      </c>
      <c r="D1629" s="8">
        <v>30</v>
      </c>
      <c r="E1629" s="8">
        <v>0</v>
      </c>
    </row>
    <row r="1630" spans="1:5" x14ac:dyDescent="0.2">
      <c r="A1630" s="7">
        <v>10868</v>
      </c>
      <c r="B1630" s="8">
        <v>49</v>
      </c>
      <c r="C1630" s="8">
        <v>20</v>
      </c>
      <c r="D1630" s="8">
        <v>42</v>
      </c>
      <c r="E1630" s="8">
        <v>0.1</v>
      </c>
    </row>
    <row r="1631" spans="1:5" x14ac:dyDescent="0.2">
      <c r="A1631" s="7">
        <v>10869</v>
      </c>
      <c r="B1631" s="8">
        <v>1</v>
      </c>
      <c r="C1631" s="8">
        <v>18</v>
      </c>
      <c r="D1631" s="8">
        <v>40</v>
      </c>
      <c r="E1631" s="8">
        <v>0</v>
      </c>
    </row>
    <row r="1632" spans="1:5" x14ac:dyDescent="0.2">
      <c r="A1632" s="7">
        <v>10869</v>
      </c>
      <c r="B1632" s="8">
        <v>11</v>
      </c>
      <c r="C1632" s="8">
        <v>21</v>
      </c>
      <c r="D1632" s="8">
        <v>10</v>
      </c>
      <c r="E1632" s="8">
        <v>0</v>
      </c>
    </row>
    <row r="1633" spans="1:5" x14ac:dyDescent="0.2">
      <c r="A1633" s="7">
        <v>10869</v>
      </c>
      <c r="B1633" s="8">
        <v>23</v>
      </c>
      <c r="C1633" s="8">
        <v>9</v>
      </c>
      <c r="D1633" s="8">
        <v>50</v>
      </c>
      <c r="E1633" s="8">
        <v>0</v>
      </c>
    </row>
    <row r="1634" spans="1:5" x14ac:dyDescent="0.2">
      <c r="A1634" s="7">
        <v>10869</v>
      </c>
      <c r="B1634" s="8">
        <v>68</v>
      </c>
      <c r="C1634" s="8">
        <v>12.5</v>
      </c>
      <c r="D1634" s="8">
        <v>20</v>
      </c>
      <c r="E1634" s="8">
        <v>0</v>
      </c>
    </row>
    <row r="1635" spans="1:5" x14ac:dyDescent="0.2">
      <c r="A1635" s="7">
        <v>10870</v>
      </c>
      <c r="B1635" s="8">
        <v>35</v>
      </c>
      <c r="C1635" s="8">
        <v>18</v>
      </c>
      <c r="D1635" s="8">
        <v>3</v>
      </c>
      <c r="E1635" s="8">
        <v>0</v>
      </c>
    </row>
    <row r="1636" spans="1:5" x14ac:dyDescent="0.2">
      <c r="A1636" s="7">
        <v>10870</v>
      </c>
      <c r="B1636" s="8">
        <v>51</v>
      </c>
      <c r="C1636" s="8">
        <v>53</v>
      </c>
      <c r="D1636" s="8">
        <v>2</v>
      </c>
      <c r="E1636" s="8">
        <v>0</v>
      </c>
    </row>
    <row r="1637" spans="1:5" x14ac:dyDescent="0.2">
      <c r="A1637" s="7">
        <v>10871</v>
      </c>
      <c r="B1637" s="8">
        <v>6</v>
      </c>
      <c r="C1637" s="8">
        <v>25</v>
      </c>
      <c r="D1637" s="8">
        <v>50</v>
      </c>
      <c r="E1637" s="8">
        <v>0.05</v>
      </c>
    </row>
    <row r="1638" spans="1:5" x14ac:dyDescent="0.2">
      <c r="A1638" s="7">
        <v>10871</v>
      </c>
      <c r="B1638" s="8">
        <v>16</v>
      </c>
      <c r="C1638" s="8">
        <v>17.45</v>
      </c>
      <c r="D1638" s="8">
        <v>12</v>
      </c>
      <c r="E1638" s="8">
        <v>0.05</v>
      </c>
    </row>
    <row r="1639" spans="1:5" x14ac:dyDescent="0.2">
      <c r="A1639" s="7">
        <v>10871</v>
      </c>
      <c r="B1639" s="8">
        <v>17</v>
      </c>
      <c r="C1639" s="8">
        <v>39</v>
      </c>
      <c r="D1639" s="8">
        <v>16</v>
      </c>
      <c r="E1639" s="8">
        <v>0.05</v>
      </c>
    </row>
    <row r="1640" spans="1:5" x14ac:dyDescent="0.2">
      <c r="A1640" s="7">
        <v>10872</v>
      </c>
      <c r="B1640" s="8">
        <v>55</v>
      </c>
      <c r="C1640" s="8">
        <v>24</v>
      </c>
      <c r="D1640" s="8">
        <v>10</v>
      </c>
      <c r="E1640" s="8">
        <v>0.05</v>
      </c>
    </row>
    <row r="1641" spans="1:5" x14ac:dyDescent="0.2">
      <c r="A1641" s="7">
        <v>10872</v>
      </c>
      <c r="B1641" s="8">
        <v>62</v>
      </c>
      <c r="C1641" s="8">
        <v>49.3</v>
      </c>
      <c r="D1641" s="8">
        <v>20</v>
      </c>
      <c r="E1641" s="8">
        <v>0.05</v>
      </c>
    </row>
    <row r="1642" spans="1:5" x14ac:dyDescent="0.2">
      <c r="A1642" s="7">
        <v>10872</v>
      </c>
      <c r="B1642" s="8">
        <v>64</v>
      </c>
      <c r="C1642" s="8">
        <v>33.25</v>
      </c>
      <c r="D1642" s="8">
        <v>15</v>
      </c>
      <c r="E1642" s="8">
        <v>0.05</v>
      </c>
    </row>
    <row r="1643" spans="1:5" x14ac:dyDescent="0.2">
      <c r="A1643" s="7">
        <v>10872</v>
      </c>
      <c r="B1643" s="8">
        <v>65</v>
      </c>
      <c r="C1643" s="8">
        <v>21.05</v>
      </c>
      <c r="D1643" s="8">
        <v>21</v>
      </c>
      <c r="E1643" s="8">
        <v>0.05</v>
      </c>
    </row>
    <row r="1644" spans="1:5" x14ac:dyDescent="0.2">
      <c r="A1644" s="7">
        <v>10873</v>
      </c>
      <c r="B1644" s="8">
        <v>21</v>
      </c>
      <c r="C1644" s="8">
        <v>10</v>
      </c>
      <c r="D1644" s="8">
        <v>20</v>
      </c>
      <c r="E1644" s="8">
        <v>0</v>
      </c>
    </row>
    <row r="1645" spans="1:5" x14ac:dyDescent="0.2">
      <c r="A1645" s="7">
        <v>10873</v>
      </c>
      <c r="B1645" s="8">
        <v>28</v>
      </c>
      <c r="C1645" s="8">
        <v>45.6</v>
      </c>
      <c r="D1645" s="8">
        <v>3</v>
      </c>
      <c r="E1645" s="8">
        <v>0</v>
      </c>
    </row>
    <row r="1646" spans="1:5" x14ac:dyDescent="0.2">
      <c r="A1646" s="7">
        <v>10874</v>
      </c>
      <c r="B1646" s="8">
        <v>10</v>
      </c>
      <c r="C1646" s="8">
        <v>31</v>
      </c>
      <c r="D1646" s="8">
        <v>10</v>
      </c>
      <c r="E1646" s="8">
        <v>0</v>
      </c>
    </row>
    <row r="1647" spans="1:5" x14ac:dyDescent="0.2">
      <c r="A1647" s="7">
        <v>10875</v>
      </c>
      <c r="B1647" s="8">
        <v>19</v>
      </c>
      <c r="C1647" s="8">
        <v>9.1999999999999993</v>
      </c>
      <c r="D1647" s="8">
        <v>25</v>
      </c>
      <c r="E1647" s="8">
        <v>0</v>
      </c>
    </row>
    <row r="1648" spans="1:5" x14ac:dyDescent="0.2">
      <c r="A1648" s="7">
        <v>10875</v>
      </c>
      <c r="B1648" s="8">
        <v>47</v>
      </c>
      <c r="C1648" s="8">
        <v>9.5</v>
      </c>
      <c r="D1648" s="8">
        <v>21</v>
      </c>
      <c r="E1648" s="8">
        <v>0.1</v>
      </c>
    </row>
    <row r="1649" spans="1:5" x14ac:dyDescent="0.2">
      <c r="A1649" s="7">
        <v>10875</v>
      </c>
      <c r="B1649" s="8">
        <v>49</v>
      </c>
      <c r="C1649" s="8">
        <v>20</v>
      </c>
      <c r="D1649" s="8">
        <v>15</v>
      </c>
      <c r="E1649" s="8">
        <v>0</v>
      </c>
    </row>
    <row r="1650" spans="1:5" x14ac:dyDescent="0.2">
      <c r="A1650" s="7">
        <v>10876</v>
      </c>
      <c r="B1650" s="8">
        <v>46</v>
      </c>
      <c r="C1650" s="8">
        <v>12</v>
      </c>
      <c r="D1650" s="8">
        <v>21</v>
      </c>
      <c r="E1650" s="8">
        <v>0</v>
      </c>
    </row>
    <row r="1651" spans="1:5" x14ac:dyDescent="0.2">
      <c r="A1651" s="7">
        <v>10876</v>
      </c>
      <c r="B1651" s="8">
        <v>64</v>
      </c>
      <c r="C1651" s="8">
        <v>33.25</v>
      </c>
      <c r="D1651" s="8">
        <v>20</v>
      </c>
      <c r="E1651" s="8">
        <v>0</v>
      </c>
    </row>
    <row r="1652" spans="1:5" x14ac:dyDescent="0.2">
      <c r="A1652" s="7">
        <v>10877</v>
      </c>
      <c r="B1652" s="8">
        <v>16</v>
      </c>
      <c r="C1652" s="8">
        <v>17.45</v>
      </c>
      <c r="D1652" s="8">
        <v>30</v>
      </c>
      <c r="E1652" s="8">
        <v>0.25</v>
      </c>
    </row>
    <row r="1653" spans="1:5" x14ac:dyDescent="0.2">
      <c r="A1653" s="7">
        <v>10877</v>
      </c>
      <c r="B1653" s="8">
        <v>18</v>
      </c>
      <c r="C1653" s="8">
        <v>62.5</v>
      </c>
      <c r="D1653" s="8">
        <v>25</v>
      </c>
      <c r="E1653" s="8">
        <v>0</v>
      </c>
    </row>
    <row r="1654" spans="1:5" x14ac:dyDescent="0.2">
      <c r="A1654" s="7">
        <v>10878</v>
      </c>
      <c r="B1654" s="8">
        <v>20</v>
      </c>
      <c r="C1654" s="8">
        <v>81</v>
      </c>
      <c r="D1654" s="8">
        <v>20</v>
      </c>
      <c r="E1654" s="8">
        <v>0.05</v>
      </c>
    </row>
    <row r="1655" spans="1:5" x14ac:dyDescent="0.2">
      <c r="A1655" s="7">
        <v>10879</v>
      </c>
      <c r="B1655" s="8">
        <v>40</v>
      </c>
      <c r="C1655" s="8">
        <v>18.399999999999999</v>
      </c>
      <c r="D1655" s="8">
        <v>12</v>
      </c>
      <c r="E1655" s="8">
        <v>0</v>
      </c>
    </row>
    <row r="1656" spans="1:5" x14ac:dyDescent="0.2">
      <c r="A1656" s="7">
        <v>10879</v>
      </c>
      <c r="B1656" s="8">
        <v>65</v>
      </c>
      <c r="C1656" s="8">
        <v>21.05</v>
      </c>
      <c r="D1656" s="8">
        <v>10</v>
      </c>
      <c r="E1656" s="8">
        <v>0</v>
      </c>
    </row>
    <row r="1657" spans="1:5" x14ac:dyDescent="0.2">
      <c r="A1657" s="7">
        <v>10879</v>
      </c>
      <c r="B1657" s="8">
        <v>76</v>
      </c>
      <c r="C1657" s="8">
        <v>18</v>
      </c>
      <c r="D1657" s="8">
        <v>10</v>
      </c>
      <c r="E1657" s="8">
        <v>0</v>
      </c>
    </row>
    <row r="1658" spans="1:5" x14ac:dyDescent="0.2">
      <c r="A1658" s="7">
        <v>10880</v>
      </c>
      <c r="B1658" s="8">
        <v>23</v>
      </c>
      <c r="C1658" s="8">
        <v>9</v>
      </c>
      <c r="D1658" s="8">
        <v>30</v>
      </c>
      <c r="E1658" s="8">
        <v>0.2</v>
      </c>
    </row>
    <row r="1659" spans="1:5" x14ac:dyDescent="0.2">
      <c r="A1659" s="7">
        <v>10880</v>
      </c>
      <c r="B1659" s="8">
        <v>61</v>
      </c>
      <c r="C1659" s="8">
        <v>28.5</v>
      </c>
      <c r="D1659" s="8">
        <v>30</v>
      </c>
      <c r="E1659" s="8">
        <v>0.2</v>
      </c>
    </row>
    <row r="1660" spans="1:5" x14ac:dyDescent="0.2">
      <c r="A1660" s="7">
        <v>10880</v>
      </c>
      <c r="B1660" s="8">
        <v>70</v>
      </c>
      <c r="C1660" s="8">
        <v>15</v>
      </c>
      <c r="D1660" s="8">
        <v>50</v>
      </c>
      <c r="E1660" s="8">
        <v>0.2</v>
      </c>
    </row>
    <row r="1661" spans="1:5" x14ac:dyDescent="0.2">
      <c r="A1661" s="7">
        <v>10881</v>
      </c>
      <c r="B1661" s="8">
        <v>73</v>
      </c>
      <c r="C1661" s="8">
        <v>15</v>
      </c>
      <c r="D1661" s="8">
        <v>10</v>
      </c>
      <c r="E1661" s="8">
        <v>0</v>
      </c>
    </row>
    <row r="1662" spans="1:5" x14ac:dyDescent="0.2">
      <c r="A1662" s="7">
        <v>10882</v>
      </c>
      <c r="B1662" s="8">
        <v>42</v>
      </c>
      <c r="C1662" s="8">
        <v>14</v>
      </c>
      <c r="D1662" s="8">
        <v>25</v>
      </c>
      <c r="E1662" s="8">
        <v>0</v>
      </c>
    </row>
    <row r="1663" spans="1:5" x14ac:dyDescent="0.2">
      <c r="A1663" s="7">
        <v>10882</v>
      </c>
      <c r="B1663" s="8">
        <v>49</v>
      </c>
      <c r="C1663" s="8">
        <v>20</v>
      </c>
      <c r="D1663" s="8">
        <v>20</v>
      </c>
      <c r="E1663" s="8">
        <v>0.15</v>
      </c>
    </row>
    <row r="1664" spans="1:5" x14ac:dyDescent="0.2">
      <c r="A1664" s="7">
        <v>10882</v>
      </c>
      <c r="B1664" s="8">
        <v>54</v>
      </c>
      <c r="C1664" s="8">
        <v>7.45</v>
      </c>
      <c r="D1664" s="8">
        <v>32</v>
      </c>
      <c r="E1664" s="8">
        <v>0.15</v>
      </c>
    </row>
    <row r="1665" spans="1:5" x14ac:dyDescent="0.2">
      <c r="A1665" s="7">
        <v>10883</v>
      </c>
      <c r="B1665" s="8">
        <v>24</v>
      </c>
      <c r="C1665" s="8">
        <v>4.5</v>
      </c>
      <c r="D1665" s="8">
        <v>8</v>
      </c>
      <c r="E1665" s="8">
        <v>0</v>
      </c>
    </row>
    <row r="1666" spans="1:5" x14ac:dyDescent="0.2">
      <c r="A1666" s="7">
        <v>10884</v>
      </c>
      <c r="B1666" s="8">
        <v>21</v>
      </c>
      <c r="C1666" s="8">
        <v>10</v>
      </c>
      <c r="D1666" s="8">
        <v>40</v>
      </c>
      <c r="E1666" s="8">
        <v>0.05</v>
      </c>
    </row>
    <row r="1667" spans="1:5" x14ac:dyDescent="0.2">
      <c r="A1667" s="7">
        <v>10884</v>
      </c>
      <c r="B1667" s="8">
        <v>56</v>
      </c>
      <c r="C1667" s="8">
        <v>38</v>
      </c>
      <c r="D1667" s="8">
        <v>21</v>
      </c>
      <c r="E1667" s="8">
        <v>0.05</v>
      </c>
    </row>
    <row r="1668" spans="1:5" x14ac:dyDescent="0.2">
      <c r="A1668" s="7">
        <v>10884</v>
      </c>
      <c r="B1668" s="8">
        <v>65</v>
      </c>
      <c r="C1668" s="8">
        <v>21.05</v>
      </c>
      <c r="D1668" s="8">
        <v>12</v>
      </c>
      <c r="E1668" s="8">
        <v>0.05</v>
      </c>
    </row>
    <row r="1669" spans="1:5" x14ac:dyDescent="0.2">
      <c r="A1669" s="7">
        <v>10885</v>
      </c>
      <c r="B1669" s="8">
        <v>2</v>
      </c>
      <c r="C1669" s="8">
        <v>19</v>
      </c>
      <c r="D1669" s="8">
        <v>20</v>
      </c>
      <c r="E1669" s="8">
        <v>0</v>
      </c>
    </row>
    <row r="1670" spans="1:5" x14ac:dyDescent="0.2">
      <c r="A1670" s="7">
        <v>10885</v>
      </c>
      <c r="B1670" s="8">
        <v>24</v>
      </c>
      <c r="C1670" s="8">
        <v>4.5</v>
      </c>
      <c r="D1670" s="8">
        <v>12</v>
      </c>
      <c r="E1670" s="8">
        <v>0</v>
      </c>
    </row>
    <row r="1671" spans="1:5" x14ac:dyDescent="0.2">
      <c r="A1671" s="7">
        <v>10885</v>
      </c>
      <c r="B1671" s="8">
        <v>70</v>
      </c>
      <c r="C1671" s="8">
        <v>15</v>
      </c>
      <c r="D1671" s="8">
        <v>30</v>
      </c>
      <c r="E1671" s="8">
        <v>0</v>
      </c>
    </row>
    <row r="1672" spans="1:5" x14ac:dyDescent="0.2">
      <c r="A1672" s="7">
        <v>10885</v>
      </c>
      <c r="B1672" s="8">
        <v>77</v>
      </c>
      <c r="C1672" s="8">
        <v>13</v>
      </c>
      <c r="D1672" s="8">
        <v>25</v>
      </c>
      <c r="E1672" s="8">
        <v>0</v>
      </c>
    </row>
    <row r="1673" spans="1:5" x14ac:dyDescent="0.2">
      <c r="A1673" s="7">
        <v>10886</v>
      </c>
      <c r="B1673" s="8">
        <v>10</v>
      </c>
      <c r="C1673" s="8">
        <v>31</v>
      </c>
      <c r="D1673" s="8">
        <v>70</v>
      </c>
      <c r="E1673" s="8">
        <v>0</v>
      </c>
    </row>
    <row r="1674" spans="1:5" x14ac:dyDescent="0.2">
      <c r="A1674" s="7">
        <v>10886</v>
      </c>
      <c r="B1674" s="8">
        <v>31</v>
      </c>
      <c r="C1674" s="8">
        <v>12.5</v>
      </c>
      <c r="D1674" s="8">
        <v>35</v>
      </c>
      <c r="E1674" s="8">
        <v>0</v>
      </c>
    </row>
    <row r="1675" spans="1:5" x14ac:dyDescent="0.2">
      <c r="A1675" s="7">
        <v>10886</v>
      </c>
      <c r="B1675" s="8">
        <v>77</v>
      </c>
      <c r="C1675" s="8">
        <v>13</v>
      </c>
      <c r="D1675" s="8">
        <v>40</v>
      </c>
      <c r="E1675" s="8">
        <v>0</v>
      </c>
    </row>
    <row r="1676" spans="1:5" x14ac:dyDescent="0.2">
      <c r="A1676" s="7">
        <v>10887</v>
      </c>
      <c r="B1676" s="8">
        <v>25</v>
      </c>
      <c r="C1676" s="8">
        <v>14</v>
      </c>
      <c r="D1676" s="8">
        <v>5</v>
      </c>
      <c r="E1676" s="8">
        <v>0</v>
      </c>
    </row>
    <row r="1677" spans="1:5" x14ac:dyDescent="0.2">
      <c r="A1677" s="7">
        <v>10888</v>
      </c>
      <c r="B1677" s="8">
        <v>2</v>
      </c>
      <c r="C1677" s="8">
        <v>19</v>
      </c>
      <c r="D1677" s="8">
        <v>20</v>
      </c>
      <c r="E1677" s="8">
        <v>0</v>
      </c>
    </row>
    <row r="1678" spans="1:5" x14ac:dyDescent="0.2">
      <c r="A1678" s="7">
        <v>10888</v>
      </c>
      <c r="B1678" s="8">
        <v>68</v>
      </c>
      <c r="C1678" s="8">
        <v>12.5</v>
      </c>
      <c r="D1678" s="8">
        <v>18</v>
      </c>
      <c r="E1678" s="8">
        <v>0</v>
      </c>
    </row>
    <row r="1679" spans="1:5" x14ac:dyDescent="0.2">
      <c r="A1679" s="7">
        <v>10889</v>
      </c>
      <c r="B1679" s="8">
        <v>11</v>
      </c>
      <c r="C1679" s="8">
        <v>21</v>
      </c>
      <c r="D1679" s="8">
        <v>40</v>
      </c>
      <c r="E1679" s="8">
        <v>0</v>
      </c>
    </row>
    <row r="1680" spans="1:5" x14ac:dyDescent="0.2">
      <c r="A1680" s="7">
        <v>10889</v>
      </c>
      <c r="B1680" s="8">
        <v>38</v>
      </c>
      <c r="C1680" s="8">
        <v>263.5</v>
      </c>
      <c r="D1680" s="8">
        <v>40</v>
      </c>
      <c r="E1680" s="8">
        <v>0</v>
      </c>
    </row>
    <row r="1681" spans="1:5" x14ac:dyDescent="0.2">
      <c r="A1681" s="7">
        <v>10890</v>
      </c>
      <c r="B1681" s="8">
        <v>17</v>
      </c>
      <c r="C1681" s="8">
        <v>39</v>
      </c>
      <c r="D1681" s="8">
        <v>15</v>
      </c>
      <c r="E1681" s="8">
        <v>0</v>
      </c>
    </row>
    <row r="1682" spans="1:5" x14ac:dyDescent="0.2">
      <c r="A1682" s="7">
        <v>10890</v>
      </c>
      <c r="B1682" s="8">
        <v>34</v>
      </c>
      <c r="C1682" s="8">
        <v>14</v>
      </c>
      <c r="D1682" s="8">
        <v>10</v>
      </c>
      <c r="E1682" s="8">
        <v>0</v>
      </c>
    </row>
    <row r="1683" spans="1:5" x14ac:dyDescent="0.2">
      <c r="A1683" s="7">
        <v>10890</v>
      </c>
      <c r="B1683" s="8">
        <v>41</v>
      </c>
      <c r="C1683" s="8">
        <v>9.65</v>
      </c>
      <c r="D1683" s="8">
        <v>14</v>
      </c>
      <c r="E1683" s="8">
        <v>0</v>
      </c>
    </row>
    <row r="1684" spans="1:5" x14ac:dyDescent="0.2">
      <c r="A1684" s="7">
        <v>10891</v>
      </c>
      <c r="B1684" s="8">
        <v>30</v>
      </c>
      <c r="C1684" s="8">
        <v>25.89</v>
      </c>
      <c r="D1684" s="8">
        <v>15</v>
      </c>
      <c r="E1684" s="8">
        <v>0.05</v>
      </c>
    </row>
    <row r="1685" spans="1:5" x14ac:dyDescent="0.2">
      <c r="A1685" s="7">
        <v>10892</v>
      </c>
      <c r="B1685" s="8">
        <v>59</v>
      </c>
      <c r="C1685" s="8">
        <v>55</v>
      </c>
      <c r="D1685" s="8">
        <v>40</v>
      </c>
      <c r="E1685" s="8">
        <v>0.05</v>
      </c>
    </row>
    <row r="1686" spans="1:5" x14ac:dyDescent="0.2">
      <c r="A1686" s="7">
        <v>10893</v>
      </c>
      <c r="B1686" s="8">
        <v>8</v>
      </c>
      <c r="C1686" s="8">
        <v>40</v>
      </c>
      <c r="D1686" s="8">
        <v>30</v>
      </c>
      <c r="E1686" s="8">
        <v>0</v>
      </c>
    </row>
    <row r="1687" spans="1:5" x14ac:dyDescent="0.2">
      <c r="A1687" s="7">
        <v>10893</v>
      </c>
      <c r="B1687" s="8">
        <v>24</v>
      </c>
      <c r="C1687" s="8">
        <v>4.5</v>
      </c>
      <c r="D1687" s="8">
        <v>10</v>
      </c>
      <c r="E1687" s="8">
        <v>0</v>
      </c>
    </row>
    <row r="1688" spans="1:5" x14ac:dyDescent="0.2">
      <c r="A1688" s="7">
        <v>10893</v>
      </c>
      <c r="B1688" s="8">
        <v>29</v>
      </c>
      <c r="C1688" s="8">
        <v>123.79</v>
      </c>
      <c r="D1688" s="8">
        <v>24</v>
      </c>
      <c r="E1688" s="8">
        <v>0</v>
      </c>
    </row>
    <row r="1689" spans="1:5" x14ac:dyDescent="0.2">
      <c r="A1689" s="7">
        <v>10893</v>
      </c>
      <c r="B1689" s="8">
        <v>30</v>
      </c>
      <c r="C1689" s="8">
        <v>25.89</v>
      </c>
      <c r="D1689" s="8">
        <v>35</v>
      </c>
      <c r="E1689" s="8">
        <v>0</v>
      </c>
    </row>
    <row r="1690" spans="1:5" x14ac:dyDescent="0.2">
      <c r="A1690" s="7">
        <v>10893</v>
      </c>
      <c r="B1690" s="8">
        <v>36</v>
      </c>
      <c r="C1690" s="8">
        <v>19</v>
      </c>
      <c r="D1690" s="8">
        <v>20</v>
      </c>
      <c r="E1690" s="8">
        <v>0</v>
      </c>
    </row>
    <row r="1691" spans="1:5" x14ac:dyDescent="0.2">
      <c r="A1691" s="7">
        <v>10894</v>
      </c>
      <c r="B1691" s="8">
        <v>13</v>
      </c>
      <c r="C1691" s="8">
        <v>6</v>
      </c>
      <c r="D1691" s="8">
        <v>28</v>
      </c>
      <c r="E1691" s="8">
        <v>0.05</v>
      </c>
    </row>
    <row r="1692" spans="1:5" x14ac:dyDescent="0.2">
      <c r="A1692" s="7">
        <v>10894</v>
      </c>
      <c r="B1692" s="8">
        <v>69</v>
      </c>
      <c r="C1692" s="8">
        <v>36</v>
      </c>
      <c r="D1692" s="8">
        <v>50</v>
      </c>
      <c r="E1692" s="8">
        <v>0.05</v>
      </c>
    </row>
    <row r="1693" spans="1:5" x14ac:dyDescent="0.2">
      <c r="A1693" s="7">
        <v>10894</v>
      </c>
      <c r="B1693" s="8">
        <v>75</v>
      </c>
      <c r="C1693" s="8">
        <v>7.75</v>
      </c>
      <c r="D1693" s="8">
        <v>120</v>
      </c>
      <c r="E1693" s="8">
        <v>0.05</v>
      </c>
    </row>
    <row r="1694" spans="1:5" x14ac:dyDescent="0.2">
      <c r="A1694" s="7">
        <v>10895</v>
      </c>
      <c r="B1694" s="8">
        <v>24</v>
      </c>
      <c r="C1694" s="8">
        <v>4.5</v>
      </c>
      <c r="D1694" s="8">
        <v>110</v>
      </c>
      <c r="E1694" s="8">
        <v>0</v>
      </c>
    </row>
    <row r="1695" spans="1:5" x14ac:dyDescent="0.2">
      <c r="A1695" s="7">
        <v>10895</v>
      </c>
      <c r="B1695" s="8">
        <v>39</v>
      </c>
      <c r="C1695" s="8">
        <v>18</v>
      </c>
      <c r="D1695" s="8">
        <v>45</v>
      </c>
      <c r="E1695" s="8">
        <v>0</v>
      </c>
    </row>
    <row r="1696" spans="1:5" x14ac:dyDescent="0.2">
      <c r="A1696" s="7">
        <v>10895</v>
      </c>
      <c r="B1696" s="8">
        <v>40</v>
      </c>
      <c r="C1696" s="8">
        <v>18.399999999999999</v>
      </c>
      <c r="D1696" s="8">
        <v>91</v>
      </c>
      <c r="E1696" s="8">
        <v>0</v>
      </c>
    </row>
    <row r="1697" spans="1:5" x14ac:dyDescent="0.2">
      <c r="A1697" s="7">
        <v>10895</v>
      </c>
      <c r="B1697" s="8">
        <v>60</v>
      </c>
      <c r="C1697" s="8">
        <v>34</v>
      </c>
      <c r="D1697" s="8">
        <v>100</v>
      </c>
      <c r="E1697" s="8">
        <v>0</v>
      </c>
    </row>
    <row r="1698" spans="1:5" x14ac:dyDescent="0.2">
      <c r="A1698" s="7">
        <v>10896</v>
      </c>
      <c r="B1698" s="8">
        <v>45</v>
      </c>
      <c r="C1698" s="8">
        <v>9.5</v>
      </c>
      <c r="D1698" s="8">
        <v>15</v>
      </c>
      <c r="E1698" s="8">
        <v>0</v>
      </c>
    </row>
    <row r="1699" spans="1:5" x14ac:dyDescent="0.2">
      <c r="A1699" s="7">
        <v>10896</v>
      </c>
      <c r="B1699" s="8">
        <v>56</v>
      </c>
      <c r="C1699" s="8">
        <v>38</v>
      </c>
      <c r="D1699" s="8">
        <v>16</v>
      </c>
      <c r="E1699" s="8">
        <v>0</v>
      </c>
    </row>
    <row r="1700" spans="1:5" x14ac:dyDescent="0.2">
      <c r="A1700" s="7">
        <v>10897</v>
      </c>
      <c r="B1700" s="8">
        <v>29</v>
      </c>
      <c r="C1700" s="8">
        <v>123.79</v>
      </c>
      <c r="D1700" s="8">
        <v>80</v>
      </c>
      <c r="E1700" s="8">
        <v>0</v>
      </c>
    </row>
    <row r="1701" spans="1:5" x14ac:dyDescent="0.2">
      <c r="A1701" s="7">
        <v>10897</v>
      </c>
      <c r="B1701" s="8">
        <v>30</v>
      </c>
      <c r="C1701" s="8">
        <v>25.89</v>
      </c>
      <c r="D1701" s="8">
        <v>36</v>
      </c>
      <c r="E1701" s="8">
        <v>0</v>
      </c>
    </row>
    <row r="1702" spans="1:5" x14ac:dyDescent="0.2">
      <c r="A1702" s="7">
        <v>10898</v>
      </c>
      <c r="B1702" s="8">
        <v>13</v>
      </c>
      <c r="C1702" s="8">
        <v>6</v>
      </c>
      <c r="D1702" s="8">
        <v>5</v>
      </c>
      <c r="E1702" s="8">
        <v>0</v>
      </c>
    </row>
    <row r="1703" spans="1:5" x14ac:dyDescent="0.2">
      <c r="A1703" s="7">
        <v>10899</v>
      </c>
      <c r="B1703" s="8">
        <v>39</v>
      </c>
      <c r="C1703" s="8">
        <v>18</v>
      </c>
      <c r="D1703" s="8">
        <v>8</v>
      </c>
      <c r="E1703" s="8">
        <v>0.15</v>
      </c>
    </row>
    <row r="1704" spans="1:5" x14ac:dyDescent="0.2">
      <c r="A1704" s="7">
        <v>10900</v>
      </c>
      <c r="B1704" s="8">
        <v>70</v>
      </c>
      <c r="C1704" s="8">
        <v>15</v>
      </c>
      <c r="D1704" s="8">
        <v>3</v>
      </c>
      <c r="E1704" s="8">
        <v>0.25</v>
      </c>
    </row>
    <row r="1705" spans="1:5" x14ac:dyDescent="0.2">
      <c r="A1705" s="7">
        <v>10901</v>
      </c>
      <c r="B1705" s="8">
        <v>41</v>
      </c>
      <c r="C1705" s="8">
        <v>9.65</v>
      </c>
      <c r="D1705" s="8">
        <v>30</v>
      </c>
      <c r="E1705" s="8">
        <v>0</v>
      </c>
    </row>
    <row r="1706" spans="1:5" x14ac:dyDescent="0.2">
      <c r="A1706" s="7">
        <v>10901</v>
      </c>
      <c r="B1706" s="8">
        <v>71</v>
      </c>
      <c r="C1706" s="8">
        <v>21.5</v>
      </c>
      <c r="D1706" s="8">
        <v>30</v>
      </c>
      <c r="E1706" s="8">
        <v>0</v>
      </c>
    </row>
    <row r="1707" spans="1:5" x14ac:dyDescent="0.2">
      <c r="A1707" s="7">
        <v>10902</v>
      </c>
      <c r="B1707" s="8">
        <v>55</v>
      </c>
      <c r="C1707" s="8">
        <v>24</v>
      </c>
      <c r="D1707" s="8">
        <v>30</v>
      </c>
      <c r="E1707" s="8">
        <v>0.15</v>
      </c>
    </row>
    <row r="1708" spans="1:5" x14ac:dyDescent="0.2">
      <c r="A1708" s="7">
        <v>10902</v>
      </c>
      <c r="B1708" s="8">
        <v>62</v>
      </c>
      <c r="C1708" s="8">
        <v>49.3</v>
      </c>
      <c r="D1708" s="8">
        <v>6</v>
      </c>
      <c r="E1708" s="8">
        <v>0.15</v>
      </c>
    </row>
    <row r="1709" spans="1:5" x14ac:dyDescent="0.2">
      <c r="A1709" s="7">
        <v>10903</v>
      </c>
      <c r="B1709" s="8">
        <v>13</v>
      </c>
      <c r="C1709" s="8">
        <v>6</v>
      </c>
      <c r="D1709" s="8">
        <v>40</v>
      </c>
      <c r="E1709" s="8">
        <v>0</v>
      </c>
    </row>
    <row r="1710" spans="1:5" x14ac:dyDescent="0.2">
      <c r="A1710" s="7">
        <v>10903</v>
      </c>
      <c r="B1710" s="8">
        <v>65</v>
      </c>
      <c r="C1710" s="8">
        <v>21.05</v>
      </c>
      <c r="D1710" s="8">
        <v>21</v>
      </c>
      <c r="E1710" s="8">
        <v>0</v>
      </c>
    </row>
    <row r="1711" spans="1:5" x14ac:dyDescent="0.2">
      <c r="A1711" s="7">
        <v>10903</v>
      </c>
      <c r="B1711" s="8">
        <v>68</v>
      </c>
      <c r="C1711" s="8">
        <v>12.5</v>
      </c>
      <c r="D1711" s="8">
        <v>20</v>
      </c>
      <c r="E1711" s="8">
        <v>0</v>
      </c>
    </row>
    <row r="1712" spans="1:5" x14ac:dyDescent="0.2">
      <c r="A1712" s="7">
        <v>10904</v>
      </c>
      <c r="B1712" s="8">
        <v>58</v>
      </c>
      <c r="C1712" s="8">
        <v>13.25</v>
      </c>
      <c r="D1712" s="8">
        <v>15</v>
      </c>
      <c r="E1712" s="8">
        <v>0</v>
      </c>
    </row>
    <row r="1713" spans="1:5" x14ac:dyDescent="0.2">
      <c r="A1713" s="7">
        <v>10904</v>
      </c>
      <c r="B1713" s="8">
        <v>62</v>
      </c>
      <c r="C1713" s="8">
        <v>49.3</v>
      </c>
      <c r="D1713" s="8">
        <v>35</v>
      </c>
      <c r="E1713" s="8">
        <v>0</v>
      </c>
    </row>
    <row r="1714" spans="1:5" x14ac:dyDescent="0.2">
      <c r="A1714" s="7">
        <v>10905</v>
      </c>
      <c r="B1714" s="8">
        <v>1</v>
      </c>
      <c r="C1714" s="8">
        <v>18</v>
      </c>
      <c r="D1714" s="8">
        <v>20</v>
      </c>
      <c r="E1714" s="8">
        <v>0.05</v>
      </c>
    </row>
    <row r="1715" spans="1:5" x14ac:dyDescent="0.2">
      <c r="A1715" s="7">
        <v>10906</v>
      </c>
      <c r="B1715" s="8">
        <v>61</v>
      </c>
      <c r="C1715" s="8">
        <v>28.5</v>
      </c>
      <c r="D1715" s="8">
        <v>15</v>
      </c>
      <c r="E1715" s="8">
        <v>0</v>
      </c>
    </row>
    <row r="1716" spans="1:5" x14ac:dyDescent="0.2">
      <c r="A1716" s="7">
        <v>10907</v>
      </c>
      <c r="B1716" s="8">
        <v>75</v>
      </c>
      <c r="C1716" s="8">
        <v>7.75</v>
      </c>
      <c r="D1716" s="8">
        <v>14</v>
      </c>
      <c r="E1716" s="8">
        <v>0</v>
      </c>
    </row>
    <row r="1717" spans="1:5" x14ac:dyDescent="0.2">
      <c r="A1717" s="7">
        <v>10908</v>
      </c>
      <c r="B1717" s="8">
        <v>7</v>
      </c>
      <c r="C1717" s="8">
        <v>30</v>
      </c>
      <c r="D1717" s="8">
        <v>20</v>
      </c>
      <c r="E1717" s="8">
        <v>0.05</v>
      </c>
    </row>
    <row r="1718" spans="1:5" x14ac:dyDescent="0.2">
      <c r="A1718" s="7">
        <v>10908</v>
      </c>
      <c r="B1718" s="8">
        <v>52</v>
      </c>
      <c r="C1718" s="8">
        <v>7</v>
      </c>
      <c r="D1718" s="8">
        <v>14</v>
      </c>
      <c r="E1718" s="8">
        <v>0.05</v>
      </c>
    </row>
    <row r="1719" spans="1:5" x14ac:dyDescent="0.2">
      <c r="A1719" s="7">
        <v>10909</v>
      </c>
      <c r="B1719" s="8">
        <v>7</v>
      </c>
      <c r="C1719" s="8">
        <v>30</v>
      </c>
      <c r="D1719" s="8">
        <v>12</v>
      </c>
      <c r="E1719" s="8">
        <v>0</v>
      </c>
    </row>
    <row r="1720" spans="1:5" x14ac:dyDescent="0.2">
      <c r="A1720" s="7">
        <v>10909</v>
      </c>
      <c r="B1720" s="8">
        <v>16</v>
      </c>
      <c r="C1720" s="8">
        <v>17.45</v>
      </c>
      <c r="D1720" s="8">
        <v>15</v>
      </c>
      <c r="E1720" s="8">
        <v>0</v>
      </c>
    </row>
    <row r="1721" spans="1:5" x14ac:dyDescent="0.2">
      <c r="A1721" s="7">
        <v>10909</v>
      </c>
      <c r="B1721" s="8">
        <v>41</v>
      </c>
      <c r="C1721" s="8">
        <v>9.65</v>
      </c>
      <c r="D1721" s="8">
        <v>5</v>
      </c>
      <c r="E1721" s="8">
        <v>0</v>
      </c>
    </row>
    <row r="1722" spans="1:5" x14ac:dyDescent="0.2">
      <c r="A1722" s="7">
        <v>10910</v>
      </c>
      <c r="B1722" s="8">
        <v>19</v>
      </c>
      <c r="C1722" s="8">
        <v>9.1999999999999993</v>
      </c>
      <c r="D1722" s="8">
        <v>12</v>
      </c>
      <c r="E1722" s="8">
        <v>0</v>
      </c>
    </row>
    <row r="1723" spans="1:5" x14ac:dyDescent="0.2">
      <c r="A1723" s="7">
        <v>10910</v>
      </c>
      <c r="B1723" s="8">
        <v>49</v>
      </c>
      <c r="C1723" s="8">
        <v>20</v>
      </c>
      <c r="D1723" s="8">
        <v>10</v>
      </c>
      <c r="E1723" s="8">
        <v>0</v>
      </c>
    </row>
    <row r="1724" spans="1:5" x14ac:dyDescent="0.2">
      <c r="A1724" s="7">
        <v>10910</v>
      </c>
      <c r="B1724" s="8">
        <v>61</v>
      </c>
      <c r="C1724" s="8">
        <v>28.5</v>
      </c>
      <c r="D1724" s="8">
        <v>5</v>
      </c>
      <c r="E1724" s="8">
        <v>0</v>
      </c>
    </row>
    <row r="1725" spans="1:5" x14ac:dyDescent="0.2">
      <c r="A1725" s="7">
        <v>10911</v>
      </c>
      <c r="B1725" s="8">
        <v>1</v>
      </c>
      <c r="C1725" s="8">
        <v>18</v>
      </c>
      <c r="D1725" s="8">
        <v>10</v>
      </c>
      <c r="E1725" s="8">
        <v>0</v>
      </c>
    </row>
    <row r="1726" spans="1:5" x14ac:dyDescent="0.2">
      <c r="A1726" s="7">
        <v>10911</v>
      </c>
      <c r="B1726" s="8">
        <v>17</v>
      </c>
      <c r="C1726" s="8">
        <v>39</v>
      </c>
      <c r="D1726" s="8">
        <v>12</v>
      </c>
      <c r="E1726" s="8">
        <v>0</v>
      </c>
    </row>
    <row r="1727" spans="1:5" x14ac:dyDescent="0.2">
      <c r="A1727" s="7">
        <v>10911</v>
      </c>
      <c r="B1727" s="8">
        <v>67</v>
      </c>
      <c r="C1727" s="8">
        <v>14</v>
      </c>
      <c r="D1727" s="8">
        <v>15</v>
      </c>
      <c r="E1727" s="8">
        <v>0</v>
      </c>
    </row>
    <row r="1728" spans="1:5" x14ac:dyDescent="0.2">
      <c r="A1728" s="7">
        <v>10912</v>
      </c>
      <c r="B1728" s="8">
        <v>11</v>
      </c>
      <c r="C1728" s="8">
        <v>21</v>
      </c>
      <c r="D1728" s="8">
        <v>40</v>
      </c>
      <c r="E1728" s="8">
        <v>0.25</v>
      </c>
    </row>
    <row r="1729" spans="1:5" x14ac:dyDescent="0.2">
      <c r="A1729" s="7">
        <v>10912</v>
      </c>
      <c r="B1729" s="8">
        <v>29</v>
      </c>
      <c r="C1729" s="8">
        <v>123.79</v>
      </c>
      <c r="D1729" s="8">
        <v>60</v>
      </c>
      <c r="E1729" s="8">
        <v>0.25</v>
      </c>
    </row>
    <row r="1730" spans="1:5" x14ac:dyDescent="0.2">
      <c r="A1730" s="7">
        <v>10913</v>
      </c>
      <c r="B1730" s="8">
        <v>4</v>
      </c>
      <c r="C1730" s="8">
        <v>22</v>
      </c>
      <c r="D1730" s="8">
        <v>30</v>
      </c>
      <c r="E1730" s="8">
        <v>0.25</v>
      </c>
    </row>
    <row r="1731" spans="1:5" x14ac:dyDescent="0.2">
      <c r="A1731" s="7">
        <v>10913</v>
      </c>
      <c r="B1731" s="8">
        <v>33</v>
      </c>
      <c r="C1731" s="8">
        <v>2.5</v>
      </c>
      <c r="D1731" s="8">
        <v>40</v>
      </c>
      <c r="E1731" s="8">
        <v>0.25</v>
      </c>
    </row>
    <row r="1732" spans="1:5" x14ac:dyDescent="0.2">
      <c r="A1732" s="7">
        <v>10913</v>
      </c>
      <c r="B1732" s="8">
        <v>58</v>
      </c>
      <c r="C1732" s="8">
        <v>13.25</v>
      </c>
      <c r="D1732" s="8">
        <v>15</v>
      </c>
      <c r="E1732" s="8">
        <v>0</v>
      </c>
    </row>
    <row r="1733" spans="1:5" x14ac:dyDescent="0.2">
      <c r="A1733" s="7">
        <v>10914</v>
      </c>
      <c r="B1733" s="8">
        <v>71</v>
      </c>
      <c r="C1733" s="8">
        <v>21.5</v>
      </c>
      <c r="D1733" s="8">
        <v>25</v>
      </c>
      <c r="E1733" s="8">
        <v>0</v>
      </c>
    </row>
    <row r="1734" spans="1:5" x14ac:dyDescent="0.2">
      <c r="A1734" s="7">
        <v>10915</v>
      </c>
      <c r="B1734" s="8">
        <v>17</v>
      </c>
      <c r="C1734" s="8">
        <v>39</v>
      </c>
      <c r="D1734" s="8">
        <v>10</v>
      </c>
      <c r="E1734" s="8">
        <v>0</v>
      </c>
    </row>
    <row r="1735" spans="1:5" x14ac:dyDescent="0.2">
      <c r="A1735" s="7">
        <v>10915</v>
      </c>
      <c r="B1735" s="8">
        <v>33</v>
      </c>
      <c r="C1735" s="8">
        <v>2.5</v>
      </c>
      <c r="D1735" s="8">
        <v>30</v>
      </c>
      <c r="E1735" s="8">
        <v>0</v>
      </c>
    </row>
    <row r="1736" spans="1:5" x14ac:dyDescent="0.2">
      <c r="A1736" s="7">
        <v>10915</v>
      </c>
      <c r="B1736" s="8">
        <v>54</v>
      </c>
      <c r="C1736" s="8">
        <v>7.45</v>
      </c>
      <c r="D1736" s="8">
        <v>10</v>
      </c>
      <c r="E1736" s="8">
        <v>0</v>
      </c>
    </row>
    <row r="1737" spans="1:5" x14ac:dyDescent="0.2">
      <c r="A1737" s="7">
        <v>10916</v>
      </c>
      <c r="B1737" s="8">
        <v>16</v>
      </c>
      <c r="C1737" s="8">
        <v>17.45</v>
      </c>
      <c r="D1737" s="8">
        <v>6</v>
      </c>
      <c r="E1737" s="8">
        <v>0</v>
      </c>
    </row>
    <row r="1738" spans="1:5" x14ac:dyDescent="0.2">
      <c r="A1738" s="7">
        <v>10916</v>
      </c>
      <c r="B1738" s="8">
        <v>32</v>
      </c>
      <c r="C1738" s="8">
        <v>32</v>
      </c>
      <c r="D1738" s="8">
        <v>6</v>
      </c>
      <c r="E1738" s="8">
        <v>0</v>
      </c>
    </row>
    <row r="1739" spans="1:5" x14ac:dyDescent="0.2">
      <c r="A1739" s="7">
        <v>10916</v>
      </c>
      <c r="B1739" s="8">
        <v>57</v>
      </c>
      <c r="C1739" s="8">
        <v>19.5</v>
      </c>
      <c r="D1739" s="8">
        <v>20</v>
      </c>
      <c r="E1739" s="8">
        <v>0</v>
      </c>
    </row>
    <row r="1740" spans="1:5" x14ac:dyDescent="0.2">
      <c r="A1740" s="7">
        <v>10917</v>
      </c>
      <c r="B1740" s="8">
        <v>30</v>
      </c>
      <c r="C1740" s="8">
        <v>25.89</v>
      </c>
      <c r="D1740" s="8">
        <v>1</v>
      </c>
      <c r="E1740" s="8">
        <v>0</v>
      </c>
    </row>
    <row r="1741" spans="1:5" x14ac:dyDescent="0.2">
      <c r="A1741" s="7">
        <v>10917</v>
      </c>
      <c r="B1741" s="8">
        <v>60</v>
      </c>
      <c r="C1741" s="8">
        <v>34</v>
      </c>
      <c r="D1741" s="8">
        <v>10</v>
      </c>
      <c r="E1741" s="8">
        <v>0</v>
      </c>
    </row>
    <row r="1742" spans="1:5" x14ac:dyDescent="0.2">
      <c r="A1742" s="7">
        <v>10918</v>
      </c>
      <c r="B1742" s="8">
        <v>1</v>
      </c>
      <c r="C1742" s="8">
        <v>18</v>
      </c>
      <c r="D1742" s="8">
        <v>60</v>
      </c>
      <c r="E1742" s="8">
        <v>0.25</v>
      </c>
    </row>
    <row r="1743" spans="1:5" x14ac:dyDescent="0.2">
      <c r="A1743" s="7">
        <v>10918</v>
      </c>
      <c r="B1743" s="8">
        <v>60</v>
      </c>
      <c r="C1743" s="8">
        <v>34</v>
      </c>
      <c r="D1743" s="8">
        <v>25</v>
      </c>
      <c r="E1743" s="8">
        <v>0.25</v>
      </c>
    </row>
    <row r="1744" spans="1:5" x14ac:dyDescent="0.2">
      <c r="A1744" s="7">
        <v>10919</v>
      </c>
      <c r="B1744" s="8">
        <v>16</v>
      </c>
      <c r="C1744" s="8">
        <v>17.45</v>
      </c>
      <c r="D1744" s="8">
        <v>24</v>
      </c>
      <c r="E1744" s="8">
        <v>0</v>
      </c>
    </row>
    <row r="1745" spans="1:5" x14ac:dyDescent="0.2">
      <c r="A1745" s="7">
        <v>10919</v>
      </c>
      <c r="B1745" s="8">
        <v>25</v>
      </c>
      <c r="C1745" s="8">
        <v>14</v>
      </c>
      <c r="D1745" s="8">
        <v>24</v>
      </c>
      <c r="E1745" s="8">
        <v>0</v>
      </c>
    </row>
    <row r="1746" spans="1:5" x14ac:dyDescent="0.2">
      <c r="A1746" s="7">
        <v>10919</v>
      </c>
      <c r="B1746" s="8">
        <v>40</v>
      </c>
      <c r="C1746" s="8">
        <v>18.399999999999999</v>
      </c>
      <c r="D1746" s="8">
        <v>20</v>
      </c>
      <c r="E1746" s="8">
        <v>0</v>
      </c>
    </row>
    <row r="1747" spans="1:5" x14ac:dyDescent="0.2">
      <c r="A1747" s="7">
        <v>10920</v>
      </c>
      <c r="B1747" s="8">
        <v>50</v>
      </c>
      <c r="C1747" s="8">
        <v>16.25</v>
      </c>
      <c r="D1747" s="8">
        <v>24</v>
      </c>
      <c r="E1747" s="8">
        <v>0</v>
      </c>
    </row>
    <row r="1748" spans="1:5" x14ac:dyDescent="0.2">
      <c r="A1748" s="7">
        <v>10921</v>
      </c>
      <c r="B1748" s="8">
        <v>35</v>
      </c>
      <c r="C1748" s="8">
        <v>18</v>
      </c>
      <c r="D1748" s="8">
        <v>10</v>
      </c>
      <c r="E1748" s="8">
        <v>0</v>
      </c>
    </row>
    <row r="1749" spans="1:5" x14ac:dyDescent="0.2">
      <c r="A1749" s="7">
        <v>10921</v>
      </c>
      <c r="B1749" s="8">
        <v>63</v>
      </c>
      <c r="C1749" s="8">
        <v>43.9</v>
      </c>
      <c r="D1749" s="8">
        <v>40</v>
      </c>
      <c r="E1749" s="8">
        <v>0</v>
      </c>
    </row>
    <row r="1750" spans="1:5" x14ac:dyDescent="0.2">
      <c r="A1750" s="7">
        <v>10922</v>
      </c>
      <c r="B1750" s="8">
        <v>17</v>
      </c>
      <c r="C1750" s="8">
        <v>39</v>
      </c>
      <c r="D1750" s="8">
        <v>15</v>
      </c>
      <c r="E1750" s="8">
        <v>0</v>
      </c>
    </row>
    <row r="1751" spans="1:5" x14ac:dyDescent="0.2">
      <c r="A1751" s="7">
        <v>10922</v>
      </c>
      <c r="B1751" s="8">
        <v>24</v>
      </c>
      <c r="C1751" s="8">
        <v>4.5</v>
      </c>
      <c r="D1751" s="8">
        <v>35</v>
      </c>
      <c r="E1751" s="8">
        <v>0</v>
      </c>
    </row>
    <row r="1752" spans="1:5" x14ac:dyDescent="0.2">
      <c r="A1752" s="7">
        <v>10923</v>
      </c>
      <c r="B1752" s="8">
        <v>42</v>
      </c>
      <c r="C1752" s="8">
        <v>14</v>
      </c>
      <c r="D1752" s="8">
        <v>10</v>
      </c>
      <c r="E1752" s="8">
        <v>0.2</v>
      </c>
    </row>
    <row r="1753" spans="1:5" x14ac:dyDescent="0.2">
      <c r="A1753" s="7">
        <v>10923</v>
      </c>
      <c r="B1753" s="8">
        <v>43</v>
      </c>
      <c r="C1753" s="8">
        <v>46</v>
      </c>
      <c r="D1753" s="8">
        <v>10</v>
      </c>
      <c r="E1753" s="8">
        <v>0.2</v>
      </c>
    </row>
    <row r="1754" spans="1:5" x14ac:dyDescent="0.2">
      <c r="A1754" s="7">
        <v>10923</v>
      </c>
      <c r="B1754" s="8">
        <v>67</v>
      </c>
      <c r="C1754" s="8">
        <v>14</v>
      </c>
      <c r="D1754" s="8">
        <v>24</v>
      </c>
      <c r="E1754" s="8">
        <v>0.2</v>
      </c>
    </row>
    <row r="1755" spans="1:5" x14ac:dyDescent="0.2">
      <c r="A1755" s="7">
        <v>10924</v>
      </c>
      <c r="B1755" s="8">
        <v>10</v>
      </c>
      <c r="C1755" s="8">
        <v>31</v>
      </c>
      <c r="D1755" s="8">
        <v>20</v>
      </c>
      <c r="E1755" s="8">
        <v>0.1</v>
      </c>
    </row>
    <row r="1756" spans="1:5" x14ac:dyDescent="0.2">
      <c r="A1756" s="7">
        <v>10924</v>
      </c>
      <c r="B1756" s="8">
        <v>28</v>
      </c>
      <c r="C1756" s="8">
        <v>45.6</v>
      </c>
      <c r="D1756" s="8">
        <v>30</v>
      </c>
      <c r="E1756" s="8">
        <v>0.1</v>
      </c>
    </row>
    <row r="1757" spans="1:5" x14ac:dyDescent="0.2">
      <c r="A1757" s="7">
        <v>10924</v>
      </c>
      <c r="B1757" s="8">
        <v>75</v>
      </c>
      <c r="C1757" s="8">
        <v>7.75</v>
      </c>
      <c r="D1757" s="8">
        <v>6</v>
      </c>
      <c r="E1757" s="8">
        <v>0</v>
      </c>
    </row>
    <row r="1758" spans="1:5" x14ac:dyDescent="0.2">
      <c r="A1758" s="7">
        <v>10925</v>
      </c>
      <c r="B1758" s="8">
        <v>36</v>
      </c>
      <c r="C1758" s="8">
        <v>19</v>
      </c>
      <c r="D1758" s="8">
        <v>25</v>
      </c>
      <c r="E1758" s="8">
        <v>0.15</v>
      </c>
    </row>
    <row r="1759" spans="1:5" x14ac:dyDescent="0.2">
      <c r="A1759" s="7">
        <v>10925</v>
      </c>
      <c r="B1759" s="8">
        <v>52</v>
      </c>
      <c r="C1759" s="8">
        <v>7</v>
      </c>
      <c r="D1759" s="8">
        <v>12</v>
      </c>
      <c r="E1759" s="8">
        <v>0.15</v>
      </c>
    </row>
    <row r="1760" spans="1:5" x14ac:dyDescent="0.2">
      <c r="A1760" s="7">
        <v>10926</v>
      </c>
      <c r="B1760" s="8">
        <v>11</v>
      </c>
      <c r="C1760" s="8">
        <v>21</v>
      </c>
      <c r="D1760" s="8">
        <v>2</v>
      </c>
      <c r="E1760" s="8">
        <v>0</v>
      </c>
    </row>
    <row r="1761" spans="1:5" x14ac:dyDescent="0.2">
      <c r="A1761" s="7">
        <v>10926</v>
      </c>
      <c r="B1761" s="8">
        <v>13</v>
      </c>
      <c r="C1761" s="8">
        <v>6</v>
      </c>
      <c r="D1761" s="8">
        <v>10</v>
      </c>
      <c r="E1761" s="8">
        <v>0</v>
      </c>
    </row>
    <row r="1762" spans="1:5" x14ac:dyDescent="0.2">
      <c r="A1762" s="7">
        <v>10926</v>
      </c>
      <c r="B1762" s="8">
        <v>19</v>
      </c>
      <c r="C1762" s="8">
        <v>9.1999999999999993</v>
      </c>
      <c r="D1762" s="8">
        <v>7</v>
      </c>
      <c r="E1762" s="8">
        <v>0</v>
      </c>
    </row>
    <row r="1763" spans="1:5" x14ac:dyDescent="0.2">
      <c r="A1763" s="7">
        <v>10926</v>
      </c>
      <c r="B1763" s="8">
        <v>72</v>
      </c>
      <c r="C1763" s="8">
        <v>34.799999999999997</v>
      </c>
      <c r="D1763" s="8">
        <v>10</v>
      </c>
      <c r="E1763" s="8">
        <v>0</v>
      </c>
    </row>
    <row r="1764" spans="1:5" x14ac:dyDescent="0.2">
      <c r="A1764" s="7">
        <v>10927</v>
      </c>
      <c r="B1764" s="8">
        <v>20</v>
      </c>
      <c r="C1764" s="8">
        <v>81</v>
      </c>
      <c r="D1764" s="8">
        <v>5</v>
      </c>
      <c r="E1764" s="8">
        <v>0</v>
      </c>
    </row>
    <row r="1765" spans="1:5" x14ac:dyDescent="0.2">
      <c r="A1765" s="7">
        <v>10927</v>
      </c>
      <c r="B1765" s="8">
        <v>52</v>
      </c>
      <c r="C1765" s="8">
        <v>7</v>
      </c>
      <c r="D1765" s="8">
        <v>5</v>
      </c>
      <c r="E1765" s="8">
        <v>0</v>
      </c>
    </row>
    <row r="1766" spans="1:5" x14ac:dyDescent="0.2">
      <c r="A1766" s="7">
        <v>10927</v>
      </c>
      <c r="B1766" s="8">
        <v>76</v>
      </c>
      <c r="C1766" s="8">
        <v>18</v>
      </c>
      <c r="D1766" s="8">
        <v>20</v>
      </c>
      <c r="E1766" s="8">
        <v>0</v>
      </c>
    </row>
    <row r="1767" spans="1:5" x14ac:dyDescent="0.2">
      <c r="A1767" s="7">
        <v>10928</v>
      </c>
      <c r="B1767" s="8">
        <v>47</v>
      </c>
      <c r="C1767" s="8">
        <v>9.5</v>
      </c>
      <c r="D1767" s="8">
        <v>5</v>
      </c>
      <c r="E1767" s="8">
        <v>0</v>
      </c>
    </row>
    <row r="1768" spans="1:5" x14ac:dyDescent="0.2">
      <c r="A1768" s="7">
        <v>10928</v>
      </c>
      <c r="B1768" s="8">
        <v>76</v>
      </c>
      <c r="C1768" s="8">
        <v>18</v>
      </c>
      <c r="D1768" s="8">
        <v>5</v>
      </c>
      <c r="E1768" s="8">
        <v>0</v>
      </c>
    </row>
    <row r="1769" spans="1:5" x14ac:dyDescent="0.2">
      <c r="A1769" s="7">
        <v>10929</v>
      </c>
      <c r="B1769" s="8">
        <v>21</v>
      </c>
      <c r="C1769" s="8">
        <v>10</v>
      </c>
      <c r="D1769" s="8">
        <v>60</v>
      </c>
      <c r="E1769" s="8">
        <v>0</v>
      </c>
    </row>
    <row r="1770" spans="1:5" x14ac:dyDescent="0.2">
      <c r="A1770" s="7">
        <v>10929</v>
      </c>
      <c r="B1770" s="8">
        <v>75</v>
      </c>
      <c r="C1770" s="8">
        <v>7.75</v>
      </c>
      <c r="D1770" s="8">
        <v>49</v>
      </c>
      <c r="E1770" s="8">
        <v>0</v>
      </c>
    </row>
    <row r="1771" spans="1:5" x14ac:dyDescent="0.2">
      <c r="A1771" s="7">
        <v>10929</v>
      </c>
      <c r="B1771" s="8">
        <v>77</v>
      </c>
      <c r="C1771" s="8">
        <v>13</v>
      </c>
      <c r="D1771" s="8">
        <v>15</v>
      </c>
      <c r="E1771" s="8">
        <v>0</v>
      </c>
    </row>
    <row r="1772" spans="1:5" x14ac:dyDescent="0.2">
      <c r="A1772" s="7">
        <v>10930</v>
      </c>
      <c r="B1772" s="8">
        <v>21</v>
      </c>
      <c r="C1772" s="8">
        <v>10</v>
      </c>
      <c r="D1772" s="8">
        <v>36</v>
      </c>
      <c r="E1772" s="8">
        <v>0</v>
      </c>
    </row>
    <row r="1773" spans="1:5" x14ac:dyDescent="0.2">
      <c r="A1773" s="7">
        <v>10930</v>
      </c>
      <c r="B1773" s="8">
        <v>27</v>
      </c>
      <c r="C1773" s="8">
        <v>43.9</v>
      </c>
      <c r="D1773" s="8">
        <v>25</v>
      </c>
      <c r="E1773" s="8">
        <v>0</v>
      </c>
    </row>
    <row r="1774" spans="1:5" x14ac:dyDescent="0.2">
      <c r="A1774" s="7">
        <v>10930</v>
      </c>
      <c r="B1774" s="8">
        <v>55</v>
      </c>
      <c r="C1774" s="8">
        <v>24</v>
      </c>
      <c r="D1774" s="8">
        <v>25</v>
      </c>
      <c r="E1774" s="8">
        <v>0.2</v>
      </c>
    </row>
    <row r="1775" spans="1:5" x14ac:dyDescent="0.2">
      <c r="A1775" s="7">
        <v>10930</v>
      </c>
      <c r="B1775" s="8">
        <v>58</v>
      </c>
      <c r="C1775" s="8">
        <v>13.25</v>
      </c>
      <c r="D1775" s="8">
        <v>30</v>
      </c>
      <c r="E1775" s="8">
        <v>0.2</v>
      </c>
    </row>
    <row r="1776" spans="1:5" x14ac:dyDescent="0.2">
      <c r="A1776" s="7">
        <v>10931</v>
      </c>
      <c r="B1776" s="8">
        <v>13</v>
      </c>
      <c r="C1776" s="8">
        <v>6</v>
      </c>
      <c r="D1776" s="8">
        <v>42</v>
      </c>
      <c r="E1776" s="8">
        <v>0.15</v>
      </c>
    </row>
    <row r="1777" spans="1:5" x14ac:dyDescent="0.2">
      <c r="A1777" s="7">
        <v>10931</v>
      </c>
      <c r="B1777" s="8">
        <v>57</v>
      </c>
      <c r="C1777" s="8">
        <v>19.5</v>
      </c>
      <c r="D1777" s="8">
        <v>30</v>
      </c>
      <c r="E1777" s="8">
        <v>0</v>
      </c>
    </row>
    <row r="1778" spans="1:5" x14ac:dyDescent="0.2">
      <c r="A1778" s="7">
        <v>10932</v>
      </c>
      <c r="B1778" s="8">
        <v>16</v>
      </c>
      <c r="C1778" s="8">
        <v>17.45</v>
      </c>
      <c r="D1778" s="8">
        <v>30</v>
      </c>
      <c r="E1778" s="8">
        <v>0.1</v>
      </c>
    </row>
    <row r="1779" spans="1:5" x14ac:dyDescent="0.2">
      <c r="A1779" s="7">
        <v>10932</v>
      </c>
      <c r="B1779" s="8">
        <v>62</v>
      </c>
      <c r="C1779" s="8">
        <v>49.3</v>
      </c>
      <c r="D1779" s="8">
        <v>14</v>
      </c>
      <c r="E1779" s="8">
        <v>0.1</v>
      </c>
    </row>
    <row r="1780" spans="1:5" x14ac:dyDescent="0.2">
      <c r="A1780" s="7">
        <v>10932</v>
      </c>
      <c r="B1780" s="8">
        <v>72</v>
      </c>
      <c r="C1780" s="8">
        <v>34.799999999999997</v>
      </c>
      <c r="D1780" s="8">
        <v>16</v>
      </c>
      <c r="E1780" s="8">
        <v>0</v>
      </c>
    </row>
    <row r="1781" spans="1:5" x14ac:dyDescent="0.2">
      <c r="A1781" s="7">
        <v>10932</v>
      </c>
      <c r="B1781" s="8">
        <v>75</v>
      </c>
      <c r="C1781" s="8">
        <v>7.75</v>
      </c>
      <c r="D1781" s="8">
        <v>20</v>
      </c>
      <c r="E1781" s="8">
        <v>0.1</v>
      </c>
    </row>
    <row r="1782" spans="1:5" x14ac:dyDescent="0.2">
      <c r="A1782" s="7">
        <v>10933</v>
      </c>
      <c r="B1782" s="8">
        <v>53</v>
      </c>
      <c r="C1782" s="8">
        <v>32.799999999999997</v>
      </c>
      <c r="D1782" s="8">
        <v>2</v>
      </c>
      <c r="E1782" s="8">
        <v>0</v>
      </c>
    </row>
    <row r="1783" spans="1:5" x14ac:dyDescent="0.2">
      <c r="A1783" s="7">
        <v>10933</v>
      </c>
      <c r="B1783" s="8">
        <v>61</v>
      </c>
      <c r="C1783" s="8">
        <v>28.5</v>
      </c>
      <c r="D1783" s="8">
        <v>30</v>
      </c>
      <c r="E1783" s="8">
        <v>0</v>
      </c>
    </row>
    <row r="1784" spans="1:5" x14ac:dyDescent="0.2">
      <c r="A1784" s="7">
        <v>10934</v>
      </c>
      <c r="B1784" s="8">
        <v>6</v>
      </c>
      <c r="C1784" s="8">
        <v>25</v>
      </c>
      <c r="D1784" s="8">
        <v>20</v>
      </c>
      <c r="E1784" s="8">
        <v>0</v>
      </c>
    </row>
    <row r="1785" spans="1:5" x14ac:dyDescent="0.2">
      <c r="A1785" s="7">
        <v>10935</v>
      </c>
      <c r="B1785" s="8">
        <v>1</v>
      </c>
      <c r="C1785" s="8">
        <v>18</v>
      </c>
      <c r="D1785" s="8">
        <v>21</v>
      </c>
      <c r="E1785" s="8">
        <v>0</v>
      </c>
    </row>
    <row r="1786" spans="1:5" x14ac:dyDescent="0.2">
      <c r="A1786" s="7">
        <v>10935</v>
      </c>
      <c r="B1786" s="8">
        <v>18</v>
      </c>
      <c r="C1786" s="8">
        <v>62.5</v>
      </c>
      <c r="D1786" s="8">
        <v>4</v>
      </c>
      <c r="E1786" s="8">
        <v>0.25</v>
      </c>
    </row>
    <row r="1787" spans="1:5" x14ac:dyDescent="0.2">
      <c r="A1787" s="7">
        <v>10935</v>
      </c>
      <c r="B1787" s="8">
        <v>23</v>
      </c>
      <c r="C1787" s="8">
        <v>9</v>
      </c>
      <c r="D1787" s="8">
        <v>8</v>
      </c>
      <c r="E1787" s="8">
        <v>0.25</v>
      </c>
    </row>
    <row r="1788" spans="1:5" x14ac:dyDescent="0.2">
      <c r="A1788" s="7">
        <v>10936</v>
      </c>
      <c r="B1788" s="8">
        <v>36</v>
      </c>
      <c r="C1788" s="8">
        <v>19</v>
      </c>
      <c r="D1788" s="8">
        <v>30</v>
      </c>
      <c r="E1788" s="8">
        <v>0.2</v>
      </c>
    </row>
    <row r="1789" spans="1:5" x14ac:dyDescent="0.2">
      <c r="A1789" s="7">
        <v>10937</v>
      </c>
      <c r="B1789" s="8">
        <v>28</v>
      </c>
      <c r="C1789" s="8">
        <v>45.6</v>
      </c>
      <c r="D1789" s="8">
        <v>8</v>
      </c>
      <c r="E1789" s="8">
        <v>0</v>
      </c>
    </row>
    <row r="1790" spans="1:5" x14ac:dyDescent="0.2">
      <c r="A1790" s="7">
        <v>10937</v>
      </c>
      <c r="B1790" s="8">
        <v>34</v>
      </c>
      <c r="C1790" s="8">
        <v>14</v>
      </c>
      <c r="D1790" s="8">
        <v>20</v>
      </c>
      <c r="E1790" s="8">
        <v>0</v>
      </c>
    </row>
    <row r="1791" spans="1:5" x14ac:dyDescent="0.2">
      <c r="A1791" s="7">
        <v>10938</v>
      </c>
      <c r="B1791" s="8">
        <v>13</v>
      </c>
      <c r="C1791" s="8">
        <v>6</v>
      </c>
      <c r="D1791" s="8">
        <v>20</v>
      </c>
      <c r="E1791" s="8">
        <v>0.25</v>
      </c>
    </row>
    <row r="1792" spans="1:5" x14ac:dyDescent="0.2">
      <c r="A1792" s="7">
        <v>10938</v>
      </c>
      <c r="B1792" s="8">
        <v>43</v>
      </c>
      <c r="C1792" s="8">
        <v>46</v>
      </c>
      <c r="D1792" s="8">
        <v>24</v>
      </c>
      <c r="E1792" s="8">
        <v>0.25</v>
      </c>
    </row>
    <row r="1793" spans="1:5" x14ac:dyDescent="0.2">
      <c r="A1793" s="7">
        <v>10938</v>
      </c>
      <c r="B1793" s="8">
        <v>60</v>
      </c>
      <c r="C1793" s="8">
        <v>34</v>
      </c>
      <c r="D1793" s="8">
        <v>49</v>
      </c>
      <c r="E1793" s="8">
        <v>0.25</v>
      </c>
    </row>
    <row r="1794" spans="1:5" x14ac:dyDescent="0.2">
      <c r="A1794" s="7">
        <v>10938</v>
      </c>
      <c r="B1794" s="8">
        <v>71</v>
      </c>
      <c r="C1794" s="8">
        <v>21.5</v>
      </c>
      <c r="D1794" s="8">
        <v>35</v>
      </c>
      <c r="E1794" s="8">
        <v>0.25</v>
      </c>
    </row>
    <row r="1795" spans="1:5" x14ac:dyDescent="0.2">
      <c r="A1795" s="7">
        <v>10939</v>
      </c>
      <c r="B1795" s="8">
        <v>2</v>
      </c>
      <c r="C1795" s="8">
        <v>19</v>
      </c>
      <c r="D1795" s="8">
        <v>10</v>
      </c>
      <c r="E1795" s="8">
        <v>0.15</v>
      </c>
    </row>
    <row r="1796" spans="1:5" x14ac:dyDescent="0.2">
      <c r="A1796" s="7">
        <v>10939</v>
      </c>
      <c r="B1796" s="8">
        <v>67</v>
      </c>
      <c r="C1796" s="8">
        <v>14</v>
      </c>
      <c r="D1796" s="8">
        <v>40</v>
      </c>
      <c r="E1796" s="8">
        <v>0.15</v>
      </c>
    </row>
    <row r="1797" spans="1:5" x14ac:dyDescent="0.2">
      <c r="A1797" s="7">
        <v>10940</v>
      </c>
      <c r="B1797" s="8">
        <v>7</v>
      </c>
      <c r="C1797" s="8">
        <v>30</v>
      </c>
      <c r="D1797" s="8">
        <v>8</v>
      </c>
      <c r="E1797" s="8">
        <v>0</v>
      </c>
    </row>
    <row r="1798" spans="1:5" x14ac:dyDescent="0.2">
      <c r="A1798" s="7">
        <v>10940</v>
      </c>
      <c r="B1798" s="8">
        <v>13</v>
      </c>
      <c r="C1798" s="8">
        <v>6</v>
      </c>
      <c r="D1798" s="8">
        <v>20</v>
      </c>
      <c r="E1798" s="8">
        <v>0</v>
      </c>
    </row>
    <row r="1799" spans="1:5" x14ac:dyDescent="0.2">
      <c r="A1799" s="7">
        <v>10941</v>
      </c>
      <c r="B1799" s="8">
        <v>31</v>
      </c>
      <c r="C1799" s="8">
        <v>12.5</v>
      </c>
      <c r="D1799" s="8">
        <v>44</v>
      </c>
      <c r="E1799" s="8">
        <v>0.25</v>
      </c>
    </row>
    <row r="1800" spans="1:5" x14ac:dyDescent="0.2">
      <c r="A1800" s="7">
        <v>10941</v>
      </c>
      <c r="B1800" s="8">
        <v>62</v>
      </c>
      <c r="C1800" s="8">
        <v>49.3</v>
      </c>
      <c r="D1800" s="8">
        <v>30</v>
      </c>
      <c r="E1800" s="8">
        <v>0.25</v>
      </c>
    </row>
    <row r="1801" spans="1:5" x14ac:dyDescent="0.2">
      <c r="A1801" s="7">
        <v>10941</v>
      </c>
      <c r="B1801" s="8">
        <v>68</v>
      </c>
      <c r="C1801" s="8">
        <v>12.5</v>
      </c>
      <c r="D1801" s="8">
        <v>80</v>
      </c>
      <c r="E1801" s="8">
        <v>0.25</v>
      </c>
    </row>
    <row r="1802" spans="1:5" x14ac:dyDescent="0.2">
      <c r="A1802" s="7">
        <v>10941</v>
      </c>
      <c r="B1802" s="8">
        <v>72</v>
      </c>
      <c r="C1802" s="8">
        <v>34.799999999999997</v>
      </c>
      <c r="D1802" s="8">
        <v>50</v>
      </c>
      <c r="E1802" s="8">
        <v>0</v>
      </c>
    </row>
    <row r="1803" spans="1:5" x14ac:dyDescent="0.2">
      <c r="A1803" s="7">
        <v>10942</v>
      </c>
      <c r="B1803" s="8">
        <v>49</v>
      </c>
      <c r="C1803" s="8">
        <v>20</v>
      </c>
      <c r="D1803" s="8">
        <v>28</v>
      </c>
      <c r="E1803" s="8">
        <v>0</v>
      </c>
    </row>
    <row r="1804" spans="1:5" x14ac:dyDescent="0.2">
      <c r="A1804" s="7">
        <v>10943</v>
      </c>
      <c r="B1804" s="8">
        <v>13</v>
      </c>
      <c r="C1804" s="8">
        <v>6</v>
      </c>
      <c r="D1804" s="8">
        <v>15</v>
      </c>
      <c r="E1804" s="8">
        <v>0</v>
      </c>
    </row>
    <row r="1805" spans="1:5" x14ac:dyDescent="0.2">
      <c r="A1805" s="7">
        <v>10943</v>
      </c>
      <c r="B1805" s="8">
        <v>22</v>
      </c>
      <c r="C1805" s="8">
        <v>21</v>
      </c>
      <c r="D1805" s="8">
        <v>21</v>
      </c>
      <c r="E1805" s="8">
        <v>0</v>
      </c>
    </row>
    <row r="1806" spans="1:5" x14ac:dyDescent="0.2">
      <c r="A1806" s="7">
        <v>10943</v>
      </c>
      <c r="B1806" s="8">
        <v>46</v>
      </c>
      <c r="C1806" s="8">
        <v>12</v>
      </c>
      <c r="D1806" s="8">
        <v>15</v>
      </c>
      <c r="E1806" s="8">
        <v>0</v>
      </c>
    </row>
    <row r="1807" spans="1:5" x14ac:dyDescent="0.2">
      <c r="A1807" s="7">
        <v>10944</v>
      </c>
      <c r="B1807" s="8">
        <v>11</v>
      </c>
      <c r="C1807" s="8">
        <v>21</v>
      </c>
      <c r="D1807" s="8">
        <v>5</v>
      </c>
      <c r="E1807" s="8">
        <v>0.25</v>
      </c>
    </row>
    <row r="1808" spans="1:5" x14ac:dyDescent="0.2">
      <c r="A1808" s="7">
        <v>10944</v>
      </c>
      <c r="B1808" s="8">
        <v>44</v>
      </c>
      <c r="C1808" s="8">
        <v>19.45</v>
      </c>
      <c r="D1808" s="8">
        <v>18</v>
      </c>
      <c r="E1808" s="8">
        <v>0.25</v>
      </c>
    </row>
    <row r="1809" spans="1:5" x14ac:dyDescent="0.2">
      <c r="A1809" s="7">
        <v>10944</v>
      </c>
      <c r="B1809" s="8">
        <v>56</v>
      </c>
      <c r="C1809" s="8">
        <v>38</v>
      </c>
      <c r="D1809" s="8">
        <v>18</v>
      </c>
      <c r="E1809" s="8">
        <v>0</v>
      </c>
    </row>
    <row r="1810" spans="1:5" x14ac:dyDescent="0.2">
      <c r="A1810" s="7">
        <v>10945</v>
      </c>
      <c r="B1810" s="8">
        <v>13</v>
      </c>
      <c r="C1810" s="8">
        <v>6</v>
      </c>
      <c r="D1810" s="8">
        <v>20</v>
      </c>
      <c r="E1810" s="8">
        <v>0</v>
      </c>
    </row>
    <row r="1811" spans="1:5" x14ac:dyDescent="0.2">
      <c r="A1811" s="7">
        <v>10945</v>
      </c>
      <c r="B1811" s="8">
        <v>31</v>
      </c>
      <c r="C1811" s="8">
        <v>12.5</v>
      </c>
      <c r="D1811" s="8">
        <v>10</v>
      </c>
      <c r="E1811" s="8">
        <v>0</v>
      </c>
    </row>
    <row r="1812" spans="1:5" x14ac:dyDescent="0.2">
      <c r="A1812" s="7">
        <v>10946</v>
      </c>
      <c r="B1812" s="8">
        <v>10</v>
      </c>
      <c r="C1812" s="8">
        <v>31</v>
      </c>
      <c r="D1812" s="8">
        <v>25</v>
      </c>
      <c r="E1812" s="8">
        <v>0</v>
      </c>
    </row>
    <row r="1813" spans="1:5" x14ac:dyDescent="0.2">
      <c r="A1813" s="7">
        <v>10946</v>
      </c>
      <c r="B1813" s="8">
        <v>24</v>
      </c>
      <c r="C1813" s="8">
        <v>4.5</v>
      </c>
      <c r="D1813" s="8">
        <v>25</v>
      </c>
      <c r="E1813" s="8">
        <v>0</v>
      </c>
    </row>
    <row r="1814" spans="1:5" x14ac:dyDescent="0.2">
      <c r="A1814" s="7">
        <v>10946</v>
      </c>
      <c r="B1814" s="8">
        <v>77</v>
      </c>
      <c r="C1814" s="8">
        <v>13</v>
      </c>
      <c r="D1814" s="8">
        <v>40</v>
      </c>
      <c r="E1814" s="8">
        <v>0</v>
      </c>
    </row>
    <row r="1815" spans="1:5" x14ac:dyDescent="0.2">
      <c r="A1815" s="7">
        <v>10947</v>
      </c>
      <c r="B1815" s="8">
        <v>59</v>
      </c>
      <c r="C1815" s="8">
        <v>55</v>
      </c>
      <c r="D1815" s="8">
        <v>4</v>
      </c>
      <c r="E1815" s="8">
        <v>0</v>
      </c>
    </row>
    <row r="1816" spans="1:5" x14ac:dyDescent="0.2">
      <c r="A1816" s="7">
        <v>10948</v>
      </c>
      <c r="B1816" s="8">
        <v>50</v>
      </c>
      <c r="C1816" s="8">
        <v>16.25</v>
      </c>
      <c r="D1816" s="8">
        <v>9</v>
      </c>
      <c r="E1816" s="8">
        <v>0</v>
      </c>
    </row>
    <row r="1817" spans="1:5" x14ac:dyDescent="0.2">
      <c r="A1817" s="7">
        <v>10948</v>
      </c>
      <c r="B1817" s="8">
        <v>51</v>
      </c>
      <c r="C1817" s="8">
        <v>53</v>
      </c>
      <c r="D1817" s="8">
        <v>40</v>
      </c>
      <c r="E1817" s="8">
        <v>0</v>
      </c>
    </row>
    <row r="1818" spans="1:5" x14ac:dyDescent="0.2">
      <c r="A1818" s="7">
        <v>10948</v>
      </c>
      <c r="B1818" s="8">
        <v>55</v>
      </c>
      <c r="C1818" s="8">
        <v>24</v>
      </c>
      <c r="D1818" s="8">
        <v>4</v>
      </c>
      <c r="E1818" s="8">
        <v>0</v>
      </c>
    </row>
    <row r="1819" spans="1:5" x14ac:dyDescent="0.2">
      <c r="A1819" s="7">
        <v>10949</v>
      </c>
      <c r="B1819" s="8">
        <v>6</v>
      </c>
      <c r="C1819" s="8">
        <v>25</v>
      </c>
      <c r="D1819" s="8">
        <v>12</v>
      </c>
      <c r="E1819" s="8">
        <v>0</v>
      </c>
    </row>
    <row r="1820" spans="1:5" x14ac:dyDescent="0.2">
      <c r="A1820" s="7">
        <v>10949</v>
      </c>
      <c r="B1820" s="8">
        <v>10</v>
      </c>
      <c r="C1820" s="8">
        <v>31</v>
      </c>
      <c r="D1820" s="8">
        <v>30</v>
      </c>
      <c r="E1820" s="8">
        <v>0</v>
      </c>
    </row>
    <row r="1821" spans="1:5" x14ac:dyDescent="0.2">
      <c r="A1821" s="7">
        <v>10949</v>
      </c>
      <c r="B1821" s="8">
        <v>17</v>
      </c>
      <c r="C1821" s="8">
        <v>39</v>
      </c>
      <c r="D1821" s="8">
        <v>6</v>
      </c>
      <c r="E1821" s="8">
        <v>0</v>
      </c>
    </row>
    <row r="1822" spans="1:5" x14ac:dyDescent="0.2">
      <c r="A1822" s="7">
        <v>10949</v>
      </c>
      <c r="B1822" s="8">
        <v>62</v>
      </c>
      <c r="C1822" s="8">
        <v>49.3</v>
      </c>
      <c r="D1822" s="8">
        <v>60</v>
      </c>
      <c r="E1822" s="8">
        <v>0</v>
      </c>
    </row>
    <row r="1823" spans="1:5" x14ac:dyDescent="0.2">
      <c r="A1823" s="7">
        <v>10950</v>
      </c>
      <c r="B1823" s="8">
        <v>4</v>
      </c>
      <c r="C1823" s="8">
        <v>22</v>
      </c>
      <c r="D1823" s="8">
        <v>5</v>
      </c>
      <c r="E1823" s="8">
        <v>0</v>
      </c>
    </row>
    <row r="1824" spans="1:5" x14ac:dyDescent="0.2">
      <c r="A1824" s="7">
        <v>10951</v>
      </c>
      <c r="B1824" s="8">
        <v>33</v>
      </c>
      <c r="C1824" s="8">
        <v>2.5</v>
      </c>
      <c r="D1824" s="8">
        <v>15</v>
      </c>
      <c r="E1824" s="8">
        <v>0.05</v>
      </c>
    </row>
    <row r="1825" spans="1:5" x14ac:dyDescent="0.2">
      <c r="A1825" s="7">
        <v>10951</v>
      </c>
      <c r="B1825" s="8">
        <v>41</v>
      </c>
      <c r="C1825" s="8">
        <v>9.65</v>
      </c>
      <c r="D1825" s="8">
        <v>6</v>
      </c>
      <c r="E1825" s="8">
        <v>0.05</v>
      </c>
    </row>
    <row r="1826" spans="1:5" x14ac:dyDescent="0.2">
      <c r="A1826" s="7">
        <v>10951</v>
      </c>
      <c r="B1826" s="8">
        <v>75</v>
      </c>
      <c r="C1826" s="8">
        <v>7.75</v>
      </c>
      <c r="D1826" s="8">
        <v>50</v>
      </c>
      <c r="E1826" s="8">
        <v>0.05</v>
      </c>
    </row>
    <row r="1827" spans="1:5" x14ac:dyDescent="0.2">
      <c r="A1827" s="7">
        <v>10952</v>
      </c>
      <c r="B1827" s="8">
        <v>6</v>
      </c>
      <c r="C1827" s="8">
        <v>25</v>
      </c>
      <c r="D1827" s="8">
        <v>16</v>
      </c>
      <c r="E1827" s="8">
        <v>0.05</v>
      </c>
    </row>
    <row r="1828" spans="1:5" x14ac:dyDescent="0.2">
      <c r="A1828" s="7">
        <v>10952</v>
      </c>
      <c r="B1828" s="8">
        <v>28</v>
      </c>
      <c r="C1828" s="8">
        <v>45.6</v>
      </c>
      <c r="D1828" s="8">
        <v>2</v>
      </c>
      <c r="E1828" s="8">
        <v>0</v>
      </c>
    </row>
    <row r="1829" spans="1:5" x14ac:dyDescent="0.2">
      <c r="A1829" s="7">
        <v>10953</v>
      </c>
      <c r="B1829" s="8">
        <v>20</v>
      </c>
      <c r="C1829" s="8">
        <v>81</v>
      </c>
      <c r="D1829" s="8">
        <v>50</v>
      </c>
      <c r="E1829" s="8">
        <v>0.05</v>
      </c>
    </row>
    <row r="1830" spans="1:5" x14ac:dyDescent="0.2">
      <c r="A1830" s="7">
        <v>10953</v>
      </c>
      <c r="B1830" s="8">
        <v>31</v>
      </c>
      <c r="C1830" s="8">
        <v>12.5</v>
      </c>
      <c r="D1830" s="8">
        <v>50</v>
      </c>
      <c r="E1830" s="8">
        <v>0.05</v>
      </c>
    </row>
    <row r="1831" spans="1:5" x14ac:dyDescent="0.2">
      <c r="A1831" s="7">
        <v>10954</v>
      </c>
      <c r="B1831" s="8">
        <v>16</v>
      </c>
      <c r="C1831" s="8">
        <v>17.45</v>
      </c>
      <c r="D1831" s="8">
        <v>28</v>
      </c>
      <c r="E1831" s="8">
        <v>0.15</v>
      </c>
    </row>
    <row r="1832" spans="1:5" x14ac:dyDescent="0.2">
      <c r="A1832" s="7">
        <v>10954</v>
      </c>
      <c r="B1832" s="8">
        <v>31</v>
      </c>
      <c r="C1832" s="8">
        <v>12.5</v>
      </c>
      <c r="D1832" s="8">
        <v>25</v>
      </c>
      <c r="E1832" s="8">
        <v>0.15</v>
      </c>
    </row>
    <row r="1833" spans="1:5" x14ac:dyDescent="0.2">
      <c r="A1833" s="7">
        <v>10954</v>
      </c>
      <c r="B1833" s="8">
        <v>45</v>
      </c>
      <c r="C1833" s="8">
        <v>9.5</v>
      </c>
      <c r="D1833" s="8">
        <v>30</v>
      </c>
      <c r="E1833" s="8">
        <v>0</v>
      </c>
    </row>
    <row r="1834" spans="1:5" x14ac:dyDescent="0.2">
      <c r="A1834" s="7">
        <v>10954</v>
      </c>
      <c r="B1834" s="8">
        <v>60</v>
      </c>
      <c r="C1834" s="8">
        <v>34</v>
      </c>
      <c r="D1834" s="8">
        <v>24</v>
      </c>
      <c r="E1834" s="8">
        <v>0.15</v>
      </c>
    </row>
    <row r="1835" spans="1:5" x14ac:dyDescent="0.2">
      <c r="A1835" s="7">
        <v>10955</v>
      </c>
      <c r="B1835" s="8">
        <v>75</v>
      </c>
      <c r="C1835" s="8">
        <v>7.75</v>
      </c>
      <c r="D1835" s="8">
        <v>12</v>
      </c>
      <c r="E1835" s="8">
        <v>0.2</v>
      </c>
    </row>
    <row r="1836" spans="1:5" x14ac:dyDescent="0.2">
      <c r="A1836" s="7">
        <v>10956</v>
      </c>
      <c r="B1836" s="8">
        <v>21</v>
      </c>
      <c r="C1836" s="8">
        <v>10</v>
      </c>
      <c r="D1836" s="8">
        <v>12</v>
      </c>
      <c r="E1836" s="8">
        <v>0</v>
      </c>
    </row>
    <row r="1837" spans="1:5" x14ac:dyDescent="0.2">
      <c r="A1837" s="7">
        <v>10956</v>
      </c>
      <c r="B1837" s="8">
        <v>47</v>
      </c>
      <c r="C1837" s="8">
        <v>9.5</v>
      </c>
      <c r="D1837" s="8">
        <v>14</v>
      </c>
      <c r="E1837" s="8">
        <v>0</v>
      </c>
    </row>
    <row r="1838" spans="1:5" x14ac:dyDescent="0.2">
      <c r="A1838" s="7">
        <v>10956</v>
      </c>
      <c r="B1838" s="8">
        <v>51</v>
      </c>
      <c r="C1838" s="8">
        <v>53</v>
      </c>
      <c r="D1838" s="8">
        <v>8</v>
      </c>
      <c r="E1838" s="8">
        <v>0</v>
      </c>
    </row>
    <row r="1839" spans="1:5" x14ac:dyDescent="0.2">
      <c r="A1839" s="7">
        <v>10957</v>
      </c>
      <c r="B1839" s="8">
        <v>30</v>
      </c>
      <c r="C1839" s="8">
        <v>25.89</v>
      </c>
      <c r="D1839" s="8">
        <v>30</v>
      </c>
      <c r="E1839" s="8">
        <v>0</v>
      </c>
    </row>
    <row r="1840" spans="1:5" x14ac:dyDescent="0.2">
      <c r="A1840" s="7">
        <v>10957</v>
      </c>
      <c r="B1840" s="8">
        <v>35</v>
      </c>
      <c r="C1840" s="8">
        <v>18</v>
      </c>
      <c r="D1840" s="8">
        <v>40</v>
      </c>
      <c r="E1840" s="8">
        <v>0</v>
      </c>
    </row>
    <row r="1841" spans="1:5" x14ac:dyDescent="0.2">
      <c r="A1841" s="7">
        <v>10957</v>
      </c>
      <c r="B1841" s="8">
        <v>64</v>
      </c>
      <c r="C1841" s="8">
        <v>33.25</v>
      </c>
      <c r="D1841" s="8">
        <v>8</v>
      </c>
      <c r="E1841" s="8">
        <v>0</v>
      </c>
    </row>
    <row r="1842" spans="1:5" x14ac:dyDescent="0.2">
      <c r="A1842" s="7">
        <v>10958</v>
      </c>
      <c r="B1842" s="8">
        <v>5</v>
      </c>
      <c r="C1842" s="8">
        <v>21.35</v>
      </c>
      <c r="D1842" s="8">
        <v>20</v>
      </c>
      <c r="E1842" s="8">
        <v>0</v>
      </c>
    </row>
    <row r="1843" spans="1:5" x14ac:dyDescent="0.2">
      <c r="A1843" s="7">
        <v>10958</v>
      </c>
      <c r="B1843" s="8">
        <v>7</v>
      </c>
      <c r="C1843" s="8">
        <v>30</v>
      </c>
      <c r="D1843" s="8">
        <v>6</v>
      </c>
      <c r="E1843" s="8">
        <v>0</v>
      </c>
    </row>
    <row r="1844" spans="1:5" x14ac:dyDescent="0.2">
      <c r="A1844" s="7">
        <v>10958</v>
      </c>
      <c r="B1844" s="8">
        <v>72</v>
      </c>
      <c r="C1844" s="8">
        <v>34.799999999999997</v>
      </c>
      <c r="D1844" s="8">
        <v>5</v>
      </c>
      <c r="E1844" s="8">
        <v>0</v>
      </c>
    </row>
    <row r="1845" spans="1:5" x14ac:dyDescent="0.2">
      <c r="A1845" s="7">
        <v>10959</v>
      </c>
      <c r="B1845" s="8">
        <v>75</v>
      </c>
      <c r="C1845" s="8">
        <v>7.75</v>
      </c>
      <c r="D1845" s="8">
        <v>20</v>
      </c>
      <c r="E1845" s="8">
        <v>0.15</v>
      </c>
    </row>
    <row r="1846" spans="1:5" x14ac:dyDescent="0.2">
      <c r="A1846" s="7">
        <v>10960</v>
      </c>
      <c r="B1846" s="8">
        <v>24</v>
      </c>
      <c r="C1846" s="8">
        <v>4.5</v>
      </c>
      <c r="D1846" s="8">
        <v>10</v>
      </c>
      <c r="E1846" s="8">
        <v>0.25</v>
      </c>
    </row>
    <row r="1847" spans="1:5" x14ac:dyDescent="0.2">
      <c r="A1847" s="7">
        <v>10960</v>
      </c>
      <c r="B1847" s="8">
        <v>41</v>
      </c>
      <c r="C1847" s="8">
        <v>9.65</v>
      </c>
      <c r="D1847" s="8">
        <v>24</v>
      </c>
      <c r="E1847" s="8">
        <v>0</v>
      </c>
    </row>
    <row r="1848" spans="1:5" x14ac:dyDescent="0.2">
      <c r="A1848" s="7">
        <v>10961</v>
      </c>
      <c r="B1848" s="8">
        <v>52</v>
      </c>
      <c r="C1848" s="8">
        <v>7</v>
      </c>
      <c r="D1848" s="8">
        <v>6</v>
      </c>
      <c r="E1848" s="8">
        <v>0.05</v>
      </c>
    </row>
    <row r="1849" spans="1:5" x14ac:dyDescent="0.2">
      <c r="A1849" s="7">
        <v>10961</v>
      </c>
      <c r="B1849" s="8">
        <v>76</v>
      </c>
      <c r="C1849" s="8">
        <v>18</v>
      </c>
      <c r="D1849" s="8">
        <v>60</v>
      </c>
      <c r="E1849" s="8">
        <v>0</v>
      </c>
    </row>
    <row r="1850" spans="1:5" x14ac:dyDescent="0.2">
      <c r="A1850" s="7">
        <v>10962</v>
      </c>
      <c r="B1850" s="8">
        <v>7</v>
      </c>
      <c r="C1850" s="8">
        <v>30</v>
      </c>
      <c r="D1850" s="8">
        <v>45</v>
      </c>
      <c r="E1850" s="8">
        <v>0</v>
      </c>
    </row>
    <row r="1851" spans="1:5" x14ac:dyDescent="0.2">
      <c r="A1851" s="7">
        <v>10962</v>
      </c>
      <c r="B1851" s="8">
        <v>13</v>
      </c>
      <c r="C1851" s="8">
        <v>6</v>
      </c>
      <c r="D1851" s="8">
        <v>77</v>
      </c>
      <c r="E1851" s="8">
        <v>0</v>
      </c>
    </row>
    <row r="1852" spans="1:5" x14ac:dyDescent="0.2">
      <c r="A1852" s="7">
        <v>10962</v>
      </c>
      <c r="B1852" s="8">
        <v>53</v>
      </c>
      <c r="C1852" s="8">
        <v>32.799999999999997</v>
      </c>
      <c r="D1852" s="8">
        <v>20</v>
      </c>
      <c r="E1852" s="8">
        <v>0</v>
      </c>
    </row>
    <row r="1853" spans="1:5" x14ac:dyDescent="0.2">
      <c r="A1853" s="7">
        <v>10962</v>
      </c>
      <c r="B1853" s="8">
        <v>69</v>
      </c>
      <c r="C1853" s="8">
        <v>36</v>
      </c>
      <c r="D1853" s="8">
        <v>9</v>
      </c>
      <c r="E1853" s="8">
        <v>0</v>
      </c>
    </row>
    <row r="1854" spans="1:5" x14ac:dyDescent="0.2">
      <c r="A1854" s="7">
        <v>10962</v>
      </c>
      <c r="B1854" s="8">
        <v>76</v>
      </c>
      <c r="C1854" s="8">
        <v>18</v>
      </c>
      <c r="D1854" s="8">
        <v>44</v>
      </c>
      <c r="E1854" s="8">
        <v>0</v>
      </c>
    </row>
    <row r="1855" spans="1:5" x14ac:dyDescent="0.2">
      <c r="A1855" s="7">
        <v>10963</v>
      </c>
      <c r="B1855" s="8">
        <v>60</v>
      </c>
      <c r="C1855" s="8">
        <v>34</v>
      </c>
      <c r="D1855" s="8">
        <v>2</v>
      </c>
      <c r="E1855" s="8">
        <v>0.15</v>
      </c>
    </row>
    <row r="1856" spans="1:5" x14ac:dyDescent="0.2">
      <c r="A1856" s="7">
        <v>10964</v>
      </c>
      <c r="B1856" s="8">
        <v>18</v>
      </c>
      <c r="C1856" s="8">
        <v>62.5</v>
      </c>
      <c r="D1856" s="8">
        <v>6</v>
      </c>
      <c r="E1856" s="8">
        <v>0</v>
      </c>
    </row>
    <row r="1857" spans="1:5" x14ac:dyDescent="0.2">
      <c r="A1857" s="7">
        <v>10964</v>
      </c>
      <c r="B1857" s="8">
        <v>38</v>
      </c>
      <c r="C1857" s="8">
        <v>263.5</v>
      </c>
      <c r="D1857" s="8">
        <v>5</v>
      </c>
      <c r="E1857" s="8">
        <v>0</v>
      </c>
    </row>
    <row r="1858" spans="1:5" x14ac:dyDescent="0.2">
      <c r="A1858" s="7">
        <v>10964</v>
      </c>
      <c r="B1858" s="8">
        <v>69</v>
      </c>
      <c r="C1858" s="8">
        <v>36</v>
      </c>
      <c r="D1858" s="8">
        <v>10</v>
      </c>
      <c r="E1858" s="8">
        <v>0</v>
      </c>
    </row>
    <row r="1859" spans="1:5" x14ac:dyDescent="0.2">
      <c r="A1859" s="7">
        <v>10965</v>
      </c>
      <c r="B1859" s="8">
        <v>51</v>
      </c>
      <c r="C1859" s="8">
        <v>53</v>
      </c>
      <c r="D1859" s="8">
        <v>16</v>
      </c>
      <c r="E1859" s="8">
        <v>0</v>
      </c>
    </row>
    <row r="1860" spans="1:5" x14ac:dyDescent="0.2">
      <c r="A1860" s="7">
        <v>10966</v>
      </c>
      <c r="B1860" s="8">
        <v>37</v>
      </c>
      <c r="C1860" s="8">
        <v>26</v>
      </c>
      <c r="D1860" s="8">
        <v>8</v>
      </c>
      <c r="E1860" s="8">
        <v>0</v>
      </c>
    </row>
    <row r="1861" spans="1:5" x14ac:dyDescent="0.2">
      <c r="A1861" s="7">
        <v>10966</v>
      </c>
      <c r="B1861" s="8">
        <v>56</v>
      </c>
      <c r="C1861" s="8">
        <v>38</v>
      </c>
      <c r="D1861" s="8">
        <v>12</v>
      </c>
      <c r="E1861" s="8">
        <v>0.15</v>
      </c>
    </row>
    <row r="1862" spans="1:5" x14ac:dyDescent="0.2">
      <c r="A1862" s="7">
        <v>10966</v>
      </c>
      <c r="B1862" s="8">
        <v>62</v>
      </c>
      <c r="C1862" s="8">
        <v>49.3</v>
      </c>
      <c r="D1862" s="8">
        <v>12</v>
      </c>
      <c r="E1862" s="8">
        <v>0.15</v>
      </c>
    </row>
    <row r="1863" spans="1:5" x14ac:dyDescent="0.2">
      <c r="A1863" s="7">
        <v>10967</v>
      </c>
      <c r="B1863" s="8">
        <v>19</v>
      </c>
      <c r="C1863" s="8">
        <v>9.1999999999999993</v>
      </c>
      <c r="D1863" s="8">
        <v>12</v>
      </c>
      <c r="E1863" s="8">
        <v>0</v>
      </c>
    </row>
    <row r="1864" spans="1:5" x14ac:dyDescent="0.2">
      <c r="A1864" s="7">
        <v>10967</v>
      </c>
      <c r="B1864" s="8">
        <v>49</v>
      </c>
      <c r="C1864" s="8">
        <v>20</v>
      </c>
      <c r="D1864" s="8">
        <v>40</v>
      </c>
      <c r="E1864" s="8">
        <v>0</v>
      </c>
    </row>
    <row r="1865" spans="1:5" x14ac:dyDescent="0.2">
      <c r="A1865" s="7">
        <v>10968</v>
      </c>
      <c r="B1865" s="8">
        <v>12</v>
      </c>
      <c r="C1865" s="8">
        <v>38</v>
      </c>
      <c r="D1865" s="8">
        <v>30</v>
      </c>
      <c r="E1865" s="8">
        <v>0</v>
      </c>
    </row>
    <row r="1866" spans="1:5" x14ac:dyDescent="0.2">
      <c r="A1866" s="7">
        <v>10968</v>
      </c>
      <c r="B1866" s="8">
        <v>24</v>
      </c>
      <c r="C1866" s="8">
        <v>4.5</v>
      </c>
      <c r="D1866" s="8">
        <v>30</v>
      </c>
      <c r="E1866" s="8">
        <v>0</v>
      </c>
    </row>
    <row r="1867" spans="1:5" x14ac:dyDescent="0.2">
      <c r="A1867" s="7">
        <v>10968</v>
      </c>
      <c r="B1867" s="8">
        <v>64</v>
      </c>
      <c r="C1867" s="8">
        <v>33.25</v>
      </c>
      <c r="D1867" s="8">
        <v>4</v>
      </c>
      <c r="E1867" s="8">
        <v>0</v>
      </c>
    </row>
    <row r="1868" spans="1:5" x14ac:dyDescent="0.2">
      <c r="A1868" s="7">
        <v>10969</v>
      </c>
      <c r="B1868" s="8">
        <v>46</v>
      </c>
      <c r="C1868" s="8">
        <v>12</v>
      </c>
      <c r="D1868" s="8">
        <v>9</v>
      </c>
      <c r="E1868" s="8">
        <v>0</v>
      </c>
    </row>
    <row r="1869" spans="1:5" x14ac:dyDescent="0.2">
      <c r="A1869" s="7">
        <v>10970</v>
      </c>
      <c r="B1869" s="8">
        <v>52</v>
      </c>
      <c r="C1869" s="8">
        <v>7</v>
      </c>
      <c r="D1869" s="8">
        <v>40</v>
      </c>
      <c r="E1869" s="8">
        <v>0.2</v>
      </c>
    </row>
    <row r="1870" spans="1:5" x14ac:dyDescent="0.2">
      <c r="A1870" s="7">
        <v>10971</v>
      </c>
      <c r="B1870" s="8">
        <v>29</v>
      </c>
      <c r="C1870" s="8">
        <v>123.79</v>
      </c>
      <c r="D1870" s="8">
        <v>14</v>
      </c>
      <c r="E1870" s="8">
        <v>0</v>
      </c>
    </row>
    <row r="1871" spans="1:5" x14ac:dyDescent="0.2">
      <c r="A1871" s="7">
        <v>10972</v>
      </c>
      <c r="B1871" s="8">
        <v>17</v>
      </c>
      <c r="C1871" s="8">
        <v>39</v>
      </c>
      <c r="D1871" s="8">
        <v>6</v>
      </c>
      <c r="E1871" s="8">
        <v>0</v>
      </c>
    </row>
    <row r="1872" spans="1:5" x14ac:dyDescent="0.2">
      <c r="A1872" s="7">
        <v>10972</v>
      </c>
      <c r="B1872" s="8">
        <v>33</v>
      </c>
      <c r="C1872" s="8">
        <v>2.5</v>
      </c>
      <c r="D1872" s="8">
        <v>7</v>
      </c>
      <c r="E1872" s="8">
        <v>0</v>
      </c>
    </row>
    <row r="1873" spans="1:5" x14ac:dyDescent="0.2">
      <c r="A1873" s="7">
        <v>10973</v>
      </c>
      <c r="B1873" s="8">
        <v>26</v>
      </c>
      <c r="C1873" s="8">
        <v>31.23</v>
      </c>
      <c r="D1873" s="8">
        <v>5</v>
      </c>
      <c r="E1873" s="8">
        <v>0</v>
      </c>
    </row>
    <row r="1874" spans="1:5" x14ac:dyDescent="0.2">
      <c r="A1874" s="7">
        <v>10973</v>
      </c>
      <c r="B1874" s="8">
        <v>41</v>
      </c>
      <c r="C1874" s="8">
        <v>9.65</v>
      </c>
      <c r="D1874" s="8">
        <v>6</v>
      </c>
      <c r="E1874" s="8">
        <v>0</v>
      </c>
    </row>
    <row r="1875" spans="1:5" x14ac:dyDescent="0.2">
      <c r="A1875" s="7">
        <v>10973</v>
      </c>
      <c r="B1875" s="8">
        <v>75</v>
      </c>
      <c r="C1875" s="8">
        <v>7.75</v>
      </c>
      <c r="D1875" s="8">
        <v>10</v>
      </c>
      <c r="E1875" s="8">
        <v>0</v>
      </c>
    </row>
    <row r="1876" spans="1:5" x14ac:dyDescent="0.2">
      <c r="A1876" s="7">
        <v>10974</v>
      </c>
      <c r="B1876" s="8">
        <v>63</v>
      </c>
      <c r="C1876" s="8">
        <v>43.9</v>
      </c>
      <c r="D1876" s="8">
        <v>10</v>
      </c>
      <c r="E1876" s="8">
        <v>0</v>
      </c>
    </row>
    <row r="1877" spans="1:5" x14ac:dyDescent="0.2">
      <c r="A1877" s="7">
        <v>10975</v>
      </c>
      <c r="B1877" s="8">
        <v>8</v>
      </c>
      <c r="C1877" s="8">
        <v>40</v>
      </c>
      <c r="D1877" s="8">
        <v>16</v>
      </c>
      <c r="E1877" s="8">
        <v>0</v>
      </c>
    </row>
    <row r="1878" spans="1:5" x14ac:dyDescent="0.2">
      <c r="A1878" s="7">
        <v>10975</v>
      </c>
      <c r="B1878" s="8">
        <v>75</v>
      </c>
      <c r="C1878" s="8">
        <v>7.75</v>
      </c>
      <c r="D1878" s="8">
        <v>10</v>
      </c>
      <c r="E1878" s="8">
        <v>0</v>
      </c>
    </row>
    <row r="1879" spans="1:5" x14ac:dyDescent="0.2">
      <c r="A1879" s="7">
        <v>10976</v>
      </c>
      <c r="B1879" s="8">
        <v>28</v>
      </c>
      <c r="C1879" s="8">
        <v>45.6</v>
      </c>
      <c r="D1879" s="8">
        <v>20</v>
      </c>
      <c r="E1879" s="8">
        <v>0</v>
      </c>
    </row>
    <row r="1880" spans="1:5" x14ac:dyDescent="0.2">
      <c r="A1880" s="7">
        <v>10977</v>
      </c>
      <c r="B1880" s="8">
        <v>39</v>
      </c>
      <c r="C1880" s="8">
        <v>18</v>
      </c>
      <c r="D1880" s="8">
        <v>30</v>
      </c>
      <c r="E1880" s="8">
        <v>0</v>
      </c>
    </row>
    <row r="1881" spans="1:5" x14ac:dyDescent="0.2">
      <c r="A1881" s="7">
        <v>10977</v>
      </c>
      <c r="B1881" s="8">
        <v>47</v>
      </c>
      <c r="C1881" s="8">
        <v>9.5</v>
      </c>
      <c r="D1881" s="8">
        <v>30</v>
      </c>
      <c r="E1881" s="8">
        <v>0</v>
      </c>
    </row>
    <row r="1882" spans="1:5" x14ac:dyDescent="0.2">
      <c r="A1882" s="7">
        <v>10977</v>
      </c>
      <c r="B1882" s="8">
        <v>51</v>
      </c>
      <c r="C1882" s="8">
        <v>53</v>
      </c>
      <c r="D1882" s="8">
        <v>10</v>
      </c>
      <c r="E1882" s="8">
        <v>0</v>
      </c>
    </row>
    <row r="1883" spans="1:5" x14ac:dyDescent="0.2">
      <c r="A1883" s="7">
        <v>10977</v>
      </c>
      <c r="B1883" s="8">
        <v>63</v>
      </c>
      <c r="C1883" s="8">
        <v>43.9</v>
      </c>
      <c r="D1883" s="8">
        <v>20</v>
      </c>
      <c r="E1883" s="8">
        <v>0</v>
      </c>
    </row>
    <row r="1884" spans="1:5" x14ac:dyDescent="0.2">
      <c r="A1884" s="7">
        <v>10978</v>
      </c>
      <c r="B1884" s="8">
        <v>8</v>
      </c>
      <c r="C1884" s="8">
        <v>40</v>
      </c>
      <c r="D1884" s="8">
        <v>20</v>
      </c>
      <c r="E1884" s="8">
        <v>0.15</v>
      </c>
    </row>
    <row r="1885" spans="1:5" x14ac:dyDescent="0.2">
      <c r="A1885" s="7">
        <v>10978</v>
      </c>
      <c r="B1885" s="8">
        <v>21</v>
      </c>
      <c r="C1885" s="8">
        <v>10</v>
      </c>
      <c r="D1885" s="8">
        <v>40</v>
      </c>
      <c r="E1885" s="8">
        <v>0.15</v>
      </c>
    </row>
    <row r="1886" spans="1:5" x14ac:dyDescent="0.2">
      <c r="A1886" s="7">
        <v>10978</v>
      </c>
      <c r="B1886" s="8">
        <v>40</v>
      </c>
      <c r="C1886" s="8">
        <v>18.399999999999999</v>
      </c>
      <c r="D1886" s="8">
        <v>10</v>
      </c>
      <c r="E1886" s="8">
        <v>0</v>
      </c>
    </row>
    <row r="1887" spans="1:5" x14ac:dyDescent="0.2">
      <c r="A1887" s="7">
        <v>10978</v>
      </c>
      <c r="B1887" s="8">
        <v>44</v>
      </c>
      <c r="C1887" s="8">
        <v>19.45</v>
      </c>
      <c r="D1887" s="8">
        <v>6</v>
      </c>
      <c r="E1887" s="8">
        <v>0.15</v>
      </c>
    </row>
    <row r="1888" spans="1:5" x14ac:dyDescent="0.2">
      <c r="A1888" s="7">
        <v>10979</v>
      </c>
      <c r="B1888" s="8">
        <v>7</v>
      </c>
      <c r="C1888" s="8">
        <v>30</v>
      </c>
      <c r="D1888" s="8">
        <v>18</v>
      </c>
      <c r="E1888" s="8">
        <v>0</v>
      </c>
    </row>
    <row r="1889" spans="1:5" x14ac:dyDescent="0.2">
      <c r="A1889" s="7">
        <v>10979</v>
      </c>
      <c r="B1889" s="8">
        <v>12</v>
      </c>
      <c r="C1889" s="8">
        <v>38</v>
      </c>
      <c r="D1889" s="8">
        <v>20</v>
      </c>
      <c r="E1889" s="8">
        <v>0</v>
      </c>
    </row>
    <row r="1890" spans="1:5" x14ac:dyDescent="0.2">
      <c r="A1890" s="7">
        <v>10979</v>
      </c>
      <c r="B1890" s="8">
        <v>24</v>
      </c>
      <c r="C1890" s="8">
        <v>4.5</v>
      </c>
      <c r="D1890" s="8">
        <v>80</v>
      </c>
      <c r="E1890" s="8">
        <v>0</v>
      </c>
    </row>
    <row r="1891" spans="1:5" x14ac:dyDescent="0.2">
      <c r="A1891" s="7">
        <v>10979</v>
      </c>
      <c r="B1891" s="8">
        <v>27</v>
      </c>
      <c r="C1891" s="8">
        <v>43.9</v>
      </c>
      <c r="D1891" s="8">
        <v>30</v>
      </c>
      <c r="E1891" s="8">
        <v>0</v>
      </c>
    </row>
    <row r="1892" spans="1:5" x14ac:dyDescent="0.2">
      <c r="A1892" s="7">
        <v>10979</v>
      </c>
      <c r="B1892" s="8">
        <v>31</v>
      </c>
      <c r="C1892" s="8">
        <v>12.5</v>
      </c>
      <c r="D1892" s="8">
        <v>24</v>
      </c>
      <c r="E1892" s="8">
        <v>0</v>
      </c>
    </row>
    <row r="1893" spans="1:5" x14ac:dyDescent="0.2">
      <c r="A1893" s="7">
        <v>10979</v>
      </c>
      <c r="B1893" s="8">
        <v>63</v>
      </c>
      <c r="C1893" s="8">
        <v>43.9</v>
      </c>
      <c r="D1893" s="8">
        <v>35</v>
      </c>
      <c r="E1893" s="8">
        <v>0</v>
      </c>
    </row>
    <row r="1894" spans="1:5" x14ac:dyDescent="0.2">
      <c r="A1894" s="7">
        <v>10980</v>
      </c>
      <c r="B1894" s="8">
        <v>75</v>
      </c>
      <c r="C1894" s="8">
        <v>7.75</v>
      </c>
      <c r="D1894" s="8">
        <v>40</v>
      </c>
      <c r="E1894" s="8">
        <v>0.2</v>
      </c>
    </row>
    <row r="1895" spans="1:5" x14ac:dyDescent="0.2">
      <c r="A1895" s="7">
        <v>10981</v>
      </c>
      <c r="B1895" s="8">
        <v>38</v>
      </c>
      <c r="C1895" s="8">
        <v>263.5</v>
      </c>
      <c r="D1895" s="8">
        <v>60</v>
      </c>
      <c r="E1895" s="8">
        <v>0</v>
      </c>
    </row>
    <row r="1896" spans="1:5" x14ac:dyDescent="0.2">
      <c r="A1896" s="7">
        <v>10982</v>
      </c>
      <c r="B1896" s="8">
        <v>7</v>
      </c>
      <c r="C1896" s="8">
        <v>30</v>
      </c>
      <c r="D1896" s="8">
        <v>20</v>
      </c>
      <c r="E1896" s="8">
        <v>0</v>
      </c>
    </row>
    <row r="1897" spans="1:5" x14ac:dyDescent="0.2">
      <c r="A1897" s="7">
        <v>10982</v>
      </c>
      <c r="B1897" s="8">
        <v>43</v>
      </c>
      <c r="C1897" s="8">
        <v>46</v>
      </c>
      <c r="D1897" s="8">
        <v>9</v>
      </c>
      <c r="E1897" s="8">
        <v>0</v>
      </c>
    </row>
    <row r="1898" spans="1:5" x14ac:dyDescent="0.2">
      <c r="A1898" s="7">
        <v>10983</v>
      </c>
      <c r="B1898" s="8">
        <v>13</v>
      </c>
      <c r="C1898" s="8">
        <v>6</v>
      </c>
      <c r="D1898" s="8">
        <v>84</v>
      </c>
      <c r="E1898" s="8">
        <v>0.15</v>
      </c>
    </row>
    <row r="1899" spans="1:5" x14ac:dyDescent="0.2">
      <c r="A1899" s="7">
        <v>10983</v>
      </c>
      <c r="B1899" s="8">
        <v>57</v>
      </c>
      <c r="C1899" s="8">
        <v>19.5</v>
      </c>
      <c r="D1899" s="8">
        <v>15</v>
      </c>
      <c r="E1899" s="8">
        <v>0</v>
      </c>
    </row>
    <row r="1900" spans="1:5" x14ac:dyDescent="0.2">
      <c r="A1900" s="7">
        <v>10984</v>
      </c>
      <c r="B1900" s="8">
        <v>16</v>
      </c>
      <c r="C1900" s="8">
        <v>17.45</v>
      </c>
      <c r="D1900" s="8">
        <v>55</v>
      </c>
      <c r="E1900" s="8">
        <v>0</v>
      </c>
    </row>
    <row r="1901" spans="1:5" x14ac:dyDescent="0.2">
      <c r="A1901" s="7">
        <v>10984</v>
      </c>
      <c r="B1901" s="8">
        <v>24</v>
      </c>
      <c r="C1901" s="8">
        <v>4.5</v>
      </c>
      <c r="D1901" s="8">
        <v>20</v>
      </c>
      <c r="E1901" s="8">
        <v>0</v>
      </c>
    </row>
    <row r="1902" spans="1:5" x14ac:dyDescent="0.2">
      <c r="A1902" s="7">
        <v>10984</v>
      </c>
      <c r="B1902" s="8">
        <v>36</v>
      </c>
      <c r="C1902" s="8">
        <v>19</v>
      </c>
      <c r="D1902" s="8">
        <v>40</v>
      </c>
      <c r="E1902" s="8">
        <v>0</v>
      </c>
    </row>
    <row r="1903" spans="1:5" x14ac:dyDescent="0.2">
      <c r="A1903" s="7">
        <v>10985</v>
      </c>
      <c r="B1903" s="8">
        <v>16</v>
      </c>
      <c r="C1903" s="8">
        <v>17.45</v>
      </c>
      <c r="D1903" s="8">
        <v>36</v>
      </c>
      <c r="E1903" s="8">
        <v>0.1</v>
      </c>
    </row>
    <row r="1904" spans="1:5" x14ac:dyDescent="0.2">
      <c r="A1904" s="7">
        <v>10985</v>
      </c>
      <c r="B1904" s="8">
        <v>18</v>
      </c>
      <c r="C1904" s="8">
        <v>62.5</v>
      </c>
      <c r="D1904" s="8">
        <v>8</v>
      </c>
      <c r="E1904" s="8">
        <v>0.1</v>
      </c>
    </row>
    <row r="1905" spans="1:5" x14ac:dyDescent="0.2">
      <c r="A1905" s="7">
        <v>10985</v>
      </c>
      <c r="B1905" s="8">
        <v>32</v>
      </c>
      <c r="C1905" s="8">
        <v>32</v>
      </c>
      <c r="D1905" s="8">
        <v>35</v>
      </c>
      <c r="E1905" s="8">
        <v>0.1</v>
      </c>
    </row>
    <row r="1906" spans="1:5" x14ac:dyDescent="0.2">
      <c r="A1906" s="7">
        <v>10986</v>
      </c>
      <c r="B1906" s="8">
        <v>11</v>
      </c>
      <c r="C1906" s="8">
        <v>21</v>
      </c>
      <c r="D1906" s="8">
        <v>30</v>
      </c>
      <c r="E1906" s="8">
        <v>0</v>
      </c>
    </row>
    <row r="1907" spans="1:5" x14ac:dyDescent="0.2">
      <c r="A1907" s="7">
        <v>10986</v>
      </c>
      <c r="B1907" s="8">
        <v>20</v>
      </c>
      <c r="C1907" s="8">
        <v>81</v>
      </c>
      <c r="D1907" s="8">
        <v>15</v>
      </c>
      <c r="E1907" s="8">
        <v>0</v>
      </c>
    </row>
    <row r="1908" spans="1:5" x14ac:dyDescent="0.2">
      <c r="A1908" s="7">
        <v>10986</v>
      </c>
      <c r="B1908" s="8">
        <v>76</v>
      </c>
      <c r="C1908" s="8">
        <v>18</v>
      </c>
      <c r="D1908" s="8">
        <v>10</v>
      </c>
      <c r="E1908" s="8">
        <v>0</v>
      </c>
    </row>
    <row r="1909" spans="1:5" x14ac:dyDescent="0.2">
      <c r="A1909" s="7">
        <v>10986</v>
      </c>
      <c r="B1909" s="8">
        <v>77</v>
      </c>
      <c r="C1909" s="8">
        <v>13</v>
      </c>
      <c r="D1909" s="8">
        <v>15</v>
      </c>
      <c r="E1909" s="8">
        <v>0</v>
      </c>
    </row>
    <row r="1910" spans="1:5" x14ac:dyDescent="0.2">
      <c r="A1910" s="7">
        <v>10987</v>
      </c>
      <c r="B1910" s="8">
        <v>7</v>
      </c>
      <c r="C1910" s="8">
        <v>30</v>
      </c>
      <c r="D1910" s="8">
        <v>60</v>
      </c>
      <c r="E1910" s="8">
        <v>0</v>
      </c>
    </row>
    <row r="1911" spans="1:5" x14ac:dyDescent="0.2">
      <c r="A1911" s="7">
        <v>10987</v>
      </c>
      <c r="B1911" s="8">
        <v>43</v>
      </c>
      <c r="C1911" s="8">
        <v>46</v>
      </c>
      <c r="D1911" s="8">
        <v>6</v>
      </c>
      <c r="E1911" s="8">
        <v>0</v>
      </c>
    </row>
    <row r="1912" spans="1:5" x14ac:dyDescent="0.2">
      <c r="A1912" s="7">
        <v>10987</v>
      </c>
      <c r="B1912" s="8">
        <v>72</v>
      </c>
      <c r="C1912" s="8">
        <v>34.799999999999997</v>
      </c>
      <c r="D1912" s="8">
        <v>20</v>
      </c>
      <c r="E1912" s="8">
        <v>0</v>
      </c>
    </row>
    <row r="1913" spans="1:5" x14ac:dyDescent="0.2">
      <c r="A1913" s="7">
        <v>10988</v>
      </c>
      <c r="B1913" s="8">
        <v>7</v>
      </c>
      <c r="C1913" s="8">
        <v>30</v>
      </c>
      <c r="D1913" s="8">
        <v>60</v>
      </c>
      <c r="E1913" s="8">
        <v>0</v>
      </c>
    </row>
    <row r="1914" spans="1:5" x14ac:dyDescent="0.2">
      <c r="A1914" s="7">
        <v>10988</v>
      </c>
      <c r="B1914" s="8">
        <v>62</v>
      </c>
      <c r="C1914" s="8">
        <v>49.3</v>
      </c>
      <c r="D1914" s="8">
        <v>40</v>
      </c>
      <c r="E1914" s="8">
        <v>0.1</v>
      </c>
    </row>
    <row r="1915" spans="1:5" x14ac:dyDescent="0.2">
      <c r="A1915" s="7">
        <v>10989</v>
      </c>
      <c r="B1915" s="8">
        <v>6</v>
      </c>
      <c r="C1915" s="8">
        <v>25</v>
      </c>
      <c r="D1915" s="8">
        <v>40</v>
      </c>
      <c r="E1915" s="8">
        <v>0</v>
      </c>
    </row>
    <row r="1916" spans="1:5" x14ac:dyDescent="0.2">
      <c r="A1916" s="7">
        <v>10989</v>
      </c>
      <c r="B1916" s="8">
        <v>11</v>
      </c>
      <c r="C1916" s="8">
        <v>21</v>
      </c>
      <c r="D1916" s="8">
        <v>15</v>
      </c>
      <c r="E1916" s="8">
        <v>0</v>
      </c>
    </row>
    <row r="1917" spans="1:5" x14ac:dyDescent="0.2">
      <c r="A1917" s="7">
        <v>10989</v>
      </c>
      <c r="B1917" s="8">
        <v>41</v>
      </c>
      <c r="C1917" s="8">
        <v>9.65</v>
      </c>
      <c r="D1917" s="8">
        <v>4</v>
      </c>
      <c r="E1917" s="8">
        <v>0</v>
      </c>
    </row>
    <row r="1918" spans="1:5" x14ac:dyDescent="0.2">
      <c r="A1918" s="7">
        <v>10990</v>
      </c>
      <c r="B1918" s="8">
        <v>21</v>
      </c>
      <c r="C1918" s="8">
        <v>10</v>
      </c>
      <c r="D1918" s="8">
        <v>65</v>
      </c>
      <c r="E1918" s="8">
        <v>0</v>
      </c>
    </row>
    <row r="1919" spans="1:5" x14ac:dyDescent="0.2">
      <c r="A1919" s="7">
        <v>10990</v>
      </c>
      <c r="B1919" s="8">
        <v>34</v>
      </c>
      <c r="C1919" s="8">
        <v>14</v>
      </c>
      <c r="D1919" s="8">
        <v>60</v>
      </c>
      <c r="E1919" s="8">
        <v>0.15</v>
      </c>
    </row>
    <row r="1920" spans="1:5" x14ac:dyDescent="0.2">
      <c r="A1920" s="7">
        <v>10990</v>
      </c>
      <c r="B1920" s="8">
        <v>55</v>
      </c>
      <c r="C1920" s="8">
        <v>24</v>
      </c>
      <c r="D1920" s="8">
        <v>65</v>
      </c>
      <c r="E1920" s="8">
        <v>0.15</v>
      </c>
    </row>
    <row r="1921" spans="1:5" x14ac:dyDescent="0.2">
      <c r="A1921" s="7">
        <v>10990</v>
      </c>
      <c r="B1921" s="8">
        <v>61</v>
      </c>
      <c r="C1921" s="8">
        <v>28.5</v>
      </c>
      <c r="D1921" s="8">
        <v>66</v>
      </c>
      <c r="E1921" s="8">
        <v>0.15</v>
      </c>
    </row>
    <row r="1922" spans="1:5" x14ac:dyDescent="0.2">
      <c r="A1922" s="7">
        <v>10991</v>
      </c>
      <c r="B1922" s="8">
        <v>2</v>
      </c>
      <c r="C1922" s="8">
        <v>19</v>
      </c>
      <c r="D1922" s="8">
        <v>50</v>
      </c>
      <c r="E1922" s="8">
        <v>0.2</v>
      </c>
    </row>
    <row r="1923" spans="1:5" x14ac:dyDescent="0.2">
      <c r="A1923" s="7">
        <v>10991</v>
      </c>
      <c r="B1923" s="8">
        <v>70</v>
      </c>
      <c r="C1923" s="8">
        <v>15</v>
      </c>
      <c r="D1923" s="8">
        <v>20</v>
      </c>
      <c r="E1923" s="8">
        <v>0.2</v>
      </c>
    </row>
    <row r="1924" spans="1:5" x14ac:dyDescent="0.2">
      <c r="A1924" s="7">
        <v>10991</v>
      </c>
      <c r="B1924" s="8">
        <v>76</v>
      </c>
      <c r="C1924" s="8">
        <v>18</v>
      </c>
      <c r="D1924" s="8">
        <v>90</v>
      </c>
      <c r="E1924" s="8">
        <v>0.2</v>
      </c>
    </row>
    <row r="1925" spans="1:5" x14ac:dyDescent="0.2">
      <c r="A1925" s="7">
        <v>10992</v>
      </c>
      <c r="B1925" s="8">
        <v>72</v>
      </c>
      <c r="C1925" s="8">
        <v>34.799999999999997</v>
      </c>
      <c r="D1925" s="8">
        <v>2</v>
      </c>
      <c r="E1925" s="8">
        <v>0</v>
      </c>
    </row>
    <row r="1926" spans="1:5" x14ac:dyDescent="0.2">
      <c r="A1926" s="7">
        <v>10993</v>
      </c>
      <c r="B1926" s="8">
        <v>29</v>
      </c>
      <c r="C1926" s="8">
        <v>123.79</v>
      </c>
      <c r="D1926" s="8">
        <v>50</v>
      </c>
      <c r="E1926" s="8">
        <v>0.25</v>
      </c>
    </row>
    <row r="1927" spans="1:5" x14ac:dyDescent="0.2">
      <c r="A1927" s="7">
        <v>10993</v>
      </c>
      <c r="B1927" s="8">
        <v>41</v>
      </c>
      <c r="C1927" s="8">
        <v>9.65</v>
      </c>
      <c r="D1927" s="8">
        <v>35</v>
      </c>
      <c r="E1927" s="8">
        <v>0.25</v>
      </c>
    </row>
    <row r="1928" spans="1:5" x14ac:dyDescent="0.2">
      <c r="A1928" s="7">
        <v>10994</v>
      </c>
      <c r="B1928" s="8">
        <v>59</v>
      </c>
      <c r="C1928" s="8">
        <v>55</v>
      </c>
      <c r="D1928" s="8">
        <v>18</v>
      </c>
      <c r="E1928" s="8">
        <v>0.05</v>
      </c>
    </row>
    <row r="1929" spans="1:5" x14ac:dyDescent="0.2">
      <c r="A1929" s="7">
        <v>10995</v>
      </c>
      <c r="B1929" s="8">
        <v>51</v>
      </c>
      <c r="C1929" s="8">
        <v>53</v>
      </c>
      <c r="D1929" s="8">
        <v>20</v>
      </c>
      <c r="E1929" s="8">
        <v>0</v>
      </c>
    </row>
    <row r="1930" spans="1:5" x14ac:dyDescent="0.2">
      <c r="A1930" s="7">
        <v>10995</v>
      </c>
      <c r="B1930" s="8">
        <v>60</v>
      </c>
      <c r="C1930" s="8">
        <v>34</v>
      </c>
      <c r="D1930" s="8">
        <v>4</v>
      </c>
      <c r="E1930" s="8">
        <v>0</v>
      </c>
    </row>
    <row r="1931" spans="1:5" x14ac:dyDescent="0.2">
      <c r="A1931" s="7">
        <v>10996</v>
      </c>
      <c r="B1931" s="8">
        <v>42</v>
      </c>
      <c r="C1931" s="8">
        <v>14</v>
      </c>
      <c r="D1931" s="8">
        <v>40</v>
      </c>
      <c r="E1931" s="8">
        <v>0</v>
      </c>
    </row>
    <row r="1932" spans="1:5" x14ac:dyDescent="0.2">
      <c r="A1932" s="7">
        <v>10997</v>
      </c>
      <c r="B1932" s="8">
        <v>32</v>
      </c>
      <c r="C1932" s="8">
        <v>32</v>
      </c>
      <c r="D1932" s="8">
        <v>50</v>
      </c>
      <c r="E1932" s="8">
        <v>0</v>
      </c>
    </row>
    <row r="1933" spans="1:5" x14ac:dyDescent="0.2">
      <c r="A1933" s="7">
        <v>10997</v>
      </c>
      <c r="B1933" s="8">
        <v>46</v>
      </c>
      <c r="C1933" s="8">
        <v>12</v>
      </c>
      <c r="D1933" s="8">
        <v>20</v>
      </c>
      <c r="E1933" s="8">
        <v>0.25</v>
      </c>
    </row>
    <row r="1934" spans="1:5" x14ac:dyDescent="0.2">
      <c r="A1934" s="7">
        <v>10997</v>
      </c>
      <c r="B1934" s="8">
        <v>52</v>
      </c>
      <c r="C1934" s="8">
        <v>7</v>
      </c>
      <c r="D1934" s="8">
        <v>20</v>
      </c>
      <c r="E1934" s="8">
        <v>0.25</v>
      </c>
    </row>
    <row r="1935" spans="1:5" x14ac:dyDescent="0.2">
      <c r="A1935" s="7">
        <v>10998</v>
      </c>
      <c r="B1935" s="8">
        <v>24</v>
      </c>
      <c r="C1935" s="8">
        <v>4.5</v>
      </c>
      <c r="D1935" s="8">
        <v>12</v>
      </c>
      <c r="E1935" s="8">
        <v>0</v>
      </c>
    </row>
    <row r="1936" spans="1:5" x14ac:dyDescent="0.2">
      <c r="A1936" s="7">
        <v>10998</v>
      </c>
      <c r="B1936" s="8">
        <v>61</v>
      </c>
      <c r="C1936" s="8">
        <v>28.5</v>
      </c>
      <c r="D1936" s="8">
        <v>7</v>
      </c>
      <c r="E1936" s="8">
        <v>0</v>
      </c>
    </row>
    <row r="1937" spans="1:5" x14ac:dyDescent="0.2">
      <c r="A1937" s="7">
        <v>10998</v>
      </c>
      <c r="B1937" s="8">
        <v>74</v>
      </c>
      <c r="C1937" s="8">
        <v>10</v>
      </c>
      <c r="D1937" s="8">
        <v>20</v>
      </c>
      <c r="E1937" s="8">
        <v>0</v>
      </c>
    </row>
    <row r="1938" spans="1:5" x14ac:dyDescent="0.2">
      <c r="A1938" s="7">
        <v>10998</v>
      </c>
      <c r="B1938" s="8">
        <v>75</v>
      </c>
      <c r="C1938" s="8">
        <v>7.75</v>
      </c>
      <c r="D1938" s="8">
        <v>30</v>
      </c>
      <c r="E1938" s="8">
        <v>0</v>
      </c>
    </row>
    <row r="1939" spans="1:5" x14ac:dyDescent="0.2">
      <c r="A1939" s="7">
        <v>10999</v>
      </c>
      <c r="B1939" s="8">
        <v>41</v>
      </c>
      <c r="C1939" s="8">
        <v>9.65</v>
      </c>
      <c r="D1939" s="8">
        <v>20</v>
      </c>
      <c r="E1939" s="8">
        <v>0.05</v>
      </c>
    </row>
    <row r="1940" spans="1:5" x14ac:dyDescent="0.2">
      <c r="A1940" s="7">
        <v>10999</v>
      </c>
      <c r="B1940" s="8">
        <v>51</v>
      </c>
      <c r="C1940" s="8">
        <v>53</v>
      </c>
      <c r="D1940" s="8">
        <v>15</v>
      </c>
      <c r="E1940" s="8">
        <v>0.05</v>
      </c>
    </row>
    <row r="1941" spans="1:5" x14ac:dyDescent="0.2">
      <c r="A1941" s="7">
        <v>10999</v>
      </c>
      <c r="B1941" s="8">
        <v>77</v>
      </c>
      <c r="C1941" s="8">
        <v>13</v>
      </c>
      <c r="D1941" s="8">
        <v>21</v>
      </c>
      <c r="E1941" s="8">
        <v>0.05</v>
      </c>
    </row>
    <row r="1942" spans="1:5" x14ac:dyDescent="0.2">
      <c r="A1942" s="7">
        <v>11000</v>
      </c>
      <c r="B1942" s="8">
        <v>4</v>
      </c>
      <c r="C1942" s="8">
        <v>22</v>
      </c>
      <c r="D1942" s="8">
        <v>25</v>
      </c>
      <c r="E1942" s="8">
        <v>0.25</v>
      </c>
    </row>
    <row r="1943" spans="1:5" x14ac:dyDescent="0.2">
      <c r="A1943" s="7">
        <v>11000</v>
      </c>
      <c r="B1943" s="8">
        <v>24</v>
      </c>
      <c r="C1943" s="8">
        <v>4.5</v>
      </c>
      <c r="D1943" s="8">
        <v>30</v>
      </c>
      <c r="E1943" s="8">
        <v>0.25</v>
      </c>
    </row>
    <row r="1944" spans="1:5" x14ac:dyDescent="0.2">
      <c r="A1944" s="7">
        <v>11000</v>
      </c>
      <c r="B1944" s="8">
        <v>77</v>
      </c>
      <c r="C1944" s="8">
        <v>13</v>
      </c>
      <c r="D1944" s="8">
        <v>30</v>
      </c>
      <c r="E1944" s="8">
        <v>0</v>
      </c>
    </row>
    <row r="1945" spans="1:5" x14ac:dyDescent="0.2">
      <c r="A1945" s="7">
        <v>11001</v>
      </c>
      <c r="B1945" s="8">
        <v>7</v>
      </c>
      <c r="C1945" s="8">
        <v>30</v>
      </c>
      <c r="D1945" s="8">
        <v>60</v>
      </c>
      <c r="E1945" s="8">
        <v>0</v>
      </c>
    </row>
    <row r="1946" spans="1:5" x14ac:dyDescent="0.2">
      <c r="A1946" s="7">
        <v>11001</v>
      </c>
      <c r="B1946" s="8">
        <v>22</v>
      </c>
      <c r="C1946" s="8">
        <v>21</v>
      </c>
      <c r="D1946" s="8">
        <v>25</v>
      </c>
      <c r="E1946" s="8">
        <v>0</v>
      </c>
    </row>
    <row r="1947" spans="1:5" x14ac:dyDescent="0.2">
      <c r="A1947" s="7">
        <v>11001</v>
      </c>
      <c r="B1947" s="8">
        <v>46</v>
      </c>
      <c r="C1947" s="8">
        <v>12</v>
      </c>
      <c r="D1947" s="8">
        <v>25</v>
      </c>
      <c r="E1947" s="8">
        <v>0</v>
      </c>
    </row>
    <row r="1948" spans="1:5" x14ac:dyDescent="0.2">
      <c r="A1948" s="7">
        <v>11001</v>
      </c>
      <c r="B1948" s="8">
        <v>55</v>
      </c>
      <c r="C1948" s="8">
        <v>24</v>
      </c>
      <c r="D1948" s="8">
        <v>6</v>
      </c>
      <c r="E1948" s="8">
        <v>0</v>
      </c>
    </row>
    <row r="1949" spans="1:5" x14ac:dyDescent="0.2">
      <c r="A1949" s="7">
        <v>11002</v>
      </c>
      <c r="B1949" s="8">
        <v>13</v>
      </c>
      <c r="C1949" s="8">
        <v>6</v>
      </c>
      <c r="D1949" s="8">
        <v>56</v>
      </c>
      <c r="E1949" s="8">
        <v>0</v>
      </c>
    </row>
    <row r="1950" spans="1:5" x14ac:dyDescent="0.2">
      <c r="A1950" s="7">
        <v>11002</v>
      </c>
      <c r="B1950" s="8">
        <v>35</v>
      </c>
      <c r="C1950" s="8">
        <v>18</v>
      </c>
      <c r="D1950" s="8">
        <v>15</v>
      </c>
      <c r="E1950" s="8">
        <v>0.15</v>
      </c>
    </row>
    <row r="1951" spans="1:5" x14ac:dyDescent="0.2">
      <c r="A1951" s="7">
        <v>11002</v>
      </c>
      <c r="B1951" s="8">
        <v>42</v>
      </c>
      <c r="C1951" s="8">
        <v>14</v>
      </c>
      <c r="D1951" s="8">
        <v>24</v>
      </c>
      <c r="E1951" s="8">
        <v>0.15</v>
      </c>
    </row>
    <row r="1952" spans="1:5" x14ac:dyDescent="0.2">
      <c r="A1952" s="7">
        <v>11002</v>
      </c>
      <c r="B1952" s="8">
        <v>55</v>
      </c>
      <c r="C1952" s="8">
        <v>24</v>
      </c>
      <c r="D1952" s="8">
        <v>40</v>
      </c>
      <c r="E1952" s="8">
        <v>0</v>
      </c>
    </row>
    <row r="1953" spans="1:5" x14ac:dyDescent="0.2">
      <c r="A1953" s="7">
        <v>11003</v>
      </c>
      <c r="B1953" s="8">
        <v>1</v>
      </c>
      <c r="C1953" s="8">
        <v>18</v>
      </c>
      <c r="D1953" s="8">
        <v>4</v>
      </c>
      <c r="E1953" s="8">
        <v>0</v>
      </c>
    </row>
    <row r="1954" spans="1:5" x14ac:dyDescent="0.2">
      <c r="A1954" s="7">
        <v>11003</v>
      </c>
      <c r="B1954" s="8">
        <v>40</v>
      </c>
      <c r="C1954" s="8">
        <v>18.399999999999999</v>
      </c>
      <c r="D1954" s="8">
        <v>10</v>
      </c>
      <c r="E1954" s="8">
        <v>0</v>
      </c>
    </row>
    <row r="1955" spans="1:5" x14ac:dyDescent="0.2">
      <c r="A1955" s="7">
        <v>11003</v>
      </c>
      <c r="B1955" s="8">
        <v>52</v>
      </c>
      <c r="C1955" s="8">
        <v>7</v>
      </c>
      <c r="D1955" s="8">
        <v>10</v>
      </c>
      <c r="E1955" s="8">
        <v>0</v>
      </c>
    </row>
    <row r="1956" spans="1:5" x14ac:dyDescent="0.2">
      <c r="A1956" s="7">
        <v>11004</v>
      </c>
      <c r="B1956" s="8">
        <v>26</v>
      </c>
      <c r="C1956" s="8">
        <v>31.23</v>
      </c>
      <c r="D1956" s="8">
        <v>6</v>
      </c>
      <c r="E1956" s="8">
        <v>0</v>
      </c>
    </row>
    <row r="1957" spans="1:5" x14ac:dyDescent="0.2">
      <c r="A1957" s="7">
        <v>11004</v>
      </c>
      <c r="B1957" s="8">
        <v>76</v>
      </c>
      <c r="C1957" s="8">
        <v>18</v>
      </c>
      <c r="D1957" s="8">
        <v>6</v>
      </c>
      <c r="E1957" s="8">
        <v>0</v>
      </c>
    </row>
    <row r="1958" spans="1:5" x14ac:dyDescent="0.2">
      <c r="A1958" s="7">
        <v>11005</v>
      </c>
      <c r="B1958" s="8">
        <v>1</v>
      </c>
      <c r="C1958" s="8">
        <v>18</v>
      </c>
      <c r="D1958" s="8">
        <v>2</v>
      </c>
      <c r="E1958" s="8">
        <v>0</v>
      </c>
    </row>
    <row r="1959" spans="1:5" x14ac:dyDescent="0.2">
      <c r="A1959" s="7">
        <v>11005</v>
      </c>
      <c r="B1959" s="8">
        <v>59</v>
      </c>
      <c r="C1959" s="8">
        <v>55</v>
      </c>
      <c r="D1959" s="8">
        <v>10</v>
      </c>
      <c r="E1959" s="8">
        <v>0</v>
      </c>
    </row>
    <row r="1960" spans="1:5" x14ac:dyDescent="0.2">
      <c r="A1960" s="7">
        <v>11006</v>
      </c>
      <c r="B1960" s="8">
        <v>1</v>
      </c>
      <c r="C1960" s="8">
        <v>18</v>
      </c>
      <c r="D1960" s="8">
        <v>8</v>
      </c>
      <c r="E1960" s="8">
        <v>0</v>
      </c>
    </row>
    <row r="1961" spans="1:5" x14ac:dyDescent="0.2">
      <c r="A1961" s="7">
        <v>11006</v>
      </c>
      <c r="B1961" s="8">
        <v>29</v>
      </c>
      <c r="C1961" s="8">
        <v>123.79</v>
      </c>
      <c r="D1961" s="8">
        <v>2</v>
      </c>
      <c r="E1961" s="8">
        <v>0.25</v>
      </c>
    </row>
    <row r="1962" spans="1:5" x14ac:dyDescent="0.2">
      <c r="A1962" s="7">
        <v>11007</v>
      </c>
      <c r="B1962" s="8">
        <v>8</v>
      </c>
      <c r="C1962" s="8">
        <v>40</v>
      </c>
      <c r="D1962" s="8">
        <v>30</v>
      </c>
      <c r="E1962" s="8">
        <v>0</v>
      </c>
    </row>
    <row r="1963" spans="1:5" x14ac:dyDescent="0.2">
      <c r="A1963" s="7">
        <v>11007</v>
      </c>
      <c r="B1963" s="8">
        <v>29</v>
      </c>
      <c r="C1963" s="8">
        <v>123.79</v>
      </c>
      <c r="D1963" s="8">
        <v>10</v>
      </c>
      <c r="E1963" s="8">
        <v>0</v>
      </c>
    </row>
    <row r="1964" spans="1:5" x14ac:dyDescent="0.2">
      <c r="A1964" s="7">
        <v>11007</v>
      </c>
      <c r="B1964" s="8">
        <v>42</v>
      </c>
      <c r="C1964" s="8">
        <v>14</v>
      </c>
      <c r="D1964" s="8">
        <v>14</v>
      </c>
      <c r="E1964" s="8">
        <v>0</v>
      </c>
    </row>
    <row r="1965" spans="1:5" x14ac:dyDescent="0.2">
      <c r="A1965" s="7">
        <v>11008</v>
      </c>
      <c r="B1965" s="8">
        <v>28</v>
      </c>
      <c r="C1965" s="8">
        <v>45.6</v>
      </c>
      <c r="D1965" s="8">
        <v>70</v>
      </c>
      <c r="E1965" s="8">
        <v>0.05</v>
      </c>
    </row>
    <row r="1966" spans="1:5" x14ac:dyDescent="0.2">
      <c r="A1966" s="7">
        <v>11008</v>
      </c>
      <c r="B1966" s="8">
        <v>34</v>
      </c>
      <c r="C1966" s="8">
        <v>14</v>
      </c>
      <c r="D1966" s="8">
        <v>90</v>
      </c>
      <c r="E1966" s="8">
        <v>0.05</v>
      </c>
    </row>
    <row r="1967" spans="1:5" x14ac:dyDescent="0.2">
      <c r="A1967" s="7">
        <v>11008</v>
      </c>
      <c r="B1967" s="8">
        <v>71</v>
      </c>
      <c r="C1967" s="8">
        <v>21.5</v>
      </c>
      <c r="D1967" s="8">
        <v>21</v>
      </c>
      <c r="E1967" s="8">
        <v>0</v>
      </c>
    </row>
    <row r="1968" spans="1:5" x14ac:dyDescent="0.2">
      <c r="A1968" s="7">
        <v>11009</v>
      </c>
      <c r="B1968" s="8">
        <v>24</v>
      </c>
      <c r="C1968" s="8">
        <v>4.5</v>
      </c>
      <c r="D1968" s="8">
        <v>12</v>
      </c>
      <c r="E1968" s="8">
        <v>0</v>
      </c>
    </row>
    <row r="1969" spans="1:5" x14ac:dyDescent="0.2">
      <c r="A1969" s="7">
        <v>11009</v>
      </c>
      <c r="B1969" s="8">
        <v>36</v>
      </c>
      <c r="C1969" s="8">
        <v>19</v>
      </c>
      <c r="D1969" s="8">
        <v>18</v>
      </c>
      <c r="E1969" s="8">
        <v>0.25</v>
      </c>
    </row>
    <row r="1970" spans="1:5" x14ac:dyDescent="0.2">
      <c r="A1970" s="7">
        <v>11009</v>
      </c>
      <c r="B1970" s="8">
        <v>60</v>
      </c>
      <c r="C1970" s="8">
        <v>34</v>
      </c>
      <c r="D1970" s="8">
        <v>9</v>
      </c>
      <c r="E1970" s="8">
        <v>0</v>
      </c>
    </row>
    <row r="1971" spans="1:5" x14ac:dyDescent="0.2">
      <c r="A1971" s="7">
        <v>11010</v>
      </c>
      <c r="B1971" s="8">
        <v>7</v>
      </c>
      <c r="C1971" s="8">
        <v>30</v>
      </c>
      <c r="D1971" s="8">
        <v>20</v>
      </c>
      <c r="E1971" s="8">
        <v>0</v>
      </c>
    </row>
    <row r="1972" spans="1:5" x14ac:dyDescent="0.2">
      <c r="A1972" s="7">
        <v>11010</v>
      </c>
      <c r="B1972" s="8">
        <v>24</v>
      </c>
      <c r="C1972" s="8">
        <v>4.5</v>
      </c>
      <c r="D1972" s="8">
        <v>10</v>
      </c>
      <c r="E1972" s="8">
        <v>0</v>
      </c>
    </row>
    <row r="1973" spans="1:5" x14ac:dyDescent="0.2">
      <c r="A1973" s="7">
        <v>11011</v>
      </c>
      <c r="B1973" s="8">
        <v>58</v>
      </c>
      <c r="C1973" s="8">
        <v>13.25</v>
      </c>
      <c r="D1973" s="8">
        <v>40</v>
      </c>
      <c r="E1973" s="8">
        <v>0.05</v>
      </c>
    </row>
    <row r="1974" spans="1:5" x14ac:dyDescent="0.2">
      <c r="A1974" s="7">
        <v>11011</v>
      </c>
      <c r="B1974" s="8">
        <v>71</v>
      </c>
      <c r="C1974" s="8">
        <v>21.5</v>
      </c>
      <c r="D1974" s="8">
        <v>20</v>
      </c>
      <c r="E1974" s="8">
        <v>0</v>
      </c>
    </row>
    <row r="1975" spans="1:5" x14ac:dyDescent="0.2">
      <c r="A1975" s="7">
        <v>11012</v>
      </c>
      <c r="B1975" s="8">
        <v>19</v>
      </c>
      <c r="C1975" s="8">
        <v>9.1999999999999993</v>
      </c>
      <c r="D1975" s="8">
        <v>50</v>
      </c>
      <c r="E1975" s="8">
        <v>0.05</v>
      </c>
    </row>
    <row r="1976" spans="1:5" x14ac:dyDescent="0.2">
      <c r="A1976" s="7">
        <v>11012</v>
      </c>
      <c r="B1976" s="8">
        <v>60</v>
      </c>
      <c r="C1976" s="8">
        <v>34</v>
      </c>
      <c r="D1976" s="8">
        <v>36</v>
      </c>
      <c r="E1976" s="8">
        <v>0.05</v>
      </c>
    </row>
    <row r="1977" spans="1:5" x14ac:dyDescent="0.2">
      <c r="A1977" s="7">
        <v>11012</v>
      </c>
      <c r="B1977" s="8">
        <v>71</v>
      </c>
      <c r="C1977" s="8">
        <v>21.5</v>
      </c>
      <c r="D1977" s="8">
        <v>60</v>
      </c>
      <c r="E1977" s="8">
        <v>0.05</v>
      </c>
    </row>
    <row r="1978" spans="1:5" x14ac:dyDescent="0.2">
      <c r="A1978" s="7">
        <v>11013</v>
      </c>
      <c r="B1978" s="8">
        <v>23</v>
      </c>
      <c r="C1978" s="8">
        <v>9</v>
      </c>
      <c r="D1978" s="8">
        <v>10</v>
      </c>
      <c r="E1978" s="8">
        <v>0</v>
      </c>
    </row>
    <row r="1979" spans="1:5" x14ac:dyDescent="0.2">
      <c r="A1979" s="7">
        <v>11013</v>
      </c>
      <c r="B1979" s="8">
        <v>42</v>
      </c>
      <c r="C1979" s="8">
        <v>14</v>
      </c>
      <c r="D1979" s="8">
        <v>4</v>
      </c>
      <c r="E1979" s="8">
        <v>0</v>
      </c>
    </row>
    <row r="1980" spans="1:5" x14ac:dyDescent="0.2">
      <c r="A1980" s="7">
        <v>11013</v>
      </c>
      <c r="B1980" s="8">
        <v>45</v>
      </c>
      <c r="C1980" s="8">
        <v>9.5</v>
      </c>
      <c r="D1980" s="8">
        <v>20</v>
      </c>
      <c r="E1980" s="8">
        <v>0</v>
      </c>
    </row>
    <row r="1981" spans="1:5" x14ac:dyDescent="0.2">
      <c r="A1981" s="7">
        <v>11013</v>
      </c>
      <c r="B1981" s="8">
        <v>68</v>
      </c>
      <c r="C1981" s="8">
        <v>12.5</v>
      </c>
      <c r="D1981" s="8">
        <v>2</v>
      </c>
      <c r="E1981" s="8">
        <v>0</v>
      </c>
    </row>
    <row r="1982" spans="1:5" x14ac:dyDescent="0.2">
      <c r="A1982" s="7">
        <v>11014</v>
      </c>
      <c r="B1982" s="8">
        <v>41</v>
      </c>
      <c r="C1982" s="8">
        <v>9.65</v>
      </c>
      <c r="D1982" s="8">
        <v>28</v>
      </c>
      <c r="E1982" s="8">
        <v>0.1</v>
      </c>
    </row>
    <row r="1983" spans="1:5" x14ac:dyDescent="0.2">
      <c r="A1983" s="7">
        <v>11015</v>
      </c>
      <c r="B1983" s="8">
        <v>30</v>
      </c>
      <c r="C1983" s="8">
        <v>25.89</v>
      </c>
      <c r="D1983" s="8">
        <v>15</v>
      </c>
      <c r="E1983" s="8">
        <v>0</v>
      </c>
    </row>
    <row r="1984" spans="1:5" x14ac:dyDescent="0.2">
      <c r="A1984" s="7">
        <v>11015</v>
      </c>
      <c r="B1984" s="8">
        <v>77</v>
      </c>
      <c r="C1984" s="8">
        <v>13</v>
      </c>
      <c r="D1984" s="8">
        <v>18</v>
      </c>
      <c r="E1984" s="8">
        <v>0</v>
      </c>
    </row>
    <row r="1985" spans="1:5" x14ac:dyDescent="0.2">
      <c r="A1985" s="7">
        <v>11016</v>
      </c>
      <c r="B1985" s="8">
        <v>31</v>
      </c>
      <c r="C1985" s="8">
        <v>12.5</v>
      </c>
      <c r="D1985" s="8">
        <v>15</v>
      </c>
      <c r="E1985" s="8">
        <v>0</v>
      </c>
    </row>
    <row r="1986" spans="1:5" x14ac:dyDescent="0.2">
      <c r="A1986" s="7">
        <v>11016</v>
      </c>
      <c r="B1986" s="8">
        <v>36</v>
      </c>
      <c r="C1986" s="8">
        <v>19</v>
      </c>
      <c r="D1986" s="8">
        <v>16</v>
      </c>
      <c r="E1986" s="8">
        <v>0</v>
      </c>
    </row>
    <row r="1987" spans="1:5" x14ac:dyDescent="0.2">
      <c r="A1987" s="7">
        <v>11017</v>
      </c>
      <c r="B1987" s="8">
        <v>3</v>
      </c>
      <c r="C1987" s="8">
        <v>10</v>
      </c>
      <c r="D1987" s="8">
        <v>25</v>
      </c>
      <c r="E1987" s="8">
        <v>0</v>
      </c>
    </row>
    <row r="1988" spans="1:5" x14ac:dyDescent="0.2">
      <c r="A1988" s="7">
        <v>11017</v>
      </c>
      <c r="B1988" s="8">
        <v>59</v>
      </c>
      <c r="C1988" s="8">
        <v>55</v>
      </c>
      <c r="D1988" s="8">
        <v>110</v>
      </c>
      <c r="E1988" s="8">
        <v>0</v>
      </c>
    </row>
    <row r="1989" spans="1:5" x14ac:dyDescent="0.2">
      <c r="A1989" s="7">
        <v>11017</v>
      </c>
      <c r="B1989" s="8">
        <v>70</v>
      </c>
      <c r="C1989" s="8">
        <v>15</v>
      </c>
      <c r="D1989" s="8">
        <v>30</v>
      </c>
      <c r="E1989" s="8">
        <v>0</v>
      </c>
    </row>
    <row r="1990" spans="1:5" x14ac:dyDescent="0.2">
      <c r="A1990" s="7">
        <v>11018</v>
      </c>
      <c r="B1990" s="8">
        <v>12</v>
      </c>
      <c r="C1990" s="8">
        <v>38</v>
      </c>
      <c r="D1990" s="8">
        <v>20</v>
      </c>
      <c r="E1990" s="8">
        <v>0</v>
      </c>
    </row>
    <row r="1991" spans="1:5" x14ac:dyDescent="0.2">
      <c r="A1991" s="7">
        <v>11018</v>
      </c>
      <c r="B1991" s="8">
        <v>18</v>
      </c>
      <c r="C1991" s="8">
        <v>62.5</v>
      </c>
      <c r="D1991" s="8">
        <v>10</v>
      </c>
      <c r="E1991" s="8">
        <v>0</v>
      </c>
    </row>
    <row r="1992" spans="1:5" x14ac:dyDescent="0.2">
      <c r="A1992" s="7">
        <v>11018</v>
      </c>
      <c r="B1992" s="8">
        <v>56</v>
      </c>
      <c r="C1992" s="8">
        <v>38</v>
      </c>
      <c r="D1992" s="8">
        <v>5</v>
      </c>
      <c r="E1992" s="8">
        <v>0</v>
      </c>
    </row>
    <row r="1993" spans="1:5" x14ac:dyDescent="0.2">
      <c r="A1993" s="7">
        <v>11019</v>
      </c>
      <c r="B1993" s="8">
        <v>46</v>
      </c>
      <c r="C1993" s="8">
        <v>12</v>
      </c>
      <c r="D1993" s="8">
        <v>3</v>
      </c>
      <c r="E1993" s="8">
        <v>0</v>
      </c>
    </row>
    <row r="1994" spans="1:5" x14ac:dyDescent="0.2">
      <c r="A1994" s="7">
        <v>11019</v>
      </c>
      <c r="B1994" s="8">
        <v>49</v>
      </c>
      <c r="C1994" s="8">
        <v>20</v>
      </c>
      <c r="D1994" s="8">
        <v>2</v>
      </c>
      <c r="E1994" s="8">
        <v>0</v>
      </c>
    </row>
    <row r="1995" spans="1:5" x14ac:dyDescent="0.2">
      <c r="A1995" s="7">
        <v>11020</v>
      </c>
      <c r="B1995" s="8">
        <v>10</v>
      </c>
      <c r="C1995" s="8">
        <v>31</v>
      </c>
      <c r="D1995" s="8">
        <v>24</v>
      </c>
      <c r="E1995" s="8">
        <v>0.15</v>
      </c>
    </row>
    <row r="1996" spans="1:5" x14ac:dyDescent="0.2">
      <c r="A1996" s="7">
        <v>11021</v>
      </c>
      <c r="B1996" s="8">
        <v>2</v>
      </c>
      <c r="C1996" s="8">
        <v>19</v>
      </c>
      <c r="D1996" s="8">
        <v>11</v>
      </c>
      <c r="E1996" s="8">
        <v>0.25</v>
      </c>
    </row>
    <row r="1997" spans="1:5" x14ac:dyDescent="0.2">
      <c r="A1997" s="7">
        <v>11021</v>
      </c>
      <c r="B1997" s="8">
        <v>20</v>
      </c>
      <c r="C1997" s="8">
        <v>81</v>
      </c>
      <c r="D1997" s="8">
        <v>15</v>
      </c>
      <c r="E1997" s="8">
        <v>0</v>
      </c>
    </row>
    <row r="1998" spans="1:5" x14ac:dyDescent="0.2">
      <c r="A1998" s="7">
        <v>11021</v>
      </c>
      <c r="B1998" s="8">
        <v>26</v>
      </c>
      <c r="C1998" s="8">
        <v>31.23</v>
      </c>
      <c r="D1998" s="8">
        <v>63</v>
      </c>
      <c r="E1998" s="8">
        <v>0</v>
      </c>
    </row>
    <row r="1999" spans="1:5" x14ac:dyDescent="0.2">
      <c r="A1999" s="7">
        <v>11021</v>
      </c>
      <c r="B1999" s="8">
        <v>51</v>
      </c>
      <c r="C1999" s="8">
        <v>53</v>
      </c>
      <c r="D1999" s="8">
        <v>44</v>
      </c>
      <c r="E1999" s="8">
        <v>0.25</v>
      </c>
    </row>
    <row r="2000" spans="1:5" x14ac:dyDescent="0.2">
      <c r="A2000" s="7">
        <v>11021</v>
      </c>
      <c r="B2000" s="8">
        <v>72</v>
      </c>
      <c r="C2000" s="8">
        <v>34.799999999999997</v>
      </c>
      <c r="D2000" s="8">
        <v>35</v>
      </c>
      <c r="E2000" s="8">
        <v>0</v>
      </c>
    </row>
    <row r="2001" spans="1:5" x14ac:dyDescent="0.2">
      <c r="A2001" s="7">
        <v>11022</v>
      </c>
      <c r="B2001" s="8">
        <v>19</v>
      </c>
      <c r="C2001" s="8">
        <v>9.1999999999999993</v>
      </c>
      <c r="D2001" s="8">
        <v>35</v>
      </c>
      <c r="E2001" s="8">
        <v>0</v>
      </c>
    </row>
    <row r="2002" spans="1:5" x14ac:dyDescent="0.2">
      <c r="A2002" s="7">
        <v>11022</v>
      </c>
      <c r="B2002" s="8">
        <v>69</v>
      </c>
      <c r="C2002" s="8">
        <v>36</v>
      </c>
      <c r="D2002" s="8">
        <v>30</v>
      </c>
      <c r="E2002" s="8">
        <v>0</v>
      </c>
    </row>
    <row r="2003" spans="1:5" x14ac:dyDescent="0.2">
      <c r="A2003" s="7">
        <v>11023</v>
      </c>
      <c r="B2003" s="8">
        <v>7</v>
      </c>
      <c r="C2003" s="8">
        <v>30</v>
      </c>
      <c r="D2003" s="8">
        <v>4</v>
      </c>
      <c r="E2003" s="8">
        <v>0</v>
      </c>
    </row>
    <row r="2004" spans="1:5" x14ac:dyDescent="0.2">
      <c r="A2004" s="7">
        <v>11023</v>
      </c>
      <c r="B2004" s="8">
        <v>43</v>
      </c>
      <c r="C2004" s="8">
        <v>46</v>
      </c>
      <c r="D2004" s="8">
        <v>30</v>
      </c>
      <c r="E2004" s="8">
        <v>0</v>
      </c>
    </row>
    <row r="2005" spans="1:5" x14ac:dyDescent="0.2">
      <c r="A2005" s="7">
        <v>11024</v>
      </c>
      <c r="B2005" s="8">
        <v>26</v>
      </c>
      <c r="C2005" s="8">
        <v>31.23</v>
      </c>
      <c r="D2005" s="8">
        <v>12</v>
      </c>
      <c r="E2005" s="8">
        <v>0</v>
      </c>
    </row>
    <row r="2006" spans="1:5" x14ac:dyDescent="0.2">
      <c r="A2006" s="7">
        <v>11024</v>
      </c>
      <c r="B2006" s="8">
        <v>33</v>
      </c>
      <c r="C2006" s="8">
        <v>2.5</v>
      </c>
      <c r="D2006" s="8">
        <v>30</v>
      </c>
      <c r="E2006" s="8">
        <v>0</v>
      </c>
    </row>
    <row r="2007" spans="1:5" x14ac:dyDescent="0.2">
      <c r="A2007" s="7">
        <v>11024</v>
      </c>
      <c r="B2007" s="8">
        <v>65</v>
      </c>
      <c r="C2007" s="8">
        <v>21.05</v>
      </c>
      <c r="D2007" s="8">
        <v>21</v>
      </c>
      <c r="E2007" s="8">
        <v>0</v>
      </c>
    </row>
    <row r="2008" spans="1:5" x14ac:dyDescent="0.2">
      <c r="A2008" s="7">
        <v>11024</v>
      </c>
      <c r="B2008" s="8">
        <v>71</v>
      </c>
      <c r="C2008" s="8">
        <v>21.5</v>
      </c>
      <c r="D2008" s="8">
        <v>50</v>
      </c>
      <c r="E2008" s="8">
        <v>0</v>
      </c>
    </row>
    <row r="2009" spans="1:5" x14ac:dyDescent="0.2">
      <c r="A2009" s="7">
        <v>11025</v>
      </c>
      <c r="B2009" s="8">
        <v>1</v>
      </c>
      <c r="C2009" s="8">
        <v>18</v>
      </c>
      <c r="D2009" s="8">
        <v>10</v>
      </c>
      <c r="E2009" s="8">
        <v>0.1</v>
      </c>
    </row>
    <row r="2010" spans="1:5" x14ac:dyDescent="0.2">
      <c r="A2010" s="7">
        <v>11025</v>
      </c>
      <c r="B2010" s="8">
        <v>13</v>
      </c>
      <c r="C2010" s="8">
        <v>6</v>
      </c>
      <c r="D2010" s="8">
        <v>20</v>
      </c>
      <c r="E2010" s="8">
        <v>0.1</v>
      </c>
    </row>
    <row r="2011" spans="1:5" x14ac:dyDescent="0.2">
      <c r="A2011" s="7">
        <v>11026</v>
      </c>
      <c r="B2011" s="8">
        <v>18</v>
      </c>
      <c r="C2011" s="8">
        <v>62.5</v>
      </c>
      <c r="D2011" s="8">
        <v>8</v>
      </c>
      <c r="E2011" s="8">
        <v>0</v>
      </c>
    </row>
    <row r="2012" spans="1:5" x14ac:dyDescent="0.2">
      <c r="A2012" s="7">
        <v>11026</v>
      </c>
      <c r="B2012" s="8">
        <v>51</v>
      </c>
      <c r="C2012" s="8">
        <v>53</v>
      </c>
      <c r="D2012" s="8">
        <v>10</v>
      </c>
      <c r="E2012" s="8">
        <v>0</v>
      </c>
    </row>
    <row r="2013" spans="1:5" x14ac:dyDescent="0.2">
      <c r="A2013" s="7">
        <v>11027</v>
      </c>
      <c r="B2013" s="8">
        <v>24</v>
      </c>
      <c r="C2013" s="8">
        <v>4.5</v>
      </c>
      <c r="D2013" s="8">
        <v>30</v>
      </c>
      <c r="E2013" s="8">
        <v>0.25</v>
      </c>
    </row>
    <row r="2014" spans="1:5" x14ac:dyDescent="0.2">
      <c r="A2014" s="7">
        <v>11027</v>
      </c>
      <c r="B2014" s="8">
        <v>62</v>
      </c>
      <c r="C2014" s="8">
        <v>49.3</v>
      </c>
      <c r="D2014" s="8">
        <v>21</v>
      </c>
      <c r="E2014" s="8">
        <v>0.25</v>
      </c>
    </row>
    <row r="2015" spans="1:5" x14ac:dyDescent="0.2">
      <c r="A2015" s="7">
        <v>11028</v>
      </c>
      <c r="B2015" s="8">
        <v>55</v>
      </c>
      <c r="C2015" s="8">
        <v>24</v>
      </c>
      <c r="D2015" s="8">
        <v>35</v>
      </c>
      <c r="E2015" s="8">
        <v>0</v>
      </c>
    </row>
    <row r="2016" spans="1:5" x14ac:dyDescent="0.2">
      <c r="A2016" s="7">
        <v>11028</v>
      </c>
      <c r="B2016" s="8">
        <v>59</v>
      </c>
      <c r="C2016" s="8">
        <v>55</v>
      </c>
      <c r="D2016" s="8">
        <v>24</v>
      </c>
      <c r="E2016" s="8">
        <v>0</v>
      </c>
    </row>
    <row r="2017" spans="1:5" x14ac:dyDescent="0.2">
      <c r="A2017" s="7">
        <v>11029</v>
      </c>
      <c r="B2017" s="8">
        <v>56</v>
      </c>
      <c r="C2017" s="8">
        <v>38</v>
      </c>
      <c r="D2017" s="8">
        <v>20</v>
      </c>
      <c r="E2017" s="8">
        <v>0</v>
      </c>
    </row>
    <row r="2018" spans="1:5" x14ac:dyDescent="0.2">
      <c r="A2018" s="7">
        <v>11029</v>
      </c>
      <c r="B2018" s="8">
        <v>63</v>
      </c>
      <c r="C2018" s="8">
        <v>43.9</v>
      </c>
      <c r="D2018" s="8">
        <v>12</v>
      </c>
      <c r="E2018" s="8">
        <v>0</v>
      </c>
    </row>
    <row r="2019" spans="1:5" x14ac:dyDescent="0.2">
      <c r="A2019" s="7">
        <v>11030</v>
      </c>
      <c r="B2019" s="8">
        <v>2</v>
      </c>
      <c r="C2019" s="8">
        <v>19</v>
      </c>
      <c r="D2019" s="8">
        <v>100</v>
      </c>
      <c r="E2019" s="8">
        <v>0.25</v>
      </c>
    </row>
    <row r="2020" spans="1:5" x14ac:dyDescent="0.2">
      <c r="A2020" s="7">
        <v>11030</v>
      </c>
      <c r="B2020" s="8">
        <v>5</v>
      </c>
      <c r="C2020" s="8">
        <v>21.35</v>
      </c>
      <c r="D2020" s="8">
        <v>70</v>
      </c>
      <c r="E2020" s="8">
        <v>0</v>
      </c>
    </row>
    <row r="2021" spans="1:5" x14ac:dyDescent="0.2">
      <c r="A2021" s="7">
        <v>11030</v>
      </c>
      <c r="B2021" s="8">
        <v>29</v>
      </c>
      <c r="C2021" s="8">
        <v>123.79</v>
      </c>
      <c r="D2021" s="8">
        <v>60</v>
      </c>
      <c r="E2021" s="8">
        <v>0.25</v>
      </c>
    </row>
    <row r="2022" spans="1:5" x14ac:dyDescent="0.2">
      <c r="A2022" s="7">
        <v>11030</v>
      </c>
      <c r="B2022" s="8">
        <v>59</v>
      </c>
      <c r="C2022" s="8">
        <v>55</v>
      </c>
      <c r="D2022" s="8">
        <v>100</v>
      </c>
      <c r="E2022" s="8">
        <v>0.25</v>
      </c>
    </row>
    <row r="2023" spans="1:5" x14ac:dyDescent="0.2">
      <c r="A2023" s="7">
        <v>11031</v>
      </c>
      <c r="B2023" s="8">
        <v>1</v>
      </c>
      <c r="C2023" s="8">
        <v>18</v>
      </c>
      <c r="D2023" s="8">
        <v>45</v>
      </c>
      <c r="E2023" s="8">
        <v>0</v>
      </c>
    </row>
    <row r="2024" spans="1:5" x14ac:dyDescent="0.2">
      <c r="A2024" s="7">
        <v>11031</v>
      </c>
      <c r="B2024" s="8">
        <v>13</v>
      </c>
      <c r="C2024" s="8">
        <v>6</v>
      </c>
      <c r="D2024" s="8">
        <v>80</v>
      </c>
      <c r="E2024" s="8">
        <v>0</v>
      </c>
    </row>
    <row r="2025" spans="1:5" x14ac:dyDescent="0.2">
      <c r="A2025" s="7">
        <v>11031</v>
      </c>
      <c r="B2025" s="8">
        <v>24</v>
      </c>
      <c r="C2025" s="8">
        <v>4.5</v>
      </c>
      <c r="D2025" s="8">
        <v>21</v>
      </c>
      <c r="E2025" s="8">
        <v>0</v>
      </c>
    </row>
    <row r="2026" spans="1:5" x14ac:dyDescent="0.2">
      <c r="A2026" s="7">
        <v>11031</v>
      </c>
      <c r="B2026" s="8">
        <v>64</v>
      </c>
      <c r="C2026" s="8">
        <v>33.25</v>
      </c>
      <c r="D2026" s="8">
        <v>20</v>
      </c>
      <c r="E2026" s="8">
        <v>0</v>
      </c>
    </row>
    <row r="2027" spans="1:5" x14ac:dyDescent="0.2">
      <c r="A2027" s="7">
        <v>11031</v>
      </c>
      <c r="B2027" s="8">
        <v>71</v>
      </c>
      <c r="C2027" s="8">
        <v>21.5</v>
      </c>
      <c r="D2027" s="8">
        <v>16</v>
      </c>
      <c r="E2027" s="8">
        <v>0</v>
      </c>
    </row>
    <row r="2028" spans="1:5" x14ac:dyDescent="0.2">
      <c r="A2028" s="7">
        <v>11032</v>
      </c>
      <c r="B2028" s="8">
        <v>36</v>
      </c>
      <c r="C2028" s="8">
        <v>19</v>
      </c>
      <c r="D2028" s="8">
        <v>35</v>
      </c>
      <c r="E2028" s="8">
        <v>0</v>
      </c>
    </row>
    <row r="2029" spans="1:5" x14ac:dyDescent="0.2">
      <c r="A2029" s="7">
        <v>11032</v>
      </c>
      <c r="B2029" s="8">
        <v>38</v>
      </c>
      <c r="C2029" s="8">
        <v>263.5</v>
      </c>
      <c r="D2029" s="8">
        <v>25</v>
      </c>
      <c r="E2029" s="8">
        <v>0</v>
      </c>
    </row>
    <row r="2030" spans="1:5" x14ac:dyDescent="0.2">
      <c r="A2030" s="7">
        <v>11032</v>
      </c>
      <c r="B2030" s="8">
        <v>59</v>
      </c>
      <c r="C2030" s="8">
        <v>55</v>
      </c>
      <c r="D2030" s="8">
        <v>30</v>
      </c>
      <c r="E2030" s="8">
        <v>0</v>
      </c>
    </row>
    <row r="2031" spans="1:5" x14ac:dyDescent="0.2">
      <c r="A2031" s="7">
        <v>11033</v>
      </c>
      <c r="B2031" s="8">
        <v>53</v>
      </c>
      <c r="C2031" s="8">
        <v>32.799999999999997</v>
      </c>
      <c r="D2031" s="8">
        <v>70</v>
      </c>
      <c r="E2031" s="8">
        <v>0.1</v>
      </c>
    </row>
    <row r="2032" spans="1:5" x14ac:dyDescent="0.2">
      <c r="A2032" s="7">
        <v>11033</v>
      </c>
      <c r="B2032" s="8">
        <v>69</v>
      </c>
      <c r="C2032" s="8">
        <v>36</v>
      </c>
      <c r="D2032" s="8">
        <v>36</v>
      </c>
      <c r="E2032" s="8">
        <v>0.1</v>
      </c>
    </row>
    <row r="2033" spans="1:5" x14ac:dyDescent="0.2">
      <c r="A2033" s="7">
        <v>11034</v>
      </c>
      <c r="B2033" s="8">
        <v>21</v>
      </c>
      <c r="C2033" s="8">
        <v>10</v>
      </c>
      <c r="D2033" s="8">
        <v>15</v>
      </c>
      <c r="E2033" s="8">
        <v>0.1</v>
      </c>
    </row>
    <row r="2034" spans="1:5" x14ac:dyDescent="0.2">
      <c r="A2034" s="7">
        <v>11034</v>
      </c>
      <c r="B2034" s="8">
        <v>44</v>
      </c>
      <c r="C2034" s="8">
        <v>19.45</v>
      </c>
      <c r="D2034" s="8">
        <v>12</v>
      </c>
      <c r="E2034" s="8">
        <v>0</v>
      </c>
    </row>
    <row r="2035" spans="1:5" x14ac:dyDescent="0.2">
      <c r="A2035" s="7">
        <v>11034</v>
      </c>
      <c r="B2035" s="8">
        <v>61</v>
      </c>
      <c r="C2035" s="8">
        <v>28.5</v>
      </c>
      <c r="D2035" s="8">
        <v>6</v>
      </c>
      <c r="E2035" s="8">
        <v>0</v>
      </c>
    </row>
    <row r="2036" spans="1:5" x14ac:dyDescent="0.2">
      <c r="A2036" s="7">
        <v>11035</v>
      </c>
      <c r="B2036" s="8">
        <v>1</v>
      </c>
      <c r="C2036" s="8">
        <v>18</v>
      </c>
      <c r="D2036" s="8">
        <v>10</v>
      </c>
      <c r="E2036" s="8">
        <v>0</v>
      </c>
    </row>
    <row r="2037" spans="1:5" x14ac:dyDescent="0.2">
      <c r="A2037" s="7">
        <v>11035</v>
      </c>
      <c r="B2037" s="8">
        <v>35</v>
      </c>
      <c r="C2037" s="8">
        <v>18</v>
      </c>
      <c r="D2037" s="8">
        <v>60</v>
      </c>
      <c r="E2037" s="8">
        <v>0</v>
      </c>
    </row>
    <row r="2038" spans="1:5" x14ac:dyDescent="0.2">
      <c r="A2038" s="7">
        <v>11035</v>
      </c>
      <c r="B2038" s="8">
        <v>42</v>
      </c>
      <c r="C2038" s="8">
        <v>14</v>
      </c>
      <c r="D2038" s="8">
        <v>30</v>
      </c>
      <c r="E2038" s="8">
        <v>0</v>
      </c>
    </row>
    <row r="2039" spans="1:5" x14ac:dyDescent="0.2">
      <c r="A2039" s="7">
        <v>11035</v>
      </c>
      <c r="B2039" s="8">
        <v>54</v>
      </c>
      <c r="C2039" s="8">
        <v>7.45</v>
      </c>
      <c r="D2039" s="8">
        <v>10</v>
      </c>
      <c r="E2039" s="8">
        <v>0</v>
      </c>
    </row>
    <row r="2040" spans="1:5" x14ac:dyDescent="0.2">
      <c r="A2040" s="7">
        <v>11036</v>
      </c>
      <c r="B2040" s="8">
        <v>13</v>
      </c>
      <c r="C2040" s="8">
        <v>6</v>
      </c>
      <c r="D2040" s="8">
        <v>7</v>
      </c>
      <c r="E2040" s="8">
        <v>0</v>
      </c>
    </row>
    <row r="2041" spans="1:5" x14ac:dyDescent="0.2">
      <c r="A2041" s="7">
        <v>11036</v>
      </c>
      <c r="B2041" s="8">
        <v>59</v>
      </c>
      <c r="C2041" s="8">
        <v>55</v>
      </c>
      <c r="D2041" s="8">
        <v>30</v>
      </c>
      <c r="E2041" s="8">
        <v>0</v>
      </c>
    </row>
    <row r="2042" spans="1:5" x14ac:dyDescent="0.2">
      <c r="A2042" s="7">
        <v>11037</v>
      </c>
      <c r="B2042" s="8">
        <v>70</v>
      </c>
      <c r="C2042" s="8">
        <v>15</v>
      </c>
      <c r="D2042" s="8">
        <v>4</v>
      </c>
      <c r="E2042" s="8">
        <v>0</v>
      </c>
    </row>
    <row r="2043" spans="1:5" x14ac:dyDescent="0.2">
      <c r="A2043" s="7">
        <v>11038</v>
      </c>
      <c r="B2043" s="8">
        <v>40</v>
      </c>
      <c r="C2043" s="8">
        <v>18.399999999999999</v>
      </c>
      <c r="D2043" s="8">
        <v>5</v>
      </c>
      <c r="E2043" s="8">
        <v>0.2</v>
      </c>
    </row>
    <row r="2044" spans="1:5" x14ac:dyDescent="0.2">
      <c r="A2044" s="7">
        <v>11038</v>
      </c>
      <c r="B2044" s="8">
        <v>52</v>
      </c>
      <c r="C2044" s="8">
        <v>7</v>
      </c>
      <c r="D2044" s="8">
        <v>2</v>
      </c>
      <c r="E2044" s="8">
        <v>0</v>
      </c>
    </row>
    <row r="2045" spans="1:5" x14ac:dyDescent="0.2">
      <c r="A2045" s="7">
        <v>11038</v>
      </c>
      <c r="B2045" s="8">
        <v>71</v>
      </c>
      <c r="C2045" s="8">
        <v>21.5</v>
      </c>
      <c r="D2045" s="8">
        <v>30</v>
      </c>
      <c r="E2045" s="8">
        <v>0</v>
      </c>
    </row>
    <row r="2046" spans="1:5" x14ac:dyDescent="0.2">
      <c r="A2046" s="7">
        <v>11039</v>
      </c>
      <c r="B2046" s="8">
        <v>28</v>
      </c>
      <c r="C2046" s="8">
        <v>45.6</v>
      </c>
      <c r="D2046" s="8">
        <v>20</v>
      </c>
      <c r="E2046" s="8">
        <v>0</v>
      </c>
    </row>
    <row r="2047" spans="1:5" x14ac:dyDescent="0.2">
      <c r="A2047" s="7">
        <v>11039</v>
      </c>
      <c r="B2047" s="8">
        <v>35</v>
      </c>
      <c r="C2047" s="8">
        <v>18</v>
      </c>
      <c r="D2047" s="8">
        <v>24</v>
      </c>
      <c r="E2047" s="8">
        <v>0</v>
      </c>
    </row>
    <row r="2048" spans="1:5" x14ac:dyDescent="0.2">
      <c r="A2048" s="7">
        <v>11039</v>
      </c>
      <c r="B2048" s="8">
        <v>49</v>
      </c>
      <c r="C2048" s="8">
        <v>20</v>
      </c>
      <c r="D2048" s="8">
        <v>60</v>
      </c>
      <c r="E2048" s="8">
        <v>0</v>
      </c>
    </row>
    <row r="2049" spans="1:5" x14ac:dyDescent="0.2">
      <c r="A2049" s="7">
        <v>11039</v>
      </c>
      <c r="B2049" s="8">
        <v>57</v>
      </c>
      <c r="C2049" s="8">
        <v>19.5</v>
      </c>
      <c r="D2049" s="8">
        <v>28</v>
      </c>
      <c r="E2049" s="8">
        <v>0</v>
      </c>
    </row>
    <row r="2050" spans="1:5" x14ac:dyDescent="0.2">
      <c r="A2050" s="7">
        <v>11040</v>
      </c>
      <c r="B2050" s="8">
        <v>21</v>
      </c>
      <c r="C2050" s="8">
        <v>10</v>
      </c>
      <c r="D2050" s="8">
        <v>20</v>
      </c>
      <c r="E2050" s="8">
        <v>0</v>
      </c>
    </row>
    <row r="2051" spans="1:5" x14ac:dyDescent="0.2">
      <c r="A2051" s="7">
        <v>11041</v>
      </c>
      <c r="B2051" s="8">
        <v>2</v>
      </c>
      <c r="C2051" s="8">
        <v>19</v>
      </c>
      <c r="D2051" s="8">
        <v>30</v>
      </c>
      <c r="E2051" s="8">
        <v>0.2</v>
      </c>
    </row>
    <row r="2052" spans="1:5" x14ac:dyDescent="0.2">
      <c r="A2052" s="7">
        <v>11041</v>
      </c>
      <c r="B2052" s="8">
        <v>63</v>
      </c>
      <c r="C2052" s="8">
        <v>43.9</v>
      </c>
      <c r="D2052" s="8">
        <v>30</v>
      </c>
      <c r="E2052" s="8">
        <v>0</v>
      </c>
    </row>
    <row r="2053" spans="1:5" x14ac:dyDescent="0.2">
      <c r="A2053" s="7">
        <v>11042</v>
      </c>
      <c r="B2053" s="8">
        <v>44</v>
      </c>
      <c r="C2053" s="8">
        <v>19.45</v>
      </c>
      <c r="D2053" s="8">
        <v>15</v>
      </c>
      <c r="E2053" s="8">
        <v>0</v>
      </c>
    </row>
    <row r="2054" spans="1:5" x14ac:dyDescent="0.2">
      <c r="A2054" s="7">
        <v>11042</v>
      </c>
      <c r="B2054" s="8">
        <v>61</v>
      </c>
      <c r="C2054" s="8">
        <v>28.5</v>
      </c>
      <c r="D2054" s="8">
        <v>4</v>
      </c>
      <c r="E2054" s="8">
        <v>0</v>
      </c>
    </row>
    <row r="2055" spans="1:5" x14ac:dyDescent="0.2">
      <c r="A2055" s="7">
        <v>11043</v>
      </c>
      <c r="B2055" s="8">
        <v>11</v>
      </c>
      <c r="C2055" s="8">
        <v>21</v>
      </c>
      <c r="D2055" s="8">
        <v>10</v>
      </c>
      <c r="E2055" s="8">
        <v>0</v>
      </c>
    </row>
    <row r="2056" spans="1:5" x14ac:dyDescent="0.2">
      <c r="A2056" s="7">
        <v>11044</v>
      </c>
      <c r="B2056" s="8">
        <v>62</v>
      </c>
      <c r="C2056" s="8">
        <v>49.3</v>
      </c>
      <c r="D2056" s="8">
        <v>12</v>
      </c>
      <c r="E2056" s="8">
        <v>0</v>
      </c>
    </row>
    <row r="2057" spans="1:5" x14ac:dyDescent="0.2">
      <c r="A2057" s="7">
        <v>11045</v>
      </c>
      <c r="B2057" s="8">
        <v>33</v>
      </c>
      <c r="C2057" s="8">
        <v>2.5</v>
      </c>
      <c r="D2057" s="8">
        <v>15</v>
      </c>
      <c r="E2057" s="8">
        <v>0</v>
      </c>
    </row>
    <row r="2058" spans="1:5" x14ac:dyDescent="0.2">
      <c r="A2058" s="7">
        <v>11045</v>
      </c>
      <c r="B2058" s="8">
        <v>51</v>
      </c>
      <c r="C2058" s="8">
        <v>53</v>
      </c>
      <c r="D2058" s="8">
        <v>24</v>
      </c>
      <c r="E2058" s="8">
        <v>0</v>
      </c>
    </row>
    <row r="2059" spans="1:5" x14ac:dyDescent="0.2">
      <c r="A2059" s="7">
        <v>11046</v>
      </c>
      <c r="B2059" s="8">
        <v>12</v>
      </c>
      <c r="C2059" s="8">
        <v>38</v>
      </c>
      <c r="D2059" s="8">
        <v>20</v>
      </c>
      <c r="E2059" s="8">
        <v>0.05</v>
      </c>
    </row>
    <row r="2060" spans="1:5" x14ac:dyDescent="0.2">
      <c r="A2060" s="7">
        <v>11046</v>
      </c>
      <c r="B2060" s="8">
        <v>32</v>
      </c>
      <c r="C2060" s="8">
        <v>32</v>
      </c>
      <c r="D2060" s="8">
        <v>15</v>
      </c>
      <c r="E2060" s="8">
        <v>0.05</v>
      </c>
    </row>
    <row r="2061" spans="1:5" x14ac:dyDescent="0.2">
      <c r="A2061" s="7">
        <v>11046</v>
      </c>
      <c r="B2061" s="8">
        <v>35</v>
      </c>
      <c r="C2061" s="8">
        <v>18</v>
      </c>
      <c r="D2061" s="8">
        <v>18</v>
      </c>
      <c r="E2061" s="8">
        <v>0.05</v>
      </c>
    </row>
    <row r="2062" spans="1:5" x14ac:dyDescent="0.2">
      <c r="A2062" s="7">
        <v>11047</v>
      </c>
      <c r="B2062" s="8">
        <v>1</v>
      </c>
      <c r="C2062" s="8">
        <v>18</v>
      </c>
      <c r="D2062" s="8">
        <v>25</v>
      </c>
      <c r="E2062" s="8">
        <v>0.25</v>
      </c>
    </row>
    <row r="2063" spans="1:5" x14ac:dyDescent="0.2">
      <c r="A2063" s="7">
        <v>11047</v>
      </c>
      <c r="B2063" s="8">
        <v>5</v>
      </c>
      <c r="C2063" s="8">
        <v>21.35</v>
      </c>
      <c r="D2063" s="8">
        <v>30</v>
      </c>
      <c r="E2063" s="8">
        <v>0.25</v>
      </c>
    </row>
    <row r="2064" spans="1:5" x14ac:dyDescent="0.2">
      <c r="A2064" s="7">
        <v>11048</v>
      </c>
      <c r="B2064" s="8">
        <v>68</v>
      </c>
      <c r="C2064" s="8">
        <v>12.5</v>
      </c>
      <c r="D2064" s="8">
        <v>42</v>
      </c>
      <c r="E2064" s="8">
        <v>0</v>
      </c>
    </row>
    <row r="2065" spans="1:5" x14ac:dyDescent="0.2">
      <c r="A2065" s="7">
        <v>11049</v>
      </c>
      <c r="B2065" s="8">
        <v>2</v>
      </c>
      <c r="C2065" s="8">
        <v>19</v>
      </c>
      <c r="D2065" s="8">
        <v>10</v>
      </c>
      <c r="E2065" s="8">
        <v>0.2</v>
      </c>
    </row>
    <row r="2066" spans="1:5" x14ac:dyDescent="0.2">
      <c r="A2066" s="7">
        <v>11049</v>
      </c>
      <c r="B2066" s="8">
        <v>12</v>
      </c>
      <c r="C2066" s="8">
        <v>38</v>
      </c>
      <c r="D2066" s="8">
        <v>4</v>
      </c>
      <c r="E2066" s="8">
        <v>0.2</v>
      </c>
    </row>
    <row r="2067" spans="1:5" x14ac:dyDescent="0.2">
      <c r="A2067" s="7">
        <v>11050</v>
      </c>
      <c r="B2067" s="8">
        <v>76</v>
      </c>
      <c r="C2067" s="8">
        <v>18</v>
      </c>
      <c r="D2067" s="8">
        <v>50</v>
      </c>
      <c r="E2067" s="8">
        <v>0.1</v>
      </c>
    </row>
    <row r="2068" spans="1:5" x14ac:dyDescent="0.2">
      <c r="A2068" s="7">
        <v>11051</v>
      </c>
      <c r="B2068" s="8">
        <v>24</v>
      </c>
      <c r="C2068" s="8">
        <v>4.5</v>
      </c>
      <c r="D2068" s="8">
        <v>10</v>
      </c>
      <c r="E2068" s="8">
        <v>0.2</v>
      </c>
    </row>
    <row r="2069" spans="1:5" x14ac:dyDescent="0.2">
      <c r="A2069" s="7">
        <v>11052</v>
      </c>
      <c r="B2069" s="8">
        <v>43</v>
      </c>
      <c r="C2069" s="8">
        <v>46</v>
      </c>
      <c r="D2069" s="8">
        <v>30</v>
      </c>
      <c r="E2069" s="8">
        <v>0.2</v>
      </c>
    </row>
    <row r="2070" spans="1:5" x14ac:dyDescent="0.2">
      <c r="A2070" s="7">
        <v>11052</v>
      </c>
      <c r="B2070" s="8">
        <v>61</v>
      </c>
      <c r="C2070" s="8">
        <v>28.5</v>
      </c>
      <c r="D2070" s="8">
        <v>10</v>
      </c>
      <c r="E2070" s="8">
        <v>0.2</v>
      </c>
    </row>
    <row r="2071" spans="1:5" x14ac:dyDescent="0.2">
      <c r="A2071" s="7">
        <v>11053</v>
      </c>
      <c r="B2071" s="8">
        <v>18</v>
      </c>
      <c r="C2071" s="8">
        <v>62.5</v>
      </c>
      <c r="D2071" s="8">
        <v>35</v>
      </c>
      <c r="E2071" s="8">
        <v>0.2</v>
      </c>
    </row>
    <row r="2072" spans="1:5" x14ac:dyDescent="0.2">
      <c r="A2072" s="7">
        <v>11053</v>
      </c>
      <c r="B2072" s="8">
        <v>32</v>
      </c>
      <c r="C2072" s="8">
        <v>32</v>
      </c>
      <c r="D2072" s="8">
        <v>20</v>
      </c>
      <c r="E2072" s="8">
        <v>0</v>
      </c>
    </row>
    <row r="2073" spans="1:5" x14ac:dyDescent="0.2">
      <c r="A2073" s="7">
        <v>11053</v>
      </c>
      <c r="B2073" s="8">
        <v>64</v>
      </c>
      <c r="C2073" s="8">
        <v>33.25</v>
      </c>
      <c r="D2073" s="8">
        <v>25</v>
      </c>
      <c r="E2073" s="8">
        <v>0.2</v>
      </c>
    </row>
    <row r="2074" spans="1:5" x14ac:dyDescent="0.2">
      <c r="A2074" s="7">
        <v>11054</v>
      </c>
      <c r="B2074" s="8">
        <v>33</v>
      </c>
      <c r="C2074" s="8">
        <v>2.5</v>
      </c>
      <c r="D2074" s="8">
        <v>10</v>
      </c>
      <c r="E2074" s="8">
        <v>0</v>
      </c>
    </row>
    <row r="2075" spans="1:5" x14ac:dyDescent="0.2">
      <c r="A2075" s="7">
        <v>11054</v>
      </c>
      <c r="B2075" s="8">
        <v>67</v>
      </c>
      <c r="C2075" s="8">
        <v>14</v>
      </c>
      <c r="D2075" s="8">
        <v>20</v>
      </c>
      <c r="E2075" s="8">
        <v>0</v>
      </c>
    </row>
    <row r="2076" spans="1:5" x14ac:dyDescent="0.2">
      <c r="A2076" s="7">
        <v>11055</v>
      </c>
      <c r="B2076" s="8">
        <v>24</v>
      </c>
      <c r="C2076" s="8">
        <v>4.5</v>
      </c>
      <c r="D2076" s="8">
        <v>15</v>
      </c>
      <c r="E2076" s="8">
        <v>0</v>
      </c>
    </row>
    <row r="2077" spans="1:5" x14ac:dyDescent="0.2">
      <c r="A2077" s="7">
        <v>11055</v>
      </c>
      <c r="B2077" s="8">
        <v>25</v>
      </c>
      <c r="C2077" s="8">
        <v>14</v>
      </c>
      <c r="D2077" s="8">
        <v>15</v>
      </c>
      <c r="E2077" s="8">
        <v>0</v>
      </c>
    </row>
    <row r="2078" spans="1:5" x14ac:dyDescent="0.2">
      <c r="A2078" s="7">
        <v>11055</v>
      </c>
      <c r="B2078" s="8">
        <v>51</v>
      </c>
      <c r="C2078" s="8">
        <v>53</v>
      </c>
      <c r="D2078" s="8">
        <v>20</v>
      </c>
      <c r="E2078" s="8">
        <v>0</v>
      </c>
    </row>
    <row r="2079" spans="1:5" x14ac:dyDescent="0.2">
      <c r="A2079" s="7">
        <v>11055</v>
      </c>
      <c r="B2079" s="8">
        <v>57</v>
      </c>
      <c r="C2079" s="8">
        <v>19.5</v>
      </c>
      <c r="D2079" s="8">
        <v>20</v>
      </c>
      <c r="E2079" s="8">
        <v>0</v>
      </c>
    </row>
    <row r="2080" spans="1:5" x14ac:dyDescent="0.2">
      <c r="A2080" s="7">
        <v>11056</v>
      </c>
      <c r="B2080" s="8">
        <v>7</v>
      </c>
      <c r="C2080" s="8">
        <v>30</v>
      </c>
      <c r="D2080" s="8">
        <v>40</v>
      </c>
      <c r="E2080" s="8">
        <v>0</v>
      </c>
    </row>
    <row r="2081" spans="1:5" x14ac:dyDescent="0.2">
      <c r="A2081" s="7">
        <v>11056</v>
      </c>
      <c r="B2081" s="8">
        <v>55</v>
      </c>
      <c r="C2081" s="8">
        <v>24</v>
      </c>
      <c r="D2081" s="8">
        <v>35</v>
      </c>
      <c r="E2081" s="8">
        <v>0</v>
      </c>
    </row>
    <row r="2082" spans="1:5" x14ac:dyDescent="0.2">
      <c r="A2082" s="7">
        <v>11056</v>
      </c>
      <c r="B2082" s="8">
        <v>60</v>
      </c>
      <c r="C2082" s="8">
        <v>34</v>
      </c>
      <c r="D2082" s="8">
        <v>50</v>
      </c>
      <c r="E2082" s="8">
        <v>0</v>
      </c>
    </row>
    <row r="2083" spans="1:5" x14ac:dyDescent="0.2">
      <c r="A2083" s="7">
        <v>11057</v>
      </c>
      <c r="B2083" s="8">
        <v>70</v>
      </c>
      <c r="C2083" s="8">
        <v>15</v>
      </c>
      <c r="D2083" s="8">
        <v>3</v>
      </c>
      <c r="E2083" s="8">
        <v>0</v>
      </c>
    </row>
    <row r="2084" spans="1:5" x14ac:dyDescent="0.2">
      <c r="A2084" s="7">
        <v>11058</v>
      </c>
      <c r="B2084" s="8">
        <v>21</v>
      </c>
      <c r="C2084" s="8">
        <v>10</v>
      </c>
      <c r="D2084" s="8">
        <v>3</v>
      </c>
      <c r="E2084" s="8">
        <v>0</v>
      </c>
    </row>
    <row r="2085" spans="1:5" x14ac:dyDescent="0.2">
      <c r="A2085" s="7">
        <v>11058</v>
      </c>
      <c r="B2085" s="8">
        <v>60</v>
      </c>
      <c r="C2085" s="8">
        <v>34</v>
      </c>
      <c r="D2085" s="8">
        <v>21</v>
      </c>
      <c r="E2085" s="8">
        <v>0</v>
      </c>
    </row>
    <row r="2086" spans="1:5" x14ac:dyDescent="0.2">
      <c r="A2086" s="7">
        <v>11058</v>
      </c>
      <c r="B2086" s="8">
        <v>61</v>
      </c>
      <c r="C2086" s="8">
        <v>28.5</v>
      </c>
      <c r="D2086" s="8">
        <v>4</v>
      </c>
      <c r="E2086" s="8">
        <v>0</v>
      </c>
    </row>
    <row r="2087" spans="1:5" x14ac:dyDescent="0.2">
      <c r="A2087" s="7">
        <v>11059</v>
      </c>
      <c r="B2087" s="8">
        <v>13</v>
      </c>
      <c r="C2087" s="8">
        <v>6</v>
      </c>
      <c r="D2087" s="8">
        <v>30</v>
      </c>
      <c r="E2087" s="8">
        <v>0</v>
      </c>
    </row>
    <row r="2088" spans="1:5" x14ac:dyDescent="0.2">
      <c r="A2088" s="7">
        <v>11059</v>
      </c>
      <c r="B2088" s="8">
        <v>17</v>
      </c>
      <c r="C2088" s="8">
        <v>39</v>
      </c>
      <c r="D2088" s="8">
        <v>12</v>
      </c>
      <c r="E2088" s="8">
        <v>0</v>
      </c>
    </row>
    <row r="2089" spans="1:5" x14ac:dyDescent="0.2">
      <c r="A2089" s="7">
        <v>11059</v>
      </c>
      <c r="B2089" s="8">
        <v>60</v>
      </c>
      <c r="C2089" s="8">
        <v>34</v>
      </c>
      <c r="D2089" s="8">
        <v>35</v>
      </c>
      <c r="E2089" s="8">
        <v>0</v>
      </c>
    </row>
    <row r="2090" spans="1:5" x14ac:dyDescent="0.2">
      <c r="A2090" s="7">
        <v>11060</v>
      </c>
      <c r="B2090" s="8">
        <v>60</v>
      </c>
      <c r="C2090" s="8">
        <v>34</v>
      </c>
      <c r="D2090" s="8">
        <v>4</v>
      </c>
      <c r="E2090" s="8">
        <v>0</v>
      </c>
    </row>
    <row r="2091" spans="1:5" x14ac:dyDescent="0.2">
      <c r="A2091" s="7">
        <v>11060</v>
      </c>
      <c r="B2091" s="8">
        <v>77</v>
      </c>
      <c r="C2091" s="8">
        <v>13</v>
      </c>
      <c r="D2091" s="8">
        <v>10</v>
      </c>
      <c r="E2091" s="8">
        <v>0</v>
      </c>
    </row>
    <row r="2092" spans="1:5" x14ac:dyDescent="0.2">
      <c r="A2092" s="7">
        <v>11061</v>
      </c>
      <c r="B2092" s="8">
        <v>60</v>
      </c>
      <c r="C2092" s="8">
        <v>34</v>
      </c>
      <c r="D2092" s="8">
        <v>15</v>
      </c>
      <c r="E2092" s="8">
        <v>0</v>
      </c>
    </row>
    <row r="2093" spans="1:5" x14ac:dyDescent="0.2">
      <c r="A2093" s="7">
        <v>11062</v>
      </c>
      <c r="B2093" s="8">
        <v>53</v>
      </c>
      <c r="C2093" s="8">
        <v>32.799999999999997</v>
      </c>
      <c r="D2093" s="8">
        <v>10</v>
      </c>
      <c r="E2093" s="8">
        <v>0.2</v>
      </c>
    </row>
    <row r="2094" spans="1:5" x14ac:dyDescent="0.2">
      <c r="A2094" s="7">
        <v>11062</v>
      </c>
      <c r="B2094" s="8">
        <v>70</v>
      </c>
      <c r="C2094" s="8">
        <v>15</v>
      </c>
      <c r="D2094" s="8">
        <v>12</v>
      </c>
      <c r="E2094" s="8">
        <v>0.2</v>
      </c>
    </row>
    <row r="2095" spans="1:5" x14ac:dyDescent="0.2">
      <c r="A2095" s="7">
        <v>11063</v>
      </c>
      <c r="B2095" s="8">
        <v>34</v>
      </c>
      <c r="C2095" s="8">
        <v>14</v>
      </c>
      <c r="D2095" s="8">
        <v>30</v>
      </c>
      <c r="E2095" s="8">
        <v>0</v>
      </c>
    </row>
    <row r="2096" spans="1:5" x14ac:dyDescent="0.2">
      <c r="A2096" s="7">
        <v>11063</v>
      </c>
      <c r="B2096" s="8">
        <v>40</v>
      </c>
      <c r="C2096" s="8">
        <v>18.399999999999999</v>
      </c>
      <c r="D2096" s="8">
        <v>40</v>
      </c>
      <c r="E2096" s="8">
        <v>0.1</v>
      </c>
    </row>
    <row r="2097" spans="1:5" x14ac:dyDescent="0.2">
      <c r="A2097" s="7">
        <v>11063</v>
      </c>
      <c r="B2097" s="8">
        <v>41</v>
      </c>
      <c r="C2097" s="8">
        <v>9.65</v>
      </c>
      <c r="D2097" s="8">
        <v>30</v>
      </c>
      <c r="E2097" s="8">
        <v>0.1</v>
      </c>
    </row>
    <row r="2098" spans="1:5" x14ac:dyDescent="0.2">
      <c r="A2098" s="7">
        <v>11064</v>
      </c>
      <c r="B2098" s="8">
        <v>17</v>
      </c>
      <c r="C2098" s="8">
        <v>39</v>
      </c>
      <c r="D2098" s="8">
        <v>77</v>
      </c>
      <c r="E2098" s="8">
        <v>0.1</v>
      </c>
    </row>
    <row r="2099" spans="1:5" x14ac:dyDescent="0.2">
      <c r="A2099" s="7">
        <v>11064</v>
      </c>
      <c r="B2099" s="8">
        <v>41</v>
      </c>
      <c r="C2099" s="8">
        <v>9.65</v>
      </c>
      <c r="D2099" s="8">
        <v>12</v>
      </c>
      <c r="E2099" s="8">
        <v>0</v>
      </c>
    </row>
    <row r="2100" spans="1:5" x14ac:dyDescent="0.2">
      <c r="A2100" s="7">
        <v>11064</v>
      </c>
      <c r="B2100" s="8">
        <v>53</v>
      </c>
      <c r="C2100" s="8">
        <v>32.799999999999997</v>
      </c>
      <c r="D2100" s="8">
        <v>25</v>
      </c>
      <c r="E2100" s="8">
        <v>0.1</v>
      </c>
    </row>
    <row r="2101" spans="1:5" x14ac:dyDescent="0.2">
      <c r="A2101" s="7">
        <v>11064</v>
      </c>
      <c r="B2101" s="8">
        <v>55</v>
      </c>
      <c r="C2101" s="8">
        <v>24</v>
      </c>
      <c r="D2101" s="8">
        <v>4</v>
      </c>
      <c r="E2101" s="8">
        <v>0.1</v>
      </c>
    </row>
    <row r="2102" spans="1:5" x14ac:dyDescent="0.2">
      <c r="A2102" s="7">
        <v>11064</v>
      </c>
      <c r="B2102" s="8">
        <v>68</v>
      </c>
      <c r="C2102" s="8">
        <v>12.5</v>
      </c>
      <c r="D2102" s="8">
        <v>55</v>
      </c>
      <c r="E2102" s="8">
        <v>0</v>
      </c>
    </row>
    <row r="2103" spans="1:5" x14ac:dyDescent="0.2">
      <c r="A2103" s="7">
        <v>11065</v>
      </c>
      <c r="B2103" s="8">
        <v>30</v>
      </c>
      <c r="C2103" s="8">
        <v>25.89</v>
      </c>
      <c r="D2103" s="8">
        <v>4</v>
      </c>
      <c r="E2103" s="8">
        <v>0.25</v>
      </c>
    </row>
    <row r="2104" spans="1:5" x14ac:dyDescent="0.2">
      <c r="A2104" s="7">
        <v>11065</v>
      </c>
      <c r="B2104" s="8">
        <v>54</v>
      </c>
      <c r="C2104" s="8">
        <v>7.45</v>
      </c>
      <c r="D2104" s="8">
        <v>20</v>
      </c>
      <c r="E2104" s="8">
        <v>0.25</v>
      </c>
    </row>
    <row r="2105" spans="1:5" x14ac:dyDescent="0.2">
      <c r="A2105" s="7">
        <v>11066</v>
      </c>
      <c r="B2105" s="8">
        <v>16</v>
      </c>
      <c r="C2105" s="8">
        <v>17.45</v>
      </c>
      <c r="D2105" s="8">
        <v>3</v>
      </c>
      <c r="E2105" s="8">
        <v>0</v>
      </c>
    </row>
    <row r="2106" spans="1:5" x14ac:dyDescent="0.2">
      <c r="A2106" s="7">
        <v>11066</v>
      </c>
      <c r="B2106" s="8">
        <v>19</v>
      </c>
      <c r="C2106" s="8">
        <v>9.1999999999999993</v>
      </c>
      <c r="D2106" s="8">
        <v>42</v>
      </c>
      <c r="E2106" s="8">
        <v>0</v>
      </c>
    </row>
    <row r="2107" spans="1:5" x14ac:dyDescent="0.2">
      <c r="A2107" s="7">
        <v>11066</v>
      </c>
      <c r="B2107" s="8">
        <v>34</v>
      </c>
      <c r="C2107" s="8">
        <v>14</v>
      </c>
      <c r="D2107" s="8">
        <v>35</v>
      </c>
      <c r="E2107" s="8">
        <v>0</v>
      </c>
    </row>
    <row r="2108" spans="1:5" x14ac:dyDescent="0.2">
      <c r="A2108" s="7">
        <v>11067</v>
      </c>
      <c r="B2108" s="8">
        <v>41</v>
      </c>
      <c r="C2108" s="8">
        <v>9.65</v>
      </c>
      <c r="D2108" s="8">
        <v>9</v>
      </c>
      <c r="E2108" s="8">
        <v>0</v>
      </c>
    </row>
    <row r="2109" spans="1:5" x14ac:dyDescent="0.2">
      <c r="A2109" s="7">
        <v>11068</v>
      </c>
      <c r="B2109" s="8">
        <v>28</v>
      </c>
      <c r="C2109" s="8">
        <v>45.6</v>
      </c>
      <c r="D2109" s="8">
        <v>8</v>
      </c>
      <c r="E2109" s="8">
        <v>0.15</v>
      </c>
    </row>
    <row r="2110" spans="1:5" x14ac:dyDescent="0.2">
      <c r="A2110" s="7">
        <v>11068</v>
      </c>
      <c r="B2110" s="8">
        <v>43</v>
      </c>
      <c r="C2110" s="8">
        <v>46</v>
      </c>
      <c r="D2110" s="8">
        <v>36</v>
      </c>
      <c r="E2110" s="8">
        <v>0.15</v>
      </c>
    </row>
    <row r="2111" spans="1:5" x14ac:dyDescent="0.2">
      <c r="A2111" s="7">
        <v>11068</v>
      </c>
      <c r="B2111" s="8">
        <v>77</v>
      </c>
      <c r="C2111" s="8">
        <v>13</v>
      </c>
      <c r="D2111" s="8">
        <v>28</v>
      </c>
      <c r="E2111" s="8">
        <v>0.15</v>
      </c>
    </row>
    <row r="2112" spans="1:5" x14ac:dyDescent="0.2">
      <c r="A2112" s="7">
        <v>11069</v>
      </c>
      <c r="B2112" s="8">
        <v>39</v>
      </c>
      <c r="C2112" s="8">
        <v>18</v>
      </c>
      <c r="D2112" s="8">
        <v>20</v>
      </c>
      <c r="E2112" s="8">
        <v>0</v>
      </c>
    </row>
    <row r="2113" spans="1:5" x14ac:dyDescent="0.2">
      <c r="A2113" s="7">
        <v>11070</v>
      </c>
      <c r="B2113" s="8">
        <v>1</v>
      </c>
      <c r="C2113" s="8">
        <v>18</v>
      </c>
      <c r="D2113" s="8">
        <v>40</v>
      </c>
      <c r="E2113" s="8">
        <v>0.15</v>
      </c>
    </row>
    <row r="2114" spans="1:5" x14ac:dyDescent="0.2">
      <c r="A2114" s="7">
        <v>11070</v>
      </c>
      <c r="B2114" s="8">
        <v>2</v>
      </c>
      <c r="C2114" s="8">
        <v>19</v>
      </c>
      <c r="D2114" s="8">
        <v>20</v>
      </c>
      <c r="E2114" s="8">
        <v>0.15</v>
      </c>
    </row>
    <row r="2115" spans="1:5" x14ac:dyDescent="0.2">
      <c r="A2115" s="7">
        <v>11070</v>
      </c>
      <c r="B2115" s="8">
        <v>16</v>
      </c>
      <c r="C2115" s="8">
        <v>17.45</v>
      </c>
      <c r="D2115" s="8">
        <v>30</v>
      </c>
      <c r="E2115" s="8">
        <v>0.15</v>
      </c>
    </row>
    <row r="2116" spans="1:5" x14ac:dyDescent="0.2">
      <c r="A2116" s="7">
        <v>11070</v>
      </c>
      <c r="B2116" s="8">
        <v>31</v>
      </c>
      <c r="C2116" s="8">
        <v>12.5</v>
      </c>
      <c r="D2116" s="8">
        <v>20</v>
      </c>
      <c r="E2116" s="8">
        <v>0</v>
      </c>
    </row>
    <row r="2117" spans="1:5" x14ac:dyDescent="0.2">
      <c r="A2117" s="7">
        <v>11071</v>
      </c>
      <c r="B2117" s="8">
        <v>7</v>
      </c>
      <c r="C2117" s="8">
        <v>30</v>
      </c>
      <c r="D2117" s="8">
        <v>15</v>
      </c>
      <c r="E2117" s="8">
        <v>0.05</v>
      </c>
    </row>
    <row r="2118" spans="1:5" x14ac:dyDescent="0.2">
      <c r="A2118" s="7">
        <v>11071</v>
      </c>
      <c r="B2118" s="8">
        <v>13</v>
      </c>
      <c r="C2118" s="8">
        <v>6</v>
      </c>
      <c r="D2118" s="8">
        <v>10</v>
      </c>
      <c r="E2118" s="8">
        <v>0.05</v>
      </c>
    </row>
    <row r="2119" spans="1:5" x14ac:dyDescent="0.2">
      <c r="A2119" s="7">
        <v>11072</v>
      </c>
      <c r="B2119" s="8">
        <v>2</v>
      </c>
      <c r="C2119" s="8">
        <v>19</v>
      </c>
      <c r="D2119" s="8">
        <v>8</v>
      </c>
      <c r="E2119" s="8">
        <v>0</v>
      </c>
    </row>
    <row r="2120" spans="1:5" x14ac:dyDescent="0.2">
      <c r="A2120" s="7">
        <v>11072</v>
      </c>
      <c r="B2120" s="8">
        <v>41</v>
      </c>
      <c r="C2120" s="8">
        <v>9.65</v>
      </c>
      <c r="D2120" s="8">
        <v>40</v>
      </c>
      <c r="E2120" s="8">
        <v>0</v>
      </c>
    </row>
    <row r="2121" spans="1:5" x14ac:dyDescent="0.2">
      <c r="A2121" s="7">
        <v>11072</v>
      </c>
      <c r="B2121" s="8">
        <v>50</v>
      </c>
      <c r="C2121" s="8">
        <v>16.25</v>
      </c>
      <c r="D2121" s="8">
        <v>22</v>
      </c>
      <c r="E2121" s="8">
        <v>0</v>
      </c>
    </row>
    <row r="2122" spans="1:5" x14ac:dyDescent="0.2">
      <c r="A2122" s="7">
        <v>11072</v>
      </c>
      <c r="B2122" s="8">
        <v>64</v>
      </c>
      <c r="C2122" s="8">
        <v>33.25</v>
      </c>
      <c r="D2122" s="8">
        <v>130</v>
      </c>
      <c r="E2122" s="8">
        <v>0</v>
      </c>
    </row>
    <row r="2123" spans="1:5" x14ac:dyDescent="0.2">
      <c r="A2123" s="7">
        <v>11073</v>
      </c>
      <c r="B2123" s="8">
        <v>11</v>
      </c>
      <c r="C2123" s="8">
        <v>21</v>
      </c>
      <c r="D2123" s="8">
        <v>10</v>
      </c>
      <c r="E2123" s="8">
        <v>0</v>
      </c>
    </row>
    <row r="2124" spans="1:5" x14ac:dyDescent="0.2">
      <c r="A2124" s="7">
        <v>11073</v>
      </c>
      <c r="B2124" s="8">
        <v>24</v>
      </c>
      <c r="C2124" s="8">
        <v>4.5</v>
      </c>
      <c r="D2124" s="8">
        <v>20</v>
      </c>
      <c r="E2124" s="8">
        <v>0</v>
      </c>
    </row>
    <row r="2125" spans="1:5" x14ac:dyDescent="0.2">
      <c r="A2125" s="7">
        <v>11074</v>
      </c>
      <c r="B2125" s="8">
        <v>16</v>
      </c>
      <c r="C2125" s="8">
        <v>17.45</v>
      </c>
      <c r="D2125" s="8">
        <v>14</v>
      </c>
      <c r="E2125" s="8">
        <v>0.05</v>
      </c>
    </row>
    <row r="2126" spans="1:5" x14ac:dyDescent="0.2">
      <c r="A2126" s="7">
        <v>11075</v>
      </c>
      <c r="B2126" s="8">
        <v>2</v>
      </c>
      <c r="C2126" s="8">
        <v>19</v>
      </c>
      <c r="D2126" s="8">
        <v>10</v>
      </c>
      <c r="E2126" s="8">
        <v>0.15</v>
      </c>
    </row>
    <row r="2127" spans="1:5" x14ac:dyDescent="0.2">
      <c r="A2127" s="7">
        <v>11075</v>
      </c>
      <c r="B2127" s="8">
        <v>46</v>
      </c>
      <c r="C2127" s="8">
        <v>12</v>
      </c>
      <c r="D2127" s="8">
        <v>30</v>
      </c>
      <c r="E2127" s="8">
        <v>0.15</v>
      </c>
    </row>
    <row r="2128" spans="1:5" x14ac:dyDescent="0.2">
      <c r="A2128" s="7">
        <v>11075</v>
      </c>
      <c r="B2128" s="8">
        <v>76</v>
      </c>
      <c r="C2128" s="8">
        <v>18</v>
      </c>
      <c r="D2128" s="8">
        <v>2</v>
      </c>
      <c r="E2128" s="8">
        <v>0.15</v>
      </c>
    </row>
    <row r="2129" spans="1:5" x14ac:dyDescent="0.2">
      <c r="A2129" s="7">
        <v>11076</v>
      </c>
      <c r="B2129" s="8">
        <v>6</v>
      </c>
      <c r="C2129" s="8">
        <v>25</v>
      </c>
      <c r="D2129" s="8">
        <v>20</v>
      </c>
      <c r="E2129" s="8">
        <v>0.25</v>
      </c>
    </row>
    <row r="2130" spans="1:5" x14ac:dyDescent="0.2">
      <c r="A2130" s="7">
        <v>11076</v>
      </c>
      <c r="B2130" s="8">
        <v>14</v>
      </c>
      <c r="C2130" s="8">
        <v>23.25</v>
      </c>
      <c r="D2130" s="8">
        <v>20</v>
      </c>
      <c r="E2130" s="8">
        <v>0.25</v>
      </c>
    </row>
    <row r="2131" spans="1:5" x14ac:dyDescent="0.2">
      <c r="A2131" s="7">
        <v>11076</v>
      </c>
      <c r="B2131" s="8">
        <v>19</v>
      </c>
      <c r="C2131" s="8">
        <v>9.1999999999999993</v>
      </c>
      <c r="D2131" s="8">
        <v>10</v>
      </c>
      <c r="E2131" s="8">
        <v>0.25</v>
      </c>
    </row>
    <row r="2132" spans="1:5" x14ac:dyDescent="0.2">
      <c r="A2132" s="7">
        <v>11077</v>
      </c>
      <c r="B2132" s="8">
        <v>2</v>
      </c>
      <c r="C2132" s="8">
        <v>19</v>
      </c>
      <c r="D2132" s="8">
        <v>24</v>
      </c>
      <c r="E2132" s="8">
        <v>0.2</v>
      </c>
    </row>
    <row r="2133" spans="1:5" x14ac:dyDescent="0.2">
      <c r="A2133" s="7">
        <v>11077</v>
      </c>
      <c r="B2133" s="8">
        <v>3</v>
      </c>
      <c r="C2133" s="8">
        <v>10</v>
      </c>
      <c r="D2133" s="8">
        <v>4</v>
      </c>
      <c r="E2133" s="8">
        <v>0</v>
      </c>
    </row>
    <row r="2134" spans="1:5" x14ac:dyDescent="0.2">
      <c r="A2134" s="7">
        <v>11077</v>
      </c>
      <c r="B2134" s="8">
        <v>4</v>
      </c>
      <c r="C2134" s="8">
        <v>22</v>
      </c>
      <c r="D2134" s="8">
        <v>1</v>
      </c>
      <c r="E2134" s="8">
        <v>0</v>
      </c>
    </row>
    <row r="2135" spans="1:5" x14ac:dyDescent="0.2">
      <c r="A2135" s="7">
        <v>11077</v>
      </c>
      <c r="B2135" s="8">
        <v>6</v>
      </c>
      <c r="C2135" s="8">
        <v>25</v>
      </c>
      <c r="D2135" s="8">
        <v>1</v>
      </c>
      <c r="E2135" s="8">
        <v>0.02</v>
      </c>
    </row>
    <row r="2136" spans="1:5" x14ac:dyDescent="0.2">
      <c r="A2136" s="7">
        <v>11077</v>
      </c>
      <c r="B2136" s="8">
        <v>7</v>
      </c>
      <c r="C2136" s="8">
        <v>30</v>
      </c>
      <c r="D2136" s="8">
        <v>1</v>
      </c>
      <c r="E2136" s="8">
        <v>0.05</v>
      </c>
    </row>
    <row r="2137" spans="1:5" x14ac:dyDescent="0.2">
      <c r="A2137" s="7">
        <v>11077</v>
      </c>
      <c r="B2137" s="8">
        <v>8</v>
      </c>
      <c r="C2137" s="8">
        <v>40</v>
      </c>
      <c r="D2137" s="8">
        <v>2</v>
      </c>
      <c r="E2137" s="8">
        <v>0.1</v>
      </c>
    </row>
    <row r="2138" spans="1:5" x14ac:dyDescent="0.2">
      <c r="A2138" s="7">
        <v>11077</v>
      </c>
      <c r="B2138" s="8">
        <v>10</v>
      </c>
      <c r="C2138" s="8">
        <v>31</v>
      </c>
      <c r="D2138" s="8">
        <v>1</v>
      </c>
      <c r="E2138" s="8">
        <v>0</v>
      </c>
    </row>
    <row r="2139" spans="1:5" x14ac:dyDescent="0.2">
      <c r="A2139" s="7">
        <v>11077</v>
      </c>
      <c r="B2139" s="8">
        <v>12</v>
      </c>
      <c r="C2139" s="8">
        <v>38</v>
      </c>
      <c r="D2139" s="8">
        <v>2</v>
      </c>
      <c r="E2139" s="8">
        <v>0.05</v>
      </c>
    </row>
    <row r="2140" spans="1:5" x14ac:dyDescent="0.2">
      <c r="A2140" s="7">
        <v>11077</v>
      </c>
      <c r="B2140" s="8">
        <v>13</v>
      </c>
      <c r="C2140" s="8">
        <v>6</v>
      </c>
      <c r="D2140" s="8">
        <v>4</v>
      </c>
      <c r="E2140" s="8">
        <v>0</v>
      </c>
    </row>
    <row r="2141" spans="1:5" x14ac:dyDescent="0.2">
      <c r="A2141" s="7">
        <v>11077</v>
      </c>
      <c r="B2141" s="8">
        <v>14</v>
      </c>
      <c r="C2141" s="8">
        <v>23.25</v>
      </c>
      <c r="D2141" s="8">
        <v>1</v>
      </c>
      <c r="E2141" s="8">
        <v>0.03</v>
      </c>
    </row>
    <row r="2142" spans="1:5" x14ac:dyDescent="0.2">
      <c r="A2142" s="7">
        <v>11077</v>
      </c>
      <c r="B2142" s="8">
        <v>16</v>
      </c>
      <c r="C2142" s="8">
        <v>17.45</v>
      </c>
      <c r="D2142" s="8">
        <v>2</v>
      </c>
      <c r="E2142" s="8">
        <v>0.03</v>
      </c>
    </row>
    <row r="2143" spans="1:5" x14ac:dyDescent="0.2">
      <c r="A2143" s="7">
        <v>11077</v>
      </c>
      <c r="B2143" s="8">
        <v>20</v>
      </c>
      <c r="C2143" s="8">
        <v>81</v>
      </c>
      <c r="D2143" s="8">
        <v>1</v>
      </c>
      <c r="E2143" s="8">
        <v>0.04</v>
      </c>
    </row>
    <row r="2144" spans="1:5" x14ac:dyDescent="0.2">
      <c r="A2144" s="7">
        <v>11077</v>
      </c>
      <c r="B2144" s="8">
        <v>23</v>
      </c>
      <c r="C2144" s="8">
        <v>9</v>
      </c>
      <c r="D2144" s="8">
        <v>2</v>
      </c>
      <c r="E2144" s="8">
        <v>0</v>
      </c>
    </row>
    <row r="2145" spans="1:5" x14ac:dyDescent="0.2">
      <c r="A2145" s="7">
        <v>11077</v>
      </c>
      <c r="B2145" s="8">
        <v>32</v>
      </c>
      <c r="C2145" s="8">
        <v>32</v>
      </c>
      <c r="D2145" s="8">
        <v>1</v>
      </c>
      <c r="E2145" s="8">
        <v>0</v>
      </c>
    </row>
    <row r="2146" spans="1:5" x14ac:dyDescent="0.2">
      <c r="A2146" s="7">
        <v>11077</v>
      </c>
      <c r="B2146" s="8">
        <v>39</v>
      </c>
      <c r="C2146" s="8">
        <v>18</v>
      </c>
      <c r="D2146" s="8">
        <v>2</v>
      </c>
      <c r="E2146" s="8">
        <v>0.05</v>
      </c>
    </row>
    <row r="2147" spans="1:5" x14ac:dyDescent="0.2">
      <c r="A2147" s="7">
        <v>11077</v>
      </c>
      <c r="B2147" s="8">
        <v>41</v>
      </c>
      <c r="C2147" s="8">
        <v>9.65</v>
      </c>
      <c r="D2147" s="8">
        <v>3</v>
      </c>
      <c r="E2147" s="8">
        <v>0</v>
      </c>
    </row>
    <row r="2148" spans="1:5" x14ac:dyDescent="0.2">
      <c r="A2148" s="7">
        <v>11077</v>
      </c>
      <c r="B2148" s="8">
        <v>46</v>
      </c>
      <c r="C2148" s="8">
        <v>12</v>
      </c>
      <c r="D2148" s="8">
        <v>3</v>
      </c>
      <c r="E2148" s="8">
        <v>0.02</v>
      </c>
    </row>
    <row r="2149" spans="1:5" x14ac:dyDescent="0.2">
      <c r="A2149" s="7">
        <v>11077</v>
      </c>
      <c r="B2149" s="8">
        <v>52</v>
      </c>
      <c r="C2149" s="8">
        <v>7</v>
      </c>
      <c r="D2149" s="8">
        <v>2</v>
      </c>
      <c r="E2149" s="8">
        <v>0</v>
      </c>
    </row>
    <row r="2150" spans="1:5" x14ac:dyDescent="0.2">
      <c r="A2150" s="7">
        <v>11077</v>
      </c>
      <c r="B2150" s="8">
        <v>55</v>
      </c>
      <c r="C2150" s="8">
        <v>24</v>
      </c>
      <c r="D2150" s="8">
        <v>2</v>
      </c>
      <c r="E2150" s="8">
        <v>0</v>
      </c>
    </row>
    <row r="2151" spans="1:5" x14ac:dyDescent="0.2">
      <c r="A2151" s="7">
        <v>11077</v>
      </c>
      <c r="B2151" s="8">
        <v>60</v>
      </c>
      <c r="C2151" s="8">
        <v>34</v>
      </c>
      <c r="D2151" s="8">
        <v>2</v>
      </c>
      <c r="E2151" s="8">
        <v>0.06</v>
      </c>
    </row>
    <row r="2152" spans="1:5" x14ac:dyDescent="0.2">
      <c r="A2152" s="7">
        <v>11077</v>
      </c>
      <c r="B2152" s="8">
        <v>64</v>
      </c>
      <c r="C2152" s="8">
        <v>33.25</v>
      </c>
      <c r="D2152" s="8">
        <v>2</v>
      </c>
      <c r="E2152" s="8">
        <v>0.03</v>
      </c>
    </row>
    <row r="2153" spans="1:5" x14ac:dyDescent="0.2">
      <c r="A2153" s="7">
        <v>11077</v>
      </c>
      <c r="B2153" s="8">
        <v>66</v>
      </c>
      <c r="C2153" s="8">
        <v>17</v>
      </c>
      <c r="D2153" s="8">
        <v>1</v>
      </c>
      <c r="E2153" s="8">
        <v>0</v>
      </c>
    </row>
    <row r="2154" spans="1:5" x14ac:dyDescent="0.2">
      <c r="A2154" s="7">
        <v>11077</v>
      </c>
      <c r="B2154" s="8">
        <v>73</v>
      </c>
      <c r="C2154" s="8">
        <v>15</v>
      </c>
      <c r="D2154" s="8">
        <v>2</v>
      </c>
      <c r="E2154" s="8">
        <v>0.01</v>
      </c>
    </row>
    <row r="2155" spans="1:5" x14ac:dyDescent="0.2">
      <c r="A2155" s="7">
        <v>11077</v>
      </c>
      <c r="B2155" s="8">
        <v>75</v>
      </c>
      <c r="C2155" s="8">
        <v>7.75</v>
      </c>
      <c r="D2155" s="8">
        <v>4</v>
      </c>
      <c r="E2155" s="8">
        <v>0</v>
      </c>
    </row>
    <row r="2156" spans="1:5" x14ac:dyDescent="0.2">
      <c r="A2156" s="7">
        <v>11077</v>
      </c>
      <c r="B2156" s="8">
        <v>77</v>
      </c>
      <c r="C2156" s="8">
        <v>13</v>
      </c>
      <c r="D2156" s="8">
        <v>2</v>
      </c>
      <c r="E2156" s="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655E7-3A43-0341-B0F9-A7B021AF1098}">
  <sheetPr codeName="Hoja5"/>
  <dimension ref="A1:F831"/>
  <sheetViews>
    <sheetView tabSelected="1" zoomScale="210" workbookViewId="0">
      <selection activeCell="D6" sqref="D6"/>
    </sheetView>
  </sheetViews>
  <sheetFormatPr baseColWidth="10" defaultRowHeight="16" x14ac:dyDescent="0.2"/>
  <sheetData>
    <row r="1" spans="1:6" x14ac:dyDescent="0.2">
      <c r="A1" t="s">
        <v>0</v>
      </c>
    </row>
    <row r="2" spans="1:6" x14ac:dyDescent="0.2">
      <c r="A2">
        <v>10248</v>
      </c>
      <c r="B2" cm="1">
        <f t="array" ref="B2:B4">INDEX(_xlfn._xlws.FILTER(OrderDetails!A2:E2156,OrderDetails!A2:A2156=A2), 0, 3)</f>
        <v>14</v>
      </c>
      <c r="C2" cm="1">
        <f t="array" ref="C2:C4">INDEX(_xlfn._xlws.FILTER(OrderDetails!A2:E2156,OrderDetails!A2:A2156=A2), 0, 4)</f>
        <v>12</v>
      </c>
      <c r="D2" cm="1">
        <f t="array" ref="D2:D4">INDEX(_xlfn._xlws.FILTER(OrderDetails!A2:E2156,OrderDetails!A2:A2156=A2), 0, 3) * INDEX(_xlfn._xlws.FILTER(OrderDetails!A2:E2156,OrderDetails!A2:A2156=A2), 0, 4)</f>
        <v>168</v>
      </c>
      <c r="E2" cm="1">
        <f t="array" ref="E2">SUM(INDEX(_xlfn._xlws.FILTER(OrderDetails!A2:E2156,OrderDetails!A2:A2156=A2), 0, 3) * INDEX(_xlfn._xlws.FILTER(OrderDetails!A2:E2156,OrderDetails!A2:A2156=A2), 0, 4))</f>
        <v>440</v>
      </c>
      <c r="F2">
        <v>440</v>
      </c>
    </row>
    <row r="3" spans="1:6" x14ac:dyDescent="0.2">
      <c r="A3">
        <v>10249</v>
      </c>
      <c r="B3">
        <v>9.8000000000000007</v>
      </c>
      <c r="C3">
        <v>10</v>
      </c>
      <c r="D3">
        <v>98</v>
      </c>
      <c r="E3" cm="1">
        <f t="array" ref="E3">SUM(INDEX(_xlfn._xlws.FILTER(OrderDetails!A3:E2157,OrderDetails!A3:A2157=A3), 0, 3) * INDEX(_xlfn._xlws.FILTER(OrderDetails!A3:E2157,OrderDetails!A3:A2157=A3), 0, 4))</f>
        <v>1863.4</v>
      </c>
      <c r="F3">
        <v>1863</v>
      </c>
    </row>
    <row r="4" spans="1:6" x14ac:dyDescent="0.2">
      <c r="A4">
        <v>10250</v>
      </c>
      <c r="B4">
        <v>34.799999999999997</v>
      </c>
      <c r="C4">
        <v>5</v>
      </c>
      <c r="D4">
        <v>174</v>
      </c>
      <c r="E4" cm="1">
        <f t="array" ref="E4">SUM(INDEX(_xlfn._xlws.FILTER(OrderDetails!A4:E2158,OrderDetails!A4:A2158=A4), 0, 3) * INDEX(_xlfn._xlws.FILTER(OrderDetails!A4:E2158,OrderDetails!A4:A2158=A4), 0, 4))</f>
        <v>1813</v>
      </c>
      <c r="F4">
        <v>1813</v>
      </c>
    </row>
    <row r="5" spans="1:6" x14ac:dyDescent="0.2">
      <c r="A5">
        <v>10251</v>
      </c>
      <c r="E5" cm="1">
        <f t="array" ref="E5">SUM(INDEX(_xlfn._xlws.FILTER(OrderDetails!A5:E2159,OrderDetails!A5:A2159=A5), 0, 3) * INDEX(_xlfn._xlws.FILTER(OrderDetails!A5:E2159,OrderDetails!A5:A2159=A5), 0, 4))</f>
        <v>670.8</v>
      </c>
      <c r="F5">
        <v>671</v>
      </c>
    </row>
    <row r="6" spans="1:6" x14ac:dyDescent="0.2">
      <c r="A6">
        <v>10252</v>
      </c>
      <c r="E6" cm="1">
        <f t="array" ref="E6">SUM(INDEX(_xlfn._xlws.FILTER(OrderDetails!A6:E2160,OrderDetails!A6:A2160=A6), 0, 3) * INDEX(_xlfn._xlws.FILTER(OrderDetails!A6:E2160,OrderDetails!A6:A2160=A6), 0, 4))</f>
        <v>3730</v>
      </c>
      <c r="F6">
        <v>3730</v>
      </c>
    </row>
    <row r="7" spans="1:6" x14ac:dyDescent="0.2">
      <c r="A7">
        <v>10253</v>
      </c>
      <c r="E7" cm="1">
        <f t="array" ref="E7">SUM(INDEX(_xlfn._xlws.FILTER(OrderDetails!A7:E2161,OrderDetails!A7:A2161=A7), 0, 3) * INDEX(_xlfn._xlws.FILTER(OrderDetails!A7:E2161,OrderDetails!A7:A2161=A7), 0, 4))</f>
        <v>1444.8000000000002</v>
      </c>
      <c r="F7">
        <v>1445</v>
      </c>
    </row>
    <row r="8" spans="1:6" x14ac:dyDescent="0.2">
      <c r="A8">
        <v>10254</v>
      </c>
      <c r="E8" cm="1">
        <f t="array" ref="E8">SUM(INDEX(_xlfn._xlws.FILTER(OrderDetails!A8:E2162,OrderDetails!A8:A2162=A8), 0, 3) * INDEX(_xlfn._xlws.FILTER(OrderDetails!A8:E2162,OrderDetails!A8:A2162=A8), 0, 4))</f>
        <v>625.20000000000005</v>
      </c>
      <c r="F8">
        <v>625</v>
      </c>
    </row>
    <row r="9" spans="1:6" x14ac:dyDescent="0.2">
      <c r="A9">
        <v>10255</v>
      </c>
      <c r="E9" cm="1">
        <f t="array" ref="E9">SUM(INDEX(_xlfn._xlws.FILTER(OrderDetails!A9:E2163,OrderDetails!A9:A2163=A9), 0, 3) * INDEX(_xlfn._xlws.FILTER(OrderDetails!A9:E2163,OrderDetails!A9:A2163=A9), 0, 4))</f>
        <v>2490.5</v>
      </c>
      <c r="F9">
        <v>2490</v>
      </c>
    </row>
    <row r="10" spans="1:6" x14ac:dyDescent="0.2">
      <c r="A10">
        <v>10256</v>
      </c>
      <c r="E10" cm="1">
        <f t="array" ref="E10">SUM(INDEX(_xlfn._xlws.FILTER(OrderDetails!A10:E2164,OrderDetails!A10:A2164=A10), 0, 3) * INDEX(_xlfn._xlws.FILTER(OrderDetails!A10:E2164,OrderDetails!A10:A2164=A10), 0, 4))</f>
        <v>517.79999999999995</v>
      </c>
      <c r="F10">
        <v>518</v>
      </c>
    </row>
    <row r="11" spans="1:6" x14ac:dyDescent="0.2">
      <c r="A11">
        <v>10257</v>
      </c>
      <c r="E11" cm="1">
        <f t="array" ref="E11">SUM(INDEX(_xlfn._xlws.FILTER(OrderDetails!A11:E2165,OrderDetails!A11:A2165=A11), 0, 3) * INDEX(_xlfn._xlws.FILTER(OrderDetails!A11:E2165,OrderDetails!A11:A2165=A11), 0, 4))</f>
        <v>1119.9000000000001</v>
      </c>
      <c r="F11">
        <v>1120</v>
      </c>
    </row>
    <row r="12" spans="1:6" x14ac:dyDescent="0.2">
      <c r="A12">
        <v>10258</v>
      </c>
      <c r="E12" cm="1">
        <f t="array" ref="E12">SUM(INDEX(_xlfn._xlws.FILTER(OrderDetails!A12:E2166,OrderDetails!A12:A2166=A12), 0, 3) * INDEX(_xlfn._xlws.FILTER(OrderDetails!A12:E2166,OrderDetails!A12:A2166=A12), 0, 4))</f>
        <v>2018.6</v>
      </c>
      <c r="F12">
        <v>2019</v>
      </c>
    </row>
    <row r="13" spans="1:6" x14ac:dyDescent="0.2">
      <c r="A13">
        <v>10259</v>
      </c>
      <c r="E13" cm="1">
        <f t="array" ref="E13">SUM(INDEX(_xlfn._xlws.FILTER(OrderDetails!A13:E2167,OrderDetails!A13:A2167=A13), 0, 3) * INDEX(_xlfn._xlws.FILTER(OrderDetails!A13:E2167,OrderDetails!A13:A2167=A13), 0, 4))</f>
        <v>100.8</v>
      </c>
      <c r="F13">
        <v>101</v>
      </c>
    </row>
    <row r="14" spans="1:6" x14ac:dyDescent="0.2">
      <c r="A14">
        <v>10260</v>
      </c>
      <c r="E14" cm="1">
        <f t="array" ref="E14">SUM(INDEX(_xlfn._xlws.FILTER(OrderDetails!A14:E2168,OrderDetails!A14:A2168=A14), 0, 3) * INDEX(_xlfn._xlws.FILTER(OrderDetails!A14:E2168,OrderDetails!A14:A2168=A14), 0, 4))</f>
        <v>1746.2</v>
      </c>
      <c r="F14">
        <v>1746</v>
      </c>
    </row>
    <row r="15" spans="1:6" x14ac:dyDescent="0.2">
      <c r="A15">
        <v>10261</v>
      </c>
      <c r="E15" cm="1">
        <f t="array" ref="E15">SUM(INDEX(_xlfn._xlws.FILTER(OrderDetails!A15:E2169,OrderDetails!A15:A2169=A15), 0, 3) * INDEX(_xlfn._xlws.FILTER(OrderDetails!A15:E2169,OrderDetails!A15:A2169=A15), 0, 4))</f>
        <v>448</v>
      </c>
      <c r="F15">
        <v>448</v>
      </c>
    </row>
    <row r="16" spans="1:6" x14ac:dyDescent="0.2">
      <c r="A16">
        <v>10262</v>
      </c>
      <c r="E16" cm="1">
        <f t="array" ref="E16">SUM(INDEX(_xlfn._xlws.FILTER(OrderDetails!A16:E2170,OrderDetails!A16:A2170=A16), 0, 3) * INDEX(_xlfn._xlws.FILTER(OrderDetails!A16:E2170,OrderDetails!A16:A2170=A16), 0, 4))</f>
        <v>624.79999999999995</v>
      </c>
      <c r="F16">
        <v>625</v>
      </c>
    </row>
    <row r="17" spans="1:6" x14ac:dyDescent="0.2">
      <c r="A17">
        <v>10263</v>
      </c>
      <c r="E17" cm="1">
        <f t="array" ref="E17">SUM(INDEX(_xlfn._xlws.FILTER(OrderDetails!A17:E2171,OrderDetails!A17:A2171=A17), 0, 3) * INDEX(_xlfn._xlws.FILTER(OrderDetails!A17:E2171,OrderDetails!A17:A2171=A17), 0, 4))</f>
        <v>2464.8000000000002</v>
      </c>
      <c r="F17">
        <v>2465</v>
      </c>
    </row>
    <row r="18" spans="1:6" x14ac:dyDescent="0.2">
      <c r="A18">
        <v>10264</v>
      </c>
      <c r="E18" cm="1">
        <f t="array" ref="E18">SUM(INDEX(_xlfn._xlws.FILTER(OrderDetails!A18:E2172,OrderDetails!A18:A2172=A18), 0, 3) * INDEX(_xlfn._xlws.FILTER(OrderDetails!A18:E2172,OrderDetails!A18:A2172=A18), 0, 4))</f>
        <v>724.5</v>
      </c>
      <c r="F18">
        <v>724</v>
      </c>
    </row>
    <row r="19" spans="1:6" x14ac:dyDescent="0.2">
      <c r="A19">
        <v>10265</v>
      </c>
      <c r="E19" cm="1">
        <f t="array" ref="E19">SUM(INDEX(_xlfn._xlws.FILTER(OrderDetails!A19:E2173,OrderDetails!A19:A2173=A19), 0, 3) * INDEX(_xlfn._xlws.FILTER(OrderDetails!A19:E2173,OrderDetails!A19:A2173=A19), 0, 4))</f>
        <v>1176</v>
      </c>
      <c r="F19">
        <v>1176</v>
      </c>
    </row>
    <row r="20" spans="1:6" x14ac:dyDescent="0.2">
      <c r="A20">
        <v>10266</v>
      </c>
      <c r="E20" cm="1">
        <f t="array" ref="E20">SUM(INDEX(_xlfn._xlws.FILTER(OrderDetails!A20:E2174,OrderDetails!A20:A2174=A20), 0, 3) * INDEX(_xlfn._xlws.FILTER(OrderDetails!A20:E2174,OrderDetails!A20:A2174=A20), 0, 4))</f>
        <v>364.79999999999995</v>
      </c>
      <c r="F20">
        <v>365</v>
      </c>
    </row>
    <row r="21" spans="1:6" x14ac:dyDescent="0.2">
      <c r="A21">
        <v>10267</v>
      </c>
      <c r="E21" cm="1">
        <f t="array" ref="E21">SUM(INDEX(_xlfn._xlws.FILTER(OrderDetails!A21:E2175,OrderDetails!A21:A2175=A21), 0, 3) * INDEX(_xlfn._xlws.FILTER(OrderDetails!A21:E2175,OrderDetails!A21:A2175=A21), 0, 4))</f>
        <v>4031</v>
      </c>
      <c r="F21">
        <v>4031</v>
      </c>
    </row>
    <row r="22" spans="1:6" x14ac:dyDescent="0.2">
      <c r="A22">
        <v>10268</v>
      </c>
      <c r="E22" cm="1">
        <f t="array" ref="E22">SUM(INDEX(_xlfn._xlws.FILTER(OrderDetails!A22:E2176,OrderDetails!A22:A2176=A22), 0, 3) * INDEX(_xlfn._xlws.FILTER(OrderDetails!A22:E2176,OrderDetails!A22:A2176=A22), 0, 4))</f>
        <v>1101.2</v>
      </c>
      <c r="F22">
        <v>1101</v>
      </c>
    </row>
    <row r="23" spans="1:6" x14ac:dyDescent="0.2">
      <c r="A23">
        <v>10269</v>
      </c>
      <c r="E23" cm="1">
        <f t="array" ref="E23">SUM(INDEX(_xlfn._xlws.FILTER(OrderDetails!A23:E2177,OrderDetails!A23:A2177=A23), 0, 3) * INDEX(_xlfn._xlws.FILTER(OrderDetails!A23:E2177,OrderDetails!A23:A2177=A23), 0, 4))</f>
        <v>676</v>
      </c>
      <c r="F23">
        <v>676</v>
      </c>
    </row>
    <row r="24" spans="1:6" x14ac:dyDescent="0.2">
      <c r="A24">
        <v>10270</v>
      </c>
      <c r="E24" cm="1">
        <f t="array" ref="E24">SUM(INDEX(_xlfn._xlws.FILTER(OrderDetails!A24:E2178,OrderDetails!A24:A2178=A24), 0, 3) * INDEX(_xlfn._xlws.FILTER(OrderDetails!A24:E2178,OrderDetails!A24:A2178=A24), 0, 4))</f>
        <v>1376</v>
      </c>
      <c r="F24">
        <v>1376</v>
      </c>
    </row>
    <row r="25" spans="1:6" x14ac:dyDescent="0.2">
      <c r="A25">
        <v>10271</v>
      </c>
      <c r="E25" cm="1">
        <f t="array" ref="E25">SUM(INDEX(_xlfn._xlws.FILTER(OrderDetails!A25:E2179,OrderDetails!A25:A2179=A25), 0, 3) * INDEX(_xlfn._xlws.FILTER(OrderDetails!A25:E2179,OrderDetails!A25:A2179=A25), 0, 4))</f>
        <v>48</v>
      </c>
      <c r="F25">
        <v>48</v>
      </c>
    </row>
    <row r="26" spans="1:6" x14ac:dyDescent="0.2">
      <c r="A26">
        <v>10272</v>
      </c>
      <c r="E26" cm="1">
        <f t="array" ref="E26">SUM(INDEX(_xlfn._xlws.FILTER(OrderDetails!A26:E2180,OrderDetails!A26:A2180=A26), 0, 3) * INDEX(_xlfn._xlws.FILTER(OrderDetails!A26:E2180,OrderDetails!A26:A2180=A26), 0, 4))</f>
        <v>1456</v>
      </c>
      <c r="F26">
        <v>1456</v>
      </c>
    </row>
    <row r="27" spans="1:6" x14ac:dyDescent="0.2">
      <c r="A27">
        <v>10273</v>
      </c>
      <c r="E27" cm="1">
        <f t="array" ref="E27">SUM(INDEX(_xlfn._xlws.FILTER(OrderDetails!A27:E2181,OrderDetails!A27:A2181=A27), 0, 3) * INDEX(_xlfn._xlws.FILTER(OrderDetails!A27:E2181,OrderDetails!A27:A2181=A27), 0, 4))</f>
        <v>2142.4</v>
      </c>
      <c r="F27">
        <v>2142</v>
      </c>
    </row>
    <row r="28" spans="1:6" x14ac:dyDescent="0.2">
      <c r="A28">
        <v>10274</v>
      </c>
      <c r="E28" cm="1">
        <f t="array" ref="E28">SUM(INDEX(_xlfn._xlws.FILTER(OrderDetails!A28:E2182,OrderDetails!A28:A2182=A28), 0, 3) * INDEX(_xlfn._xlws.FILTER(OrderDetails!A28:E2182,OrderDetails!A28:A2182=A28), 0, 4))</f>
        <v>538.6</v>
      </c>
      <c r="F28">
        <v>539</v>
      </c>
    </row>
    <row r="29" spans="1:6" x14ac:dyDescent="0.2">
      <c r="A29">
        <v>10275</v>
      </c>
      <c r="E29" cm="1">
        <f t="array" ref="E29">SUM(INDEX(_xlfn._xlws.FILTER(OrderDetails!A29:E2183,OrderDetails!A29:A2183=A29), 0, 3) * INDEX(_xlfn._xlws.FILTER(OrderDetails!A29:E2183,OrderDetails!A29:A2183=A29), 0, 4))</f>
        <v>307.2</v>
      </c>
      <c r="F29">
        <v>307</v>
      </c>
    </row>
    <row r="30" spans="1:6" x14ac:dyDescent="0.2">
      <c r="A30">
        <v>10276</v>
      </c>
      <c r="E30" cm="1">
        <f t="array" ref="E30">SUM(INDEX(_xlfn._xlws.FILTER(OrderDetails!A30:E2184,OrderDetails!A30:A2184=A30), 0, 3) * INDEX(_xlfn._xlws.FILTER(OrderDetails!A30:E2184,OrderDetails!A30:A2184=A30), 0, 4))</f>
        <v>420</v>
      </c>
      <c r="F30">
        <v>420</v>
      </c>
    </row>
    <row r="31" spans="1:6" x14ac:dyDescent="0.2">
      <c r="A31">
        <v>10277</v>
      </c>
      <c r="E31" cm="1">
        <f t="array" ref="E31">SUM(INDEX(_xlfn._xlws.FILTER(OrderDetails!A31:E2185,OrderDetails!A31:A2185=A31), 0, 3) * INDEX(_xlfn._xlws.FILTER(OrderDetails!A31:E2185,OrderDetails!A31:A2185=A31), 0, 4))</f>
        <v>1200.8</v>
      </c>
      <c r="F31">
        <v>1201</v>
      </c>
    </row>
    <row r="32" spans="1:6" x14ac:dyDescent="0.2">
      <c r="A32">
        <v>10278</v>
      </c>
      <c r="E32" cm="1">
        <f t="array" ref="E32">SUM(INDEX(_xlfn._xlws.FILTER(OrderDetails!A32:E2186,OrderDetails!A32:A2186=A32), 0, 3) * INDEX(_xlfn._xlws.FILTER(OrderDetails!A32:E2186,OrderDetails!A32:A2186=A32), 0, 4))</f>
        <v>1488.8</v>
      </c>
      <c r="F32">
        <v>1489</v>
      </c>
    </row>
    <row r="33" spans="1:6" x14ac:dyDescent="0.2">
      <c r="A33">
        <v>10279</v>
      </c>
      <c r="E33" cm="1">
        <f t="array" ref="E33">SUM(INDEX(_xlfn._xlws.FILTER(OrderDetails!A33:E2187,OrderDetails!A33:A2187=A33), 0, 3) * INDEX(_xlfn._xlws.FILTER(OrderDetails!A33:E2187,OrderDetails!A33:A2187=A33), 0, 4))</f>
        <v>468</v>
      </c>
      <c r="F33">
        <v>468</v>
      </c>
    </row>
    <row r="34" spans="1:6" x14ac:dyDescent="0.2">
      <c r="A34">
        <v>10280</v>
      </c>
      <c r="E34" cm="1">
        <f t="array" ref="E34">SUM(INDEX(_xlfn._xlws.FILTER(OrderDetails!A34:E2188,OrderDetails!A34:A2188=A34), 0, 3) * INDEX(_xlfn._xlws.FILTER(OrderDetails!A34:E2188,OrderDetails!A34:A2188=A34), 0, 4))</f>
        <v>613.20000000000005</v>
      </c>
      <c r="F34">
        <v>613</v>
      </c>
    </row>
    <row r="35" spans="1:6" x14ac:dyDescent="0.2">
      <c r="A35">
        <v>10281</v>
      </c>
      <c r="E35" cm="1">
        <f t="array" ref="E35">SUM(INDEX(_xlfn._xlws.FILTER(OrderDetails!A35:E2189,OrderDetails!A35:A2189=A35), 0, 3) * INDEX(_xlfn._xlws.FILTER(OrderDetails!A35:E2189,OrderDetails!A35:A2189=A35), 0, 4))</f>
        <v>86.5</v>
      </c>
      <c r="F35">
        <v>87</v>
      </c>
    </row>
    <row r="36" spans="1:6" x14ac:dyDescent="0.2">
      <c r="A36">
        <v>10282</v>
      </c>
      <c r="E36" cm="1">
        <f t="array" ref="E36">SUM(INDEX(_xlfn._xlws.FILTER(OrderDetails!A36:E2190,OrderDetails!A36:A2190=A36), 0, 3) * INDEX(_xlfn._xlws.FILTER(OrderDetails!A36:E2190,OrderDetails!A36:A2190=A36), 0, 4))</f>
        <v>155.39999999999998</v>
      </c>
      <c r="F36">
        <v>155</v>
      </c>
    </row>
    <row r="37" spans="1:6" x14ac:dyDescent="0.2">
      <c r="A37">
        <v>10283</v>
      </c>
      <c r="E37" cm="1">
        <f t="array" ref="E37">SUM(INDEX(_xlfn._xlws.FILTER(OrderDetails!A37:E2191,OrderDetails!A37:A2191=A37), 0, 3) * INDEX(_xlfn._xlws.FILTER(OrderDetails!A37:E2191,OrderDetails!A37:A2191=A37), 0, 4))</f>
        <v>1414.8000000000002</v>
      </c>
      <c r="F37">
        <v>1414</v>
      </c>
    </row>
    <row r="38" spans="1:6" x14ac:dyDescent="0.2">
      <c r="A38">
        <v>10284</v>
      </c>
      <c r="E38" cm="1">
        <f t="array" ref="E38">SUM(INDEX(_xlfn._xlws.FILTER(OrderDetails!A38:E2192,OrderDetails!A38:A2192=A38), 0, 3) * INDEX(_xlfn._xlws.FILTER(OrderDetails!A38:E2192,OrderDetails!A38:A2192=A38), 0, 4))</f>
        <v>1452</v>
      </c>
      <c r="F38">
        <v>1452</v>
      </c>
    </row>
    <row r="39" spans="1:6" x14ac:dyDescent="0.2">
      <c r="A39">
        <v>10285</v>
      </c>
      <c r="E39" cm="1">
        <f t="array" ref="E39">SUM(INDEX(_xlfn._xlws.FILTER(OrderDetails!A39:E2193,OrderDetails!A39:A2193=A39), 0, 3) * INDEX(_xlfn._xlws.FILTER(OrderDetails!A39:E2193,OrderDetails!A39:A2193=A39), 0, 4))</f>
        <v>2179.1999999999998</v>
      </c>
      <c r="F39">
        <v>2179</v>
      </c>
    </row>
    <row r="40" spans="1:6" x14ac:dyDescent="0.2">
      <c r="A40">
        <v>10286</v>
      </c>
      <c r="E40" cm="1">
        <f t="array" ref="E40">SUM(INDEX(_xlfn._xlws.FILTER(OrderDetails!A40:E2194,OrderDetails!A40:A2194=A40), 0, 3) * INDEX(_xlfn._xlws.FILTER(OrderDetails!A40:E2194,OrderDetails!A40:A2194=A40), 0, 4))</f>
        <v>3016</v>
      </c>
      <c r="F40">
        <v>3016</v>
      </c>
    </row>
    <row r="41" spans="1:6" x14ac:dyDescent="0.2">
      <c r="A41">
        <v>10287</v>
      </c>
      <c r="E41" cm="1">
        <f t="array" ref="E41">SUM(INDEX(_xlfn._xlws.FILTER(OrderDetails!A41:E2195,OrderDetails!A41:A2195=A41), 0, 3) * INDEX(_xlfn._xlws.FILTER(OrderDetails!A41:E2195,OrderDetails!A41:A2195=A41), 0, 4))</f>
        <v>924</v>
      </c>
      <c r="F41">
        <v>924</v>
      </c>
    </row>
    <row r="42" spans="1:6" x14ac:dyDescent="0.2">
      <c r="A42">
        <v>10288</v>
      </c>
      <c r="E42" cm="1">
        <f t="array" ref="E42">SUM(INDEX(_xlfn._xlws.FILTER(OrderDetails!A42:E2196,OrderDetails!A42:A2196=A42), 0, 3) * INDEX(_xlfn._xlws.FILTER(OrderDetails!A42:E2196,OrderDetails!A42:A2196=A42), 0, 4))</f>
        <v>89</v>
      </c>
      <c r="F42">
        <v>89</v>
      </c>
    </row>
    <row r="43" spans="1:6" x14ac:dyDescent="0.2">
      <c r="A43">
        <v>10289</v>
      </c>
      <c r="E43" cm="1">
        <f t="array" ref="E43">SUM(INDEX(_xlfn._xlws.FILTER(OrderDetails!A43:E2197,OrderDetails!A43:A2197=A43), 0, 3) * INDEX(_xlfn._xlws.FILTER(OrderDetails!A43:E2197,OrderDetails!A43:A2197=A43), 0, 4))</f>
        <v>479.4</v>
      </c>
      <c r="F43">
        <v>479</v>
      </c>
    </row>
    <row r="44" spans="1:6" x14ac:dyDescent="0.2">
      <c r="A44">
        <v>10290</v>
      </c>
      <c r="E44" cm="1">
        <f t="array" ref="E44">SUM(INDEX(_xlfn._xlws.FILTER(OrderDetails!A44:E2198,OrderDetails!A44:A2198=A44), 0, 3) * INDEX(_xlfn._xlws.FILTER(OrderDetails!A44:E2198,OrderDetails!A44:A2198=A44), 0, 4))</f>
        <v>2169</v>
      </c>
      <c r="F44">
        <v>2169</v>
      </c>
    </row>
    <row r="45" spans="1:6" x14ac:dyDescent="0.2">
      <c r="A45">
        <v>10291</v>
      </c>
      <c r="E45" cm="1">
        <f t="array" ref="E45">SUM(INDEX(_xlfn._xlws.FILTER(OrderDetails!A45:E2199,OrderDetails!A45:A2199=A45), 0, 3) * INDEX(_xlfn._xlws.FILTER(OrderDetails!A45:E2199,OrderDetails!A45:A2199=A45), 0, 4))</f>
        <v>552.79999999999995</v>
      </c>
      <c r="F45">
        <v>553</v>
      </c>
    </row>
    <row r="46" spans="1:6" x14ac:dyDescent="0.2">
      <c r="A46">
        <v>10292</v>
      </c>
      <c r="E46" cm="1">
        <f t="array" ref="E46">SUM(INDEX(_xlfn._xlws.FILTER(OrderDetails!A46:E2200,OrderDetails!A46:A2200=A46), 0, 3) * INDEX(_xlfn._xlws.FILTER(OrderDetails!A46:E2200,OrderDetails!A46:A2200=A46), 0, 4))</f>
        <v>1296</v>
      </c>
      <c r="F46">
        <v>1296</v>
      </c>
    </row>
    <row r="47" spans="1:6" x14ac:dyDescent="0.2">
      <c r="A47">
        <v>10293</v>
      </c>
      <c r="E47" cm="1">
        <f t="array" ref="E47">SUM(INDEX(_xlfn._xlws.FILTER(OrderDetails!A47:E2201,OrderDetails!A47:A2201=A47), 0, 3) * INDEX(_xlfn._xlws.FILTER(OrderDetails!A47:E2201,OrderDetails!A47:A2201=A47), 0, 4))</f>
        <v>848.7</v>
      </c>
      <c r="F47">
        <v>849</v>
      </c>
    </row>
    <row r="48" spans="1:6" x14ac:dyDescent="0.2">
      <c r="A48">
        <v>10294</v>
      </c>
      <c r="E48" cm="1">
        <f t="array" ref="E48">SUM(INDEX(_xlfn._xlws.FILTER(OrderDetails!A48:E2202,OrderDetails!A48:A2202=A48), 0, 3) * INDEX(_xlfn._xlws.FILTER(OrderDetails!A48:E2202,OrderDetails!A48:A2202=A48), 0, 4))</f>
        <v>1887.6000000000001</v>
      </c>
      <c r="F48">
        <v>1887</v>
      </c>
    </row>
    <row r="49" spans="1:6" x14ac:dyDescent="0.2">
      <c r="A49">
        <v>10295</v>
      </c>
      <c r="E49" cm="1">
        <f t="array" ref="E49">SUM(INDEX(_xlfn._xlws.FILTER(OrderDetails!A49:E2203,OrderDetails!A49:A2203=A49), 0, 3) * INDEX(_xlfn._xlws.FILTER(OrderDetails!A49:E2203,OrderDetails!A49:A2203=A49), 0, 4))</f>
        <v>121.6</v>
      </c>
      <c r="F49">
        <v>122</v>
      </c>
    </row>
    <row r="50" spans="1:6" x14ac:dyDescent="0.2">
      <c r="A50">
        <v>10296</v>
      </c>
      <c r="E50" cm="1">
        <f t="array" ref="E50">SUM(INDEX(_xlfn._xlws.FILTER(OrderDetails!A50:E2204,OrderDetails!A50:A2204=A50), 0, 3) * INDEX(_xlfn._xlws.FILTER(OrderDetails!A50:E2204,OrderDetails!A50:A2204=A50), 0, 4))</f>
        <v>1050.5999999999999</v>
      </c>
      <c r="F50">
        <v>1051</v>
      </c>
    </row>
    <row r="51" spans="1:6" x14ac:dyDescent="0.2">
      <c r="A51">
        <v>10297</v>
      </c>
      <c r="E51" cm="1">
        <f t="array" ref="E51">SUM(INDEX(_xlfn._xlws.FILTER(OrderDetails!A51:E2205,OrderDetails!A51:A2205=A51), 0, 3) * INDEX(_xlfn._xlws.FILTER(OrderDetails!A51:E2205,OrderDetails!A51:A2205=A51), 0, 4))</f>
        <v>1420</v>
      </c>
      <c r="F51">
        <v>1420</v>
      </c>
    </row>
    <row r="52" spans="1:6" x14ac:dyDescent="0.2">
      <c r="A52">
        <v>10298</v>
      </c>
      <c r="E52" cm="1">
        <f t="array" ref="E52">SUM(INDEX(_xlfn._xlws.FILTER(OrderDetails!A52:E2206,OrderDetails!A52:A2206=A52), 0, 3) * INDEX(_xlfn._xlws.FILTER(OrderDetails!A52:E2206,OrderDetails!A52:A2206=A52), 0, 4))</f>
        <v>3127</v>
      </c>
      <c r="F52">
        <v>3127</v>
      </c>
    </row>
    <row r="53" spans="1:6" x14ac:dyDescent="0.2">
      <c r="A53">
        <v>10299</v>
      </c>
      <c r="E53" cm="1">
        <f t="array" ref="E53">SUM(INDEX(_xlfn._xlws.FILTER(OrderDetails!A53:E2207,OrderDetails!A53:A2207=A53), 0, 3) * INDEX(_xlfn._xlws.FILTER(OrderDetails!A53:E2207,OrderDetails!A53:A2207=A53), 0, 4))</f>
        <v>349.5</v>
      </c>
      <c r="F53">
        <v>350</v>
      </c>
    </row>
    <row r="54" spans="1:6" x14ac:dyDescent="0.2">
      <c r="A54">
        <v>10300</v>
      </c>
      <c r="E54" cm="1">
        <f t="array" ref="E54">SUM(INDEX(_xlfn._xlws.FILTER(OrderDetails!A54:E2208,OrderDetails!A54:A2208=A54), 0, 3) * INDEX(_xlfn._xlws.FILTER(OrderDetails!A54:E2208,OrderDetails!A54:A2208=A54), 0, 4))</f>
        <v>608</v>
      </c>
      <c r="F54">
        <v>608</v>
      </c>
    </row>
    <row r="55" spans="1:6" x14ac:dyDescent="0.2">
      <c r="A55">
        <v>10301</v>
      </c>
      <c r="E55" cm="1">
        <f t="array" ref="E55">SUM(INDEX(_xlfn._xlws.FILTER(OrderDetails!A55:E2209,OrderDetails!A55:A2209=A55), 0, 3) * INDEX(_xlfn._xlws.FILTER(OrderDetails!A55:E2209,OrderDetails!A55:A2209=A55), 0, 4))</f>
        <v>755</v>
      </c>
      <c r="F55">
        <v>755</v>
      </c>
    </row>
    <row r="56" spans="1:6" x14ac:dyDescent="0.2">
      <c r="A56">
        <v>10302</v>
      </c>
      <c r="E56" cm="1">
        <f t="array" ref="E56">SUM(INDEX(_xlfn._xlws.FILTER(OrderDetails!A56:E2210,OrderDetails!A56:A2210=A56), 0, 3) * INDEX(_xlfn._xlws.FILTER(OrderDetails!A56:E2210,OrderDetails!A56:A2210=A56), 0, 4))</f>
        <v>2708.7999999999997</v>
      </c>
      <c r="F56">
        <v>2709</v>
      </c>
    </row>
    <row r="57" spans="1:6" x14ac:dyDescent="0.2">
      <c r="A57">
        <v>10303</v>
      </c>
      <c r="E57" cm="1">
        <f t="array" ref="E57">SUM(INDEX(_xlfn._xlws.FILTER(OrderDetails!A57:E2211,OrderDetails!A57:A2211=A57), 0, 3) * INDEX(_xlfn._xlws.FILTER(OrderDetails!A57:E2211,OrderDetails!A57:A2211=A57), 0, 4))</f>
        <v>1242</v>
      </c>
      <c r="F57">
        <v>1242</v>
      </c>
    </row>
    <row r="58" spans="1:6" x14ac:dyDescent="0.2">
      <c r="A58">
        <v>10304</v>
      </c>
      <c r="E58" cm="1">
        <f t="array" ref="E58">SUM(INDEX(_xlfn._xlws.FILTER(OrderDetails!A58:E2212,OrderDetails!A58:A2212=A58), 0, 3) * INDEX(_xlfn._xlws.FILTER(OrderDetails!A58:E2212,OrderDetails!A58:A2212=A58), 0, 4))</f>
        <v>954.4</v>
      </c>
      <c r="F58">
        <v>954</v>
      </c>
    </row>
    <row r="59" spans="1:6" x14ac:dyDescent="0.2">
      <c r="A59">
        <v>10305</v>
      </c>
      <c r="E59" cm="1">
        <f t="array" ref="E59">SUM(INDEX(_xlfn._xlws.FILTER(OrderDetails!A59:E2213,OrderDetails!A59:A2213=A59), 0, 3) * INDEX(_xlfn._xlws.FILTER(OrderDetails!A59:E2213,OrderDetails!A59:A2213=A59), 0, 4))</f>
        <v>4157</v>
      </c>
      <c r="F59">
        <v>4157</v>
      </c>
    </row>
    <row r="60" spans="1:6" x14ac:dyDescent="0.2">
      <c r="A60">
        <v>10306</v>
      </c>
      <c r="E60" cm="1">
        <f t="array" ref="E60">SUM(INDEX(_xlfn._xlws.FILTER(OrderDetails!A60:E2214,OrderDetails!A60:A2214=A60), 0, 3) * INDEX(_xlfn._xlws.FILTER(OrderDetails!A60:E2214,OrderDetails!A60:A2214=A60), 0, 4))</f>
        <v>498.5</v>
      </c>
      <c r="F60">
        <v>498</v>
      </c>
    </row>
    <row r="61" spans="1:6" x14ac:dyDescent="0.2">
      <c r="A61">
        <v>10307</v>
      </c>
      <c r="E61" cm="1">
        <f t="array" ref="E61">SUM(INDEX(_xlfn._xlws.FILTER(OrderDetails!A61:E2215,OrderDetails!A61:A2215=A61), 0, 3) * INDEX(_xlfn._xlws.FILTER(OrderDetails!A61:E2215,OrderDetails!A61:A2215=A61), 0, 4))</f>
        <v>424</v>
      </c>
      <c r="F61">
        <v>424</v>
      </c>
    </row>
    <row r="62" spans="1:6" x14ac:dyDescent="0.2">
      <c r="A62">
        <v>10308</v>
      </c>
      <c r="E62" cm="1">
        <f t="array" ref="E62">SUM(INDEX(_xlfn._xlws.FILTER(OrderDetails!A62:E2216,OrderDetails!A62:A2216=A62), 0, 3) * INDEX(_xlfn._xlws.FILTER(OrderDetails!A62:E2216,OrderDetails!A62:A2216=A62), 0, 4))</f>
        <v>88.8</v>
      </c>
      <c r="F62">
        <v>89</v>
      </c>
    </row>
    <row r="63" spans="1:6" x14ac:dyDescent="0.2">
      <c r="A63">
        <v>10309</v>
      </c>
      <c r="E63" cm="1">
        <f t="array" ref="E63">SUM(INDEX(_xlfn._xlws.FILTER(OrderDetails!A63:E2217,OrderDetails!A63:A2217=A63), 0, 3) * INDEX(_xlfn._xlws.FILTER(OrderDetails!A63:E2217,OrderDetails!A63:A2217=A63), 0, 4))</f>
        <v>1762</v>
      </c>
      <c r="F63">
        <v>1762</v>
      </c>
    </row>
    <row r="64" spans="1:6" x14ac:dyDescent="0.2">
      <c r="A64">
        <v>10310</v>
      </c>
      <c r="E64" cm="1">
        <f t="array" ref="E64">SUM(INDEX(_xlfn._xlws.FILTER(OrderDetails!A64:E2218,OrderDetails!A64:A2218=A64), 0, 3) * INDEX(_xlfn._xlws.FILTER(OrderDetails!A64:E2218,OrderDetails!A64:A2218=A64), 0, 4))</f>
        <v>336</v>
      </c>
      <c r="F64">
        <v>336</v>
      </c>
    </row>
    <row r="65" spans="1:6" x14ac:dyDescent="0.2">
      <c r="A65">
        <v>10311</v>
      </c>
      <c r="E65" cm="1">
        <f t="array" ref="E65">SUM(INDEX(_xlfn._xlws.FILTER(OrderDetails!A65:E2219,OrderDetails!A65:A2219=A65), 0, 3) * INDEX(_xlfn._xlws.FILTER(OrderDetails!A65:E2219,OrderDetails!A65:A2219=A65), 0, 4))</f>
        <v>268.79999999999995</v>
      </c>
      <c r="F65">
        <v>269</v>
      </c>
    </row>
    <row r="66" spans="1:6" x14ac:dyDescent="0.2">
      <c r="A66">
        <v>10312</v>
      </c>
      <c r="E66" cm="1">
        <f t="array" ref="E66">SUM(INDEX(_xlfn._xlws.FILTER(OrderDetails!A66:E2220,OrderDetails!A66:A2220=A66), 0, 3) * INDEX(_xlfn._xlws.FILTER(OrderDetails!A66:E2220,OrderDetails!A66:A2220=A66), 0, 4))</f>
        <v>1614.8</v>
      </c>
      <c r="F66">
        <v>1615</v>
      </c>
    </row>
    <row r="67" spans="1:6" x14ac:dyDescent="0.2">
      <c r="A67">
        <v>10313</v>
      </c>
      <c r="E67" cm="1">
        <f t="array" ref="E67">SUM(INDEX(_xlfn._xlws.FILTER(OrderDetails!A67:E2221,OrderDetails!A67:A2221=A67), 0, 3) * INDEX(_xlfn._xlws.FILTER(OrderDetails!A67:E2221,OrderDetails!A67:A2221=A67), 0, 4))</f>
        <v>182.39999999999998</v>
      </c>
      <c r="F67">
        <v>182</v>
      </c>
    </row>
    <row r="68" spans="1:6" x14ac:dyDescent="0.2">
      <c r="A68">
        <v>10314</v>
      </c>
      <c r="E68" cm="1">
        <f t="array" ref="E68">SUM(INDEX(_xlfn._xlws.FILTER(OrderDetails!A68:E2222,OrderDetails!A68:A2222=A68), 0, 3) * INDEX(_xlfn._xlws.FILTER(OrderDetails!A68:E2222,OrderDetails!A68:A2222=A68), 0, 4))</f>
        <v>2327</v>
      </c>
      <c r="F68">
        <v>2327</v>
      </c>
    </row>
    <row r="69" spans="1:6" x14ac:dyDescent="0.2">
      <c r="A69">
        <v>10315</v>
      </c>
      <c r="E69" cm="1">
        <f t="array" ref="E69">SUM(INDEX(_xlfn._xlws.FILTER(OrderDetails!A69:E2223,OrderDetails!A69:A2223=A69), 0, 3) * INDEX(_xlfn._xlws.FILTER(OrderDetails!A69:E2223,OrderDetails!A69:A2223=A69), 0, 4))</f>
        <v>516.79999999999995</v>
      </c>
      <c r="F69">
        <v>517</v>
      </c>
    </row>
    <row r="70" spans="1:6" x14ac:dyDescent="0.2">
      <c r="A70">
        <v>10316</v>
      </c>
      <c r="E70" cm="1">
        <f t="array" ref="E70">SUM(INDEX(_xlfn._xlws.FILTER(OrderDetails!A70:E2224,OrderDetails!A70:A2224=A70), 0, 3) * INDEX(_xlfn._xlws.FILTER(OrderDetails!A70:E2224,OrderDetails!A70:A2224=A70), 0, 4))</f>
        <v>2835</v>
      </c>
      <c r="F70">
        <v>2835</v>
      </c>
    </row>
    <row r="71" spans="1:6" x14ac:dyDescent="0.2">
      <c r="A71">
        <v>10317</v>
      </c>
      <c r="E71" cm="1">
        <f t="array" ref="E71">SUM(INDEX(_xlfn._xlws.FILTER(OrderDetails!A71:E2225,OrderDetails!A71:A2225=A71), 0, 3) * INDEX(_xlfn._xlws.FILTER(OrderDetails!A71:E2225,OrderDetails!A71:A2225=A71), 0, 4))</f>
        <v>288</v>
      </c>
      <c r="F71">
        <v>288</v>
      </c>
    </row>
    <row r="72" spans="1:6" x14ac:dyDescent="0.2">
      <c r="A72">
        <v>10318</v>
      </c>
      <c r="E72" cm="1">
        <f t="array" ref="E72">SUM(INDEX(_xlfn._xlws.FILTER(OrderDetails!A72:E2226,OrderDetails!A72:A2226=A72), 0, 3) * INDEX(_xlfn._xlws.FILTER(OrderDetails!A72:E2226,OrderDetails!A72:A2226=A72), 0, 4))</f>
        <v>240.4</v>
      </c>
      <c r="F72">
        <v>240</v>
      </c>
    </row>
    <row r="73" spans="1:6" x14ac:dyDescent="0.2">
      <c r="A73">
        <v>10319</v>
      </c>
      <c r="E73" cm="1">
        <f t="array" ref="E73">SUM(INDEX(_xlfn._xlws.FILTER(OrderDetails!A73:E2227,OrderDetails!A73:A2227=A73), 0, 3) * INDEX(_xlfn._xlws.FILTER(OrderDetails!A73:E2227,OrderDetails!A73:A2227=A73), 0, 4))</f>
        <v>1191.1999999999998</v>
      </c>
      <c r="F73">
        <v>1192</v>
      </c>
    </row>
    <row r="74" spans="1:6" x14ac:dyDescent="0.2">
      <c r="A74">
        <v>10320</v>
      </c>
      <c r="E74" cm="1">
        <f t="array" ref="E74">SUM(INDEX(_xlfn._xlws.FILTER(OrderDetails!A74:E2228,OrderDetails!A74:A2228=A74), 0, 3) * INDEX(_xlfn._xlws.FILTER(OrderDetails!A74:E2228,OrderDetails!A74:A2228=A74), 0, 4))</f>
        <v>516</v>
      </c>
      <c r="F74">
        <v>516</v>
      </c>
    </row>
    <row r="75" spans="1:6" x14ac:dyDescent="0.2">
      <c r="A75">
        <v>10321</v>
      </c>
      <c r="E75" cm="1">
        <f t="array" ref="E75">SUM(INDEX(_xlfn._xlws.FILTER(OrderDetails!A75:E2229,OrderDetails!A75:A2229=A75), 0, 3) * INDEX(_xlfn._xlws.FILTER(OrderDetails!A75:E2229,OrderDetails!A75:A2229=A75), 0, 4))</f>
        <v>144</v>
      </c>
      <c r="F75">
        <v>144</v>
      </c>
    </row>
    <row r="76" spans="1:6" x14ac:dyDescent="0.2">
      <c r="A76">
        <v>10322</v>
      </c>
      <c r="E76" cm="1">
        <f t="array" ref="E76">SUM(INDEX(_xlfn._xlws.FILTER(OrderDetails!A76:E2230,OrderDetails!A76:A2230=A76), 0, 3) * INDEX(_xlfn._xlws.FILTER(OrderDetails!A76:E2230,OrderDetails!A76:A2230=A76), 0, 4))</f>
        <v>112</v>
      </c>
      <c r="F76">
        <v>112</v>
      </c>
    </row>
    <row r="77" spans="1:6" x14ac:dyDescent="0.2">
      <c r="A77">
        <v>10323</v>
      </c>
      <c r="E77" cm="1">
        <f t="array" ref="E77">SUM(INDEX(_xlfn._xlws.FILTER(OrderDetails!A77:E2231,OrderDetails!A77:A2231=A77), 0, 3) * INDEX(_xlfn._xlws.FILTER(OrderDetails!A77:E2231,OrderDetails!A77:A2231=A77), 0, 4))</f>
        <v>164.4</v>
      </c>
      <c r="F77">
        <v>165</v>
      </c>
    </row>
    <row r="78" spans="1:6" x14ac:dyDescent="0.2">
      <c r="A78">
        <v>10324</v>
      </c>
      <c r="E78" cm="1">
        <f t="array" ref="E78">SUM(INDEX(_xlfn._xlws.FILTER(OrderDetails!A78:E2232,OrderDetails!A78:A2232=A78), 0, 3) * INDEX(_xlfn._xlws.FILTER(OrderDetails!A78:E2232,OrderDetails!A78:A2232=A78), 0, 4))</f>
        <v>6155.9</v>
      </c>
      <c r="F78">
        <v>6156</v>
      </c>
    </row>
    <row r="79" spans="1:6" x14ac:dyDescent="0.2">
      <c r="A79">
        <v>10325</v>
      </c>
      <c r="E79" cm="1">
        <f t="array" ref="E79">SUM(INDEX(_xlfn._xlws.FILTER(OrderDetails!A79:E2233,OrderDetails!A79:A2233=A79), 0, 3) * INDEX(_xlfn._xlws.FILTER(OrderDetails!A79:E2233,OrderDetails!A79:A2233=A79), 0, 4))</f>
        <v>1497</v>
      </c>
      <c r="F79">
        <v>1497</v>
      </c>
    </row>
    <row r="80" spans="1:6" x14ac:dyDescent="0.2">
      <c r="A80">
        <v>10326</v>
      </c>
      <c r="E80" cm="1">
        <f t="array" ref="E80">SUM(INDEX(_xlfn._xlws.FILTER(OrderDetails!A80:E2234,OrderDetails!A80:A2234=A80), 0, 3) * INDEX(_xlfn._xlws.FILTER(OrderDetails!A80:E2234,OrderDetails!A80:A2234=A80), 0, 4))</f>
        <v>982</v>
      </c>
      <c r="F80">
        <v>982</v>
      </c>
    </row>
    <row r="81" spans="1:6" x14ac:dyDescent="0.2">
      <c r="A81">
        <v>10327</v>
      </c>
      <c r="E81" cm="1">
        <f t="array" ref="E81">SUM(INDEX(_xlfn._xlws.FILTER(OrderDetails!A81:E2235,OrderDetails!A81:A2235=A81), 0, 3) * INDEX(_xlfn._xlws.FILTER(OrderDetails!A81:E2235,OrderDetails!A81:A2235=A81), 0, 4))</f>
        <v>2262.5</v>
      </c>
      <c r="F81">
        <v>2262</v>
      </c>
    </row>
    <row r="82" spans="1:6" x14ac:dyDescent="0.2">
      <c r="A82">
        <v>10328</v>
      </c>
      <c r="E82" cm="1">
        <f t="array" ref="E82">SUM(INDEX(_xlfn._xlws.FILTER(OrderDetails!A82:E2236,OrderDetails!A82:A2236=A82), 0, 3) * INDEX(_xlfn._xlws.FILTER(OrderDetails!A82:E2236,OrderDetails!A82:A2236=A82), 0, 4))</f>
        <v>1168</v>
      </c>
      <c r="F82">
        <v>1168</v>
      </c>
    </row>
    <row r="83" spans="1:6" x14ac:dyDescent="0.2">
      <c r="A83">
        <v>10329</v>
      </c>
      <c r="E83" cm="1">
        <f t="array" ref="E83">SUM(INDEX(_xlfn._xlws.FILTER(OrderDetails!A83:E2237,OrderDetails!A83:A2237=A83), 0, 3) * INDEX(_xlfn._xlws.FILTER(OrderDetails!A83:E2237,OrderDetails!A83:A2237=A83), 0, 4))</f>
        <v>4819.4000000000005</v>
      </c>
      <c r="F83">
        <v>4820</v>
      </c>
    </row>
    <row r="84" spans="1:6" x14ac:dyDescent="0.2">
      <c r="A84">
        <v>10330</v>
      </c>
      <c r="E84" cm="1">
        <f t="array" ref="E84">SUM(INDEX(_xlfn._xlws.FILTER(OrderDetails!A84:E2238,OrderDetails!A84:A2238=A84), 0, 3) * INDEX(_xlfn._xlws.FILTER(OrderDetails!A84:E2238,OrderDetails!A84:A2238=A84), 0, 4))</f>
        <v>1940</v>
      </c>
      <c r="F84">
        <v>1940</v>
      </c>
    </row>
    <row r="85" spans="1:6" x14ac:dyDescent="0.2">
      <c r="A85">
        <v>10331</v>
      </c>
      <c r="E85" cm="1">
        <f t="array" ref="E85">SUM(INDEX(_xlfn._xlws.FILTER(OrderDetails!A85:E2239,OrderDetails!A85:A2239=A85), 0, 3) * INDEX(_xlfn._xlws.FILTER(OrderDetails!A85:E2239,OrderDetails!A85:A2239=A85), 0, 4))</f>
        <v>88.5</v>
      </c>
      <c r="F85">
        <v>88</v>
      </c>
    </row>
    <row r="86" spans="1:6" x14ac:dyDescent="0.2">
      <c r="A86">
        <v>10332</v>
      </c>
      <c r="E86" cm="1">
        <f t="array" ref="E86">SUM(INDEX(_xlfn._xlws.FILTER(OrderDetails!A86:E2240,OrderDetails!A86:A2240=A86), 0, 3) * INDEX(_xlfn._xlws.FILTER(OrderDetails!A86:E2240,OrderDetails!A86:A2240=A86), 0, 4))</f>
        <v>2233.6</v>
      </c>
      <c r="F86">
        <v>2234</v>
      </c>
    </row>
    <row r="87" spans="1:6" x14ac:dyDescent="0.2">
      <c r="A87">
        <v>10333</v>
      </c>
      <c r="E87" cm="1">
        <f t="array" ref="E87">SUM(INDEX(_xlfn._xlws.FILTER(OrderDetails!A87:E2241,OrderDetails!A87:A2241=A87), 0, 3) * INDEX(_xlfn._xlws.FILTER(OrderDetails!A87:E2241,OrderDetails!A87:A2241=A87), 0, 4))</f>
        <v>954</v>
      </c>
      <c r="F87">
        <v>954</v>
      </c>
    </row>
    <row r="88" spans="1:6" x14ac:dyDescent="0.2">
      <c r="A88">
        <v>10334</v>
      </c>
      <c r="E88" cm="1">
        <f t="array" ref="E88">SUM(INDEX(_xlfn._xlws.FILTER(OrderDetails!A88:E2242,OrderDetails!A88:A2242=A88), 0, 3) * INDEX(_xlfn._xlws.FILTER(OrderDetails!A88:E2242,OrderDetails!A88:A2242=A88), 0, 4))</f>
        <v>144.80000000000001</v>
      </c>
      <c r="F88">
        <v>145</v>
      </c>
    </row>
    <row r="89" spans="1:6" x14ac:dyDescent="0.2">
      <c r="A89">
        <v>10335</v>
      </c>
      <c r="E89" cm="1">
        <f t="array" ref="E89">SUM(INDEX(_xlfn._xlws.FILTER(OrderDetails!A89:E2243,OrderDetails!A89:A2243=A89), 0, 3) * INDEX(_xlfn._xlws.FILTER(OrderDetails!A89:E2243,OrderDetails!A89:A2243=A89), 0, 4))</f>
        <v>2545.1999999999998</v>
      </c>
      <c r="F89">
        <v>2545</v>
      </c>
    </row>
    <row r="90" spans="1:6" x14ac:dyDescent="0.2">
      <c r="A90">
        <v>10336</v>
      </c>
      <c r="E90" cm="1">
        <f t="array" ref="E90">SUM(INDEX(_xlfn._xlws.FILTER(OrderDetails!A90:E2244,OrderDetails!A90:A2244=A90), 0, 3) * INDEX(_xlfn._xlws.FILTER(OrderDetails!A90:E2244,OrderDetails!A90:A2244=A90), 0, 4))</f>
        <v>316.8</v>
      </c>
      <c r="F90">
        <v>317</v>
      </c>
    </row>
    <row r="91" spans="1:6" x14ac:dyDescent="0.2">
      <c r="A91">
        <v>10337</v>
      </c>
      <c r="E91" cm="1">
        <f t="array" ref="E91">SUM(INDEX(_xlfn._xlws.FILTER(OrderDetails!A91:E2245,OrderDetails!A91:A2245=A91), 0, 3) * INDEX(_xlfn._xlws.FILTER(OrderDetails!A91:E2245,OrderDetails!A91:A2245=A91), 0, 4))</f>
        <v>2467</v>
      </c>
      <c r="F91">
        <v>2467</v>
      </c>
    </row>
    <row r="92" spans="1:6" x14ac:dyDescent="0.2">
      <c r="A92">
        <v>10338</v>
      </c>
      <c r="E92" cm="1">
        <f t="array" ref="E92">SUM(INDEX(_xlfn._xlws.FILTER(OrderDetails!A92:E2246,OrderDetails!A92:A2246=A92), 0, 3) * INDEX(_xlfn._xlws.FILTER(OrderDetails!A92:E2246,OrderDetails!A92:A2246=A92), 0, 4))</f>
        <v>934.5</v>
      </c>
      <c r="F92">
        <v>934</v>
      </c>
    </row>
    <row r="93" spans="1:6" x14ac:dyDescent="0.2">
      <c r="A93">
        <v>10339</v>
      </c>
      <c r="E93" cm="1">
        <f t="array" ref="E93">SUM(INDEX(_xlfn._xlws.FILTER(OrderDetails!A93:E2247,OrderDetails!A93:A2247=A93), 0, 3) * INDEX(_xlfn._xlws.FILTER(OrderDetails!A93:E2247,OrderDetails!A93:A2247=A93), 0, 4))</f>
        <v>3463.2</v>
      </c>
      <c r="F93">
        <v>3463</v>
      </c>
    </row>
    <row r="94" spans="1:6" x14ac:dyDescent="0.2">
      <c r="A94">
        <v>10340</v>
      </c>
      <c r="E94" cm="1">
        <f t="array" ref="E94">SUM(INDEX(_xlfn._xlws.FILTER(OrderDetails!A94:E2248,OrderDetails!A94:A2248=A94), 0, 3) * INDEX(_xlfn._xlws.FILTER(OrderDetails!A94:E2248,OrderDetails!A94:A2248=A94), 0, 4))</f>
        <v>2564.4</v>
      </c>
      <c r="F94">
        <v>2564</v>
      </c>
    </row>
    <row r="95" spans="1:6" x14ac:dyDescent="0.2">
      <c r="A95">
        <v>10341</v>
      </c>
      <c r="E95" cm="1">
        <f t="array" ref="E95">SUM(INDEX(_xlfn._xlws.FILTER(OrderDetails!A95:E2249,OrderDetails!A95:A2249=A95), 0, 3) * INDEX(_xlfn._xlws.FILTER(OrderDetails!A95:E2249,OrderDetails!A95:A2249=A95), 0, 4))</f>
        <v>412</v>
      </c>
      <c r="F95">
        <v>412</v>
      </c>
    </row>
    <row r="96" spans="1:6" x14ac:dyDescent="0.2">
      <c r="A96">
        <v>10342</v>
      </c>
      <c r="E96" cm="1">
        <f t="array" ref="E96">SUM(INDEX(_xlfn._xlws.FILTER(OrderDetails!A96:E2250,OrderDetails!A96:A2250=A96), 0, 3) * INDEX(_xlfn._xlws.FILTER(OrderDetails!A96:E2250,OrderDetails!A96:A2250=A96), 0, 4))</f>
        <v>2300.8000000000002</v>
      </c>
      <c r="F96">
        <v>2301</v>
      </c>
    </row>
    <row r="97" spans="1:6" x14ac:dyDescent="0.2">
      <c r="A97">
        <v>10343</v>
      </c>
      <c r="E97" cm="1">
        <f t="array" ref="E97">SUM(INDEX(_xlfn._xlws.FILTER(OrderDetails!A97:E2251,OrderDetails!A97:A2251=A97), 0, 3) * INDEX(_xlfn._xlws.FILTER(OrderDetails!A97:E2251,OrderDetails!A97:A2251=A97), 0, 4))</f>
        <v>1586</v>
      </c>
      <c r="F97">
        <v>1586</v>
      </c>
    </row>
    <row r="98" spans="1:6" x14ac:dyDescent="0.2">
      <c r="A98">
        <v>10344</v>
      </c>
      <c r="E98" cm="1">
        <f t="array" ref="E98">SUM(INDEX(_xlfn._xlws.FILTER(OrderDetails!A98:E2252,OrderDetails!A98:A2252=A98), 0, 3) * INDEX(_xlfn._xlws.FILTER(OrderDetails!A98:E2252,OrderDetails!A98:A2252=A98), 0, 4))</f>
        <v>2856</v>
      </c>
      <c r="F98">
        <v>2856</v>
      </c>
    </row>
    <row r="99" spans="1:6" x14ac:dyDescent="0.2">
      <c r="A99">
        <v>10345</v>
      </c>
      <c r="E99" cm="1">
        <f t="array" ref="E99">SUM(INDEX(_xlfn._xlws.FILTER(OrderDetails!A99:E2253,OrderDetails!A99:A2253=A99), 0, 3) * INDEX(_xlfn._xlws.FILTER(OrderDetails!A99:E2253,OrderDetails!A99:A2253=A99), 0, 4))</f>
        <v>2924.8</v>
      </c>
      <c r="F99">
        <v>2925</v>
      </c>
    </row>
    <row r="100" spans="1:6" x14ac:dyDescent="0.2">
      <c r="A100">
        <v>10346</v>
      </c>
      <c r="E100" cm="1">
        <f t="array" ref="E100">SUM(INDEX(_xlfn._xlws.FILTER(OrderDetails!A100:E2254,OrderDetails!A100:A2254=A100), 0, 3) * INDEX(_xlfn._xlws.FILTER(OrderDetails!A100:E2254,OrderDetails!A100:A2254=A100), 0, 4))</f>
        <v>1731.2</v>
      </c>
      <c r="F100">
        <v>1731</v>
      </c>
    </row>
    <row r="101" spans="1:6" x14ac:dyDescent="0.2">
      <c r="A101">
        <v>10347</v>
      </c>
      <c r="E101" cm="1">
        <f t="array" ref="E101">SUM(INDEX(_xlfn._xlws.FILTER(OrderDetails!A101:E2255,OrderDetails!A101:A2255=A101), 0, 3) * INDEX(_xlfn._xlws.FILTER(OrderDetails!A101:E2255,OrderDetails!A101:A2255=A101), 0, 4))</f>
        <v>928</v>
      </c>
      <c r="F101">
        <v>928</v>
      </c>
    </row>
    <row r="102" spans="1:6" x14ac:dyDescent="0.2">
      <c r="A102">
        <v>10348</v>
      </c>
      <c r="E102" cm="1">
        <f t="array" ref="E102">SUM(INDEX(_xlfn._xlws.FILTER(OrderDetails!A102:E2256,OrderDetails!A102:A2256=A102), 0, 3) * INDEX(_xlfn._xlws.FILTER(OrderDetails!A102:E2256,OrderDetails!A102:A2256=A102), 0, 4))</f>
        <v>396</v>
      </c>
      <c r="F102">
        <v>396</v>
      </c>
    </row>
    <row r="103" spans="1:6" x14ac:dyDescent="0.2">
      <c r="A103">
        <v>10349</v>
      </c>
      <c r="E103" cm="1">
        <f t="array" ref="E103">SUM(INDEX(_xlfn._xlws.FILTER(OrderDetails!A103:E2257,OrderDetails!A103:A2257=A103), 0, 3) * INDEX(_xlfn._xlws.FILTER(OrderDetails!A103:E2257,OrderDetails!A103:A2257=A103), 0, 4))</f>
        <v>141.60000000000002</v>
      </c>
      <c r="F103">
        <v>142</v>
      </c>
    </row>
    <row r="104" spans="1:6" x14ac:dyDescent="0.2">
      <c r="A104">
        <v>10350</v>
      </c>
      <c r="E104" cm="1">
        <f t="array" ref="E104">SUM(INDEX(_xlfn._xlws.FILTER(OrderDetails!A104:E2258,OrderDetails!A104:A2258=A104), 0, 3) * INDEX(_xlfn._xlws.FILTER(OrderDetails!A104:E2258,OrderDetails!A104:A2258=A104), 0, 4))</f>
        <v>713.4</v>
      </c>
      <c r="F104">
        <v>713</v>
      </c>
    </row>
    <row r="105" spans="1:6" x14ac:dyDescent="0.2">
      <c r="A105">
        <v>10351</v>
      </c>
      <c r="E105" cm="1">
        <f t="array" ref="E105">SUM(INDEX(_xlfn._xlws.FILTER(OrderDetails!A105:E2259,OrderDetails!A105:A2259=A105), 0, 3) * INDEX(_xlfn._xlws.FILTER(OrderDetails!A105:E2259,OrderDetails!A105:A2259=A105), 0, 4))</f>
        <v>5677.6</v>
      </c>
      <c r="F105">
        <v>5678</v>
      </c>
    </row>
    <row r="106" spans="1:6" x14ac:dyDescent="0.2">
      <c r="A106">
        <v>10352</v>
      </c>
      <c r="E106" cm="1">
        <f t="array" ref="E106">SUM(INDEX(_xlfn._xlws.FILTER(OrderDetails!A106:E2260,OrderDetails!A106:A2260=A106), 0, 3) * INDEX(_xlfn._xlws.FILTER(OrderDetails!A106:E2260,OrderDetails!A106:A2260=A106), 0, 4))</f>
        <v>154</v>
      </c>
      <c r="F106">
        <v>154</v>
      </c>
    </row>
    <row r="107" spans="1:6" x14ac:dyDescent="0.2">
      <c r="A107">
        <v>10353</v>
      </c>
      <c r="E107" cm="1">
        <f t="array" ref="E107">SUM(INDEX(_xlfn._xlws.FILTER(OrderDetails!A107:E2261,OrderDetails!A107:A2261=A107), 0, 3) * INDEX(_xlfn._xlws.FILTER(OrderDetails!A107:E2261,OrderDetails!A107:A2261=A107), 0, 4))</f>
        <v>10741.6</v>
      </c>
      <c r="F107">
        <v>10742</v>
      </c>
    </row>
    <row r="108" spans="1:6" x14ac:dyDescent="0.2">
      <c r="A108">
        <v>10354</v>
      </c>
      <c r="E108" cm="1">
        <f t="array" ref="E108">SUM(INDEX(_xlfn._xlws.FILTER(OrderDetails!A108:E2262,OrderDetails!A108:A2262=A108), 0, 3) * INDEX(_xlfn._xlws.FILTER(OrderDetails!A108:E2262,OrderDetails!A108:A2262=A108), 0, 4))</f>
        <v>568.79999999999995</v>
      </c>
      <c r="F108">
        <v>569</v>
      </c>
    </row>
    <row r="109" spans="1:6" x14ac:dyDescent="0.2">
      <c r="A109">
        <v>10355</v>
      </c>
      <c r="E109" cm="1">
        <f t="array" ref="E109">SUM(INDEX(_xlfn._xlws.FILTER(OrderDetails!A109:E2263,OrderDetails!A109:A2263=A109), 0, 3) * INDEX(_xlfn._xlws.FILTER(OrderDetails!A109:E2263,OrderDetails!A109:A2263=A109), 0, 4))</f>
        <v>480</v>
      </c>
      <c r="F109">
        <v>480</v>
      </c>
    </row>
    <row r="110" spans="1:6" x14ac:dyDescent="0.2">
      <c r="A110">
        <v>10356</v>
      </c>
      <c r="E110" cm="1">
        <f t="array" ref="E110">SUM(INDEX(_xlfn._xlws.FILTER(OrderDetails!A110:E2264,OrderDetails!A110:A2264=A110), 0, 3) * INDEX(_xlfn._xlws.FILTER(OrderDetails!A110:E2264,OrderDetails!A110:A2264=A110), 0, 4))</f>
        <v>1106.4000000000001</v>
      </c>
      <c r="F110">
        <v>1106</v>
      </c>
    </row>
    <row r="111" spans="1:6" x14ac:dyDescent="0.2">
      <c r="A111">
        <v>10357</v>
      </c>
      <c r="E111" cm="1">
        <f t="array" ref="E111">SUM(INDEX(_xlfn._xlws.FILTER(OrderDetails!A111:E2265,OrderDetails!A111:A2265=A111), 0, 3) * INDEX(_xlfn._xlws.FILTER(OrderDetails!A111:E2265,OrderDetails!A111:A2265=A111), 0, 4))</f>
        <v>1360</v>
      </c>
      <c r="F111">
        <v>1360</v>
      </c>
    </row>
    <row r="112" spans="1:6" x14ac:dyDescent="0.2">
      <c r="A112">
        <v>10358</v>
      </c>
      <c r="E112" cm="1">
        <f t="array" ref="E112">SUM(INDEX(_xlfn._xlws.FILTER(OrderDetails!A112:E2266,OrderDetails!A112:A2266=A112), 0, 3) * INDEX(_xlfn._xlws.FILTER(OrderDetails!A112:E2266,OrderDetails!A112:A2266=A112), 0, 4))</f>
        <v>452</v>
      </c>
      <c r="F112">
        <v>452</v>
      </c>
    </row>
    <row r="113" spans="1:6" x14ac:dyDescent="0.2">
      <c r="A113">
        <v>10359</v>
      </c>
      <c r="E113" cm="1">
        <f t="array" ref="E113">SUM(INDEX(_xlfn._xlws.FILTER(OrderDetails!A113:E2267,OrderDetails!A113:A2267=A113), 0, 3) * INDEX(_xlfn._xlws.FILTER(OrderDetails!A113:E2267,OrderDetails!A113:A2267=A113), 0, 4))</f>
        <v>3654.4</v>
      </c>
      <c r="F113">
        <v>3654</v>
      </c>
    </row>
    <row r="114" spans="1:6" x14ac:dyDescent="0.2">
      <c r="A114">
        <v>10360</v>
      </c>
      <c r="E114" cm="1">
        <f t="array" ref="E114">SUM(INDEX(_xlfn._xlws.FILTER(OrderDetails!A114:E2268,OrderDetails!A114:A2268=A114), 0, 3) * INDEX(_xlfn._xlws.FILTER(OrderDetails!A114:E2268,OrderDetails!A114:A2268=A114), 0, 4))</f>
        <v>7390.2</v>
      </c>
      <c r="F114">
        <v>7390</v>
      </c>
    </row>
    <row r="115" spans="1:6" x14ac:dyDescent="0.2">
      <c r="A115">
        <v>10361</v>
      </c>
      <c r="E115" cm="1">
        <f t="array" ref="E115">SUM(INDEX(_xlfn._xlws.FILTER(OrderDetails!A115:E2269,OrderDetails!A115:A2269=A115), 0, 3) * INDEX(_xlfn._xlws.FILTER(OrderDetails!A115:E2269,OrderDetails!A115:A2269=A115), 0, 4))</f>
        <v>2273.6</v>
      </c>
      <c r="F115">
        <v>2274</v>
      </c>
    </row>
    <row r="116" spans="1:6" x14ac:dyDescent="0.2">
      <c r="A116">
        <v>10362</v>
      </c>
      <c r="E116" cm="1">
        <f t="array" ref="E116">SUM(INDEX(_xlfn._xlws.FILTER(OrderDetails!A116:E2270,OrderDetails!A116:A2270=A116), 0, 3) * INDEX(_xlfn._xlws.FILTER(OrderDetails!A116:E2270,OrderDetails!A116:A2270=A116), 0, 4))</f>
        <v>1549.6</v>
      </c>
      <c r="F116">
        <v>1550</v>
      </c>
    </row>
    <row r="117" spans="1:6" x14ac:dyDescent="0.2">
      <c r="A117">
        <v>10363</v>
      </c>
      <c r="E117" cm="1">
        <f t="array" ref="E117">SUM(INDEX(_xlfn._xlws.FILTER(OrderDetails!A117:E2271,OrderDetails!A117:A2271=A117), 0, 3) * INDEX(_xlfn._xlws.FILTER(OrderDetails!A117:E2271,OrderDetails!A117:A2271=A117), 0, 4))</f>
        <v>447.2</v>
      </c>
      <c r="F117">
        <v>447</v>
      </c>
    </row>
    <row r="118" spans="1:6" x14ac:dyDescent="0.2">
      <c r="A118">
        <v>10364</v>
      </c>
      <c r="E118" cm="1">
        <f t="array" ref="E118">SUM(INDEX(_xlfn._xlws.FILTER(OrderDetails!A118:E2272,OrderDetails!A118:A2272=A118), 0, 3) * INDEX(_xlfn._xlws.FILTER(OrderDetails!A118:E2272,OrderDetails!A118:A2272=A118), 0, 4))</f>
        <v>950</v>
      </c>
      <c r="F118">
        <v>950</v>
      </c>
    </row>
    <row r="119" spans="1:6" x14ac:dyDescent="0.2">
      <c r="A119">
        <v>10365</v>
      </c>
      <c r="E119" cm="1">
        <f t="array" ref="E119">SUM(INDEX(_xlfn._xlws.FILTER(OrderDetails!A119:E2273,OrderDetails!A119:A2273=A119), 0, 3) * INDEX(_xlfn._xlws.FILTER(OrderDetails!A119:E2273,OrderDetails!A119:A2273=A119), 0, 4))</f>
        <v>403.20000000000005</v>
      </c>
      <c r="F119">
        <v>403</v>
      </c>
    </row>
    <row r="120" spans="1:6" x14ac:dyDescent="0.2">
      <c r="A120">
        <v>10366</v>
      </c>
      <c r="E120" cm="1">
        <f t="array" ref="E120">SUM(INDEX(_xlfn._xlws.FILTER(OrderDetails!A120:E2274,OrderDetails!A120:A2274=A120), 0, 3) * INDEX(_xlfn._xlws.FILTER(OrderDetails!A120:E2274,OrderDetails!A120:A2274=A120), 0, 4))</f>
        <v>136</v>
      </c>
      <c r="F120">
        <v>136</v>
      </c>
    </row>
    <row r="121" spans="1:6" x14ac:dyDescent="0.2">
      <c r="A121">
        <v>10367</v>
      </c>
      <c r="E121" cm="1">
        <f t="array" ref="E121">SUM(INDEX(_xlfn._xlws.FILTER(OrderDetails!A121:E2275,OrderDetails!A121:A2275=A121), 0, 3) * INDEX(_xlfn._xlws.FILTER(OrderDetails!A121:E2275,OrderDetails!A121:A2275=A121), 0, 4))</f>
        <v>834.19999999999993</v>
      </c>
      <c r="F121">
        <v>834</v>
      </c>
    </row>
    <row r="122" spans="1:6" x14ac:dyDescent="0.2">
      <c r="A122">
        <v>10368</v>
      </c>
      <c r="E122" cm="1">
        <f t="array" ref="E122">SUM(INDEX(_xlfn._xlws.FILTER(OrderDetails!A122:E2276,OrderDetails!A122:A2276=A122), 0, 3) * INDEX(_xlfn._xlws.FILTER(OrderDetails!A122:E2276,OrderDetails!A122:A2276=A122), 0, 4))</f>
        <v>1834.2</v>
      </c>
      <c r="F122">
        <v>1834</v>
      </c>
    </row>
    <row r="123" spans="1:6" x14ac:dyDescent="0.2">
      <c r="A123">
        <v>10369</v>
      </c>
      <c r="E123" cm="1">
        <f t="array" ref="E123">SUM(INDEX(_xlfn._xlws.FILTER(OrderDetails!A123:E2277,OrderDetails!A123:A2277=A123), 0, 3) * INDEX(_xlfn._xlws.FILTER(OrderDetails!A123:E2277,OrderDetails!A123:A2277=A123), 0, 4))</f>
        <v>2527.1999999999998</v>
      </c>
      <c r="F123">
        <v>2527</v>
      </c>
    </row>
    <row r="124" spans="1:6" x14ac:dyDescent="0.2">
      <c r="A124">
        <v>10370</v>
      </c>
      <c r="E124" cm="1">
        <f t="array" ref="E124">SUM(INDEX(_xlfn._xlws.FILTER(OrderDetails!A124:E2278,OrderDetails!A124:A2278=A124), 0, 3) * INDEX(_xlfn._xlws.FILTER(OrderDetails!A124:E2278,OrderDetails!A124:A2278=A124), 0, 4))</f>
        <v>1174</v>
      </c>
      <c r="F124">
        <v>1174</v>
      </c>
    </row>
    <row r="125" spans="1:6" x14ac:dyDescent="0.2">
      <c r="A125">
        <v>10371</v>
      </c>
      <c r="E125" cm="1">
        <f t="array" ref="E125">SUM(INDEX(_xlfn._xlws.FILTER(OrderDetails!A125:E2279,OrderDetails!A125:A2279=A125), 0, 3) * INDEX(_xlfn._xlws.FILTER(OrderDetails!A125:E2279,OrderDetails!A125:A2279=A125), 0, 4))</f>
        <v>91.199999999999989</v>
      </c>
      <c r="F125">
        <v>91</v>
      </c>
    </row>
    <row r="126" spans="1:6" x14ac:dyDescent="0.2">
      <c r="A126">
        <v>10372</v>
      </c>
      <c r="E126" cm="1">
        <f t="array" ref="E126">SUM(INDEX(_xlfn._xlws.FILTER(OrderDetails!A126:E2280,OrderDetails!A126:A2280=A126), 0, 3) * INDEX(_xlfn._xlws.FILTER(OrderDetails!A126:E2280,OrderDetails!A126:A2280=A126), 0, 4))</f>
        <v>12281.2</v>
      </c>
      <c r="F126">
        <v>12282</v>
      </c>
    </row>
    <row r="127" spans="1:6" x14ac:dyDescent="0.2">
      <c r="A127">
        <v>10373</v>
      </c>
      <c r="E127" cm="1">
        <f t="array" ref="E127">SUM(INDEX(_xlfn._xlws.FILTER(OrderDetails!A127:E2281,OrderDetails!A127:A2281=A127), 0, 3) * INDEX(_xlfn._xlws.FILTER(OrderDetails!A127:E2281,OrderDetails!A127:A2281=A127), 0, 4))</f>
        <v>1708</v>
      </c>
      <c r="F127">
        <v>1708</v>
      </c>
    </row>
    <row r="128" spans="1:6" x14ac:dyDescent="0.2">
      <c r="A128">
        <v>10374</v>
      </c>
      <c r="E128" cm="1">
        <f t="array" ref="E128">SUM(INDEX(_xlfn._xlws.FILTER(OrderDetails!A128:E2282,OrderDetails!A128:A2282=A128), 0, 3) * INDEX(_xlfn._xlws.FILTER(OrderDetails!A128:E2282,OrderDetails!A128:A2282=A128), 0, 4))</f>
        <v>459</v>
      </c>
      <c r="F128">
        <v>459</v>
      </c>
    </row>
    <row r="129" spans="1:6" x14ac:dyDescent="0.2">
      <c r="A129">
        <v>10375</v>
      </c>
      <c r="E129" cm="1">
        <f t="array" ref="E129">SUM(INDEX(_xlfn._xlws.FILTER(OrderDetails!A129:E2283,OrderDetails!A129:A2283=A129), 0, 3) * INDEX(_xlfn._xlws.FILTER(OrderDetails!A129:E2283,OrderDetails!A129:A2283=A129), 0, 4))</f>
        <v>338</v>
      </c>
      <c r="F129">
        <v>338</v>
      </c>
    </row>
    <row r="130" spans="1:6" x14ac:dyDescent="0.2">
      <c r="A130">
        <v>10376</v>
      </c>
      <c r="E130" cm="1">
        <f t="array" ref="E130">SUM(INDEX(_xlfn._xlws.FILTER(OrderDetails!A130:E2284,OrderDetails!A130:A2284=A130), 0, 3) * INDEX(_xlfn._xlws.FILTER(OrderDetails!A130:E2284,OrderDetails!A130:A2284=A130), 0, 4))</f>
        <v>420</v>
      </c>
      <c r="F130">
        <v>420</v>
      </c>
    </row>
    <row r="131" spans="1:6" x14ac:dyDescent="0.2">
      <c r="A131">
        <v>10377</v>
      </c>
      <c r="E131" cm="1">
        <f t="array" ref="E131">SUM(INDEX(_xlfn._xlws.FILTER(OrderDetails!A131:E2285,OrderDetails!A131:A2285=A131), 0, 3) * INDEX(_xlfn._xlws.FILTER(OrderDetails!A131:E2285,OrderDetails!A131:A2285=A131), 0, 4))</f>
        <v>1016</v>
      </c>
      <c r="F131">
        <v>1016</v>
      </c>
    </row>
    <row r="132" spans="1:6" x14ac:dyDescent="0.2">
      <c r="A132">
        <v>10378</v>
      </c>
      <c r="E132" cm="1">
        <f t="array" ref="E132">SUM(INDEX(_xlfn._xlws.FILTER(OrderDetails!A132:E2286,OrderDetails!A132:A2286=A132), 0, 3) * INDEX(_xlfn._xlws.FILTER(OrderDetails!A132:E2286,OrderDetails!A132:A2286=A132), 0, 4))</f>
        <v>103.19999999999999</v>
      </c>
      <c r="F132">
        <v>103</v>
      </c>
    </row>
    <row r="133" spans="1:6" x14ac:dyDescent="0.2">
      <c r="A133">
        <v>10379</v>
      </c>
      <c r="E133" cm="1">
        <f t="array" ref="E133">SUM(INDEX(_xlfn._xlws.FILTER(OrderDetails!A133:E2287,OrderDetails!A133:A2287=A133), 0, 3) * INDEX(_xlfn._xlws.FILTER(OrderDetails!A133:E2287,OrderDetails!A133:A2287=A133), 0, 4))</f>
        <v>959.2</v>
      </c>
      <c r="F133">
        <v>960</v>
      </c>
    </row>
    <row r="134" spans="1:6" x14ac:dyDescent="0.2">
      <c r="A134">
        <v>10380</v>
      </c>
      <c r="E134" cm="1">
        <f t="array" ref="E134">SUM(INDEX(_xlfn._xlws.FILTER(OrderDetails!A134:E2288,OrderDetails!A134:A2288=A134), 0, 3) * INDEX(_xlfn._xlws.FILTER(OrderDetails!A134:E2288,OrderDetails!A134:A2288=A134), 0, 4))</f>
        <v>1419.8</v>
      </c>
      <c r="F134">
        <v>1420</v>
      </c>
    </row>
    <row r="135" spans="1:6" x14ac:dyDescent="0.2">
      <c r="A135">
        <v>10381</v>
      </c>
      <c r="E135" cm="1">
        <f t="array" ref="E135">SUM(INDEX(_xlfn._xlws.FILTER(OrderDetails!A135:E2289,OrderDetails!A135:A2289=A135), 0, 3) * INDEX(_xlfn._xlws.FILTER(OrderDetails!A135:E2289,OrderDetails!A135:A2289=A135), 0, 4))</f>
        <v>112</v>
      </c>
      <c r="F135">
        <v>112</v>
      </c>
    </row>
    <row r="136" spans="1:6" x14ac:dyDescent="0.2">
      <c r="A136">
        <v>10382</v>
      </c>
      <c r="E136" cm="1">
        <f t="array" ref="E136">SUM(INDEX(_xlfn._xlws.FILTER(OrderDetails!A136:E2290,OrderDetails!A136:A2290=A136), 0, 3) * INDEX(_xlfn._xlws.FILTER(OrderDetails!A136:E2290,OrderDetails!A136:A2290=A136), 0, 4))</f>
        <v>2900</v>
      </c>
      <c r="F136">
        <v>2900</v>
      </c>
    </row>
    <row r="137" spans="1:6" x14ac:dyDescent="0.2">
      <c r="A137">
        <v>10383</v>
      </c>
      <c r="E137" cm="1">
        <f t="array" ref="E137">SUM(INDEX(_xlfn._xlws.FILTER(OrderDetails!A137:E2291,OrderDetails!A137:A2291=A137), 0, 3) * INDEX(_xlfn._xlws.FILTER(OrderDetails!A137:E2291,OrderDetails!A137:A2291=A137), 0, 4))</f>
        <v>899</v>
      </c>
      <c r="F137">
        <v>899</v>
      </c>
    </row>
    <row r="138" spans="1:6" x14ac:dyDescent="0.2">
      <c r="A138">
        <v>10384</v>
      </c>
      <c r="E138" cm="1">
        <f t="array" ref="E138">SUM(INDEX(_xlfn._xlws.FILTER(OrderDetails!A138:E2292,OrderDetails!A138:A2292=A138), 0, 3) * INDEX(_xlfn._xlws.FILTER(OrderDetails!A138:E2292,OrderDetails!A138:A2292=A138), 0, 4))</f>
        <v>2222.3999999999996</v>
      </c>
      <c r="F138">
        <v>2222</v>
      </c>
    </row>
    <row r="139" spans="1:6" x14ac:dyDescent="0.2">
      <c r="A139">
        <v>10385</v>
      </c>
      <c r="E139" cm="1">
        <f t="array" ref="E139">SUM(INDEX(_xlfn._xlws.FILTER(OrderDetails!A139:E2293,OrderDetails!A139:A2293=A139), 0, 3) * INDEX(_xlfn._xlws.FILTER(OrderDetails!A139:E2293,OrderDetails!A139:A2293=A139), 0, 4))</f>
        <v>864</v>
      </c>
      <c r="F139">
        <v>864</v>
      </c>
    </row>
    <row r="140" spans="1:6" x14ac:dyDescent="0.2">
      <c r="A140">
        <v>10386</v>
      </c>
      <c r="E140" cm="1">
        <f t="array" ref="E140">SUM(INDEX(_xlfn._xlws.FILTER(OrderDetails!A140:E2294,OrderDetails!A140:A2294=A140), 0, 3) * INDEX(_xlfn._xlws.FILTER(OrderDetails!A140:E2294,OrderDetails!A140:A2294=A140), 0, 4))</f>
        <v>166</v>
      </c>
      <c r="F140">
        <v>166</v>
      </c>
    </row>
    <row r="141" spans="1:6" x14ac:dyDescent="0.2">
      <c r="A141">
        <v>10387</v>
      </c>
      <c r="E141" cm="1">
        <f t="array" ref="E141">SUM(INDEX(_xlfn._xlws.FILTER(OrderDetails!A141:E2295,OrderDetails!A141:A2295=A141), 0, 3) * INDEX(_xlfn._xlws.FILTER(OrderDetails!A141:E2295,OrderDetails!A141:A2295=A141), 0, 4))</f>
        <v>1058.4000000000001</v>
      </c>
      <c r="F141">
        <v>1058</v>
      </c>
    </row>
    <row r="142" spans="1:6" x14ac:dyDescent="0.2">
      <c r="A142">
        <v>10388</v>
      </c>
      <c r="E142" cm="1">
        <f t="array" ref="E142">SUM(INDEX(_xlfn._xlws.FILTER(OrderDetails!A142:E2296,OrderDetails!A142:A2296=A142), 0, 3) * INDEX(_xlfn._xlws.FILTER(OrderDetails!A142:E2296,OrderDetails!A142:A2296=A142), 0, 4))</f>
        <v>1274</v>
      </c>
      <c r="F142">
        <v>1274</v>
      </c>
    </row>
    <row r="143" spans="1:6" x14ac:dyDescent="0.2">
      <c r="A143">
        <v>10389</v>
      </c>
      <c r="E143" cm="1">
        <f t="array" ref="E143">SUM(INDEX(_xlfn._xlws.FILTER(OrderDetails!A143:E2297,OrderDetails!A143:A2297=A143), 0, 3) * INDEX(_xlfn._xlws.FILTER(OrderDetails!A143:E2297,OrderDetails!A143:A2297=A143), 0, 4))</f>
        <v>1832.8</v>
      </c>
      <c r="F143">
        <v>1833</v>
      </c>
    </row>
    <row r="144" spans="1:6" x14ac:dyDescent="0.2">
      <c r="A144">
        <v>10390</v>
      </c>
      <c r="E144" cm="1">
        <f t="array" ref="E144">SUM(INDEX(_xlfn._xlws.FILTER(OrderDetails!A144:E2298,OrderDetails!A144:A2298=A144), 0, 3) * INDEX(_xlfn._xlws.FILTER(OrderDetails!A144:E2298,OrderDetails!A144:A2298=A144), 0, 4))</f>
        <v>2275.1999999999998</v>
      </c>
      <c r="F144">
        <v>2275</v>
      </c>
    </row>
    <row r="145" spans="1:6" x14ac:dyDescent="0.2">
      <c r="A145">
        <v>10391</v>
      </c>
      <c r="E145" cm="1">
        <f t="array" ref="E145">SUM(INDEX(_xlfn._xlws.FILTER(OrderDetails!A145:E2299,OrderDetails!A145:A2299=A145), 0, 3) * INDEX(_xlfn._xlws.FILTER(OrderDetails!A145:E2299,OrderDetails!A145:A2299=A145), 0, 4))</f>
        <v>86.399999999999991</v>
      </c>
      <c r="F145">
        <v>86</v>
      </c>
    </row>
    <row r="146" spans="1:6" x14ac:dyDescent="0.2">
      <c r="A146">
        <v>10392</v>
      </c>
      <c r="E146" cm="1">
        <f t="array" ref="E146">SUM(INDEX(_xlfn._xlws.FILTER(OrderDetails!A146:E2300,OrderDetails!A146:A2300=A146), 0, 3) * INDEX(_xlfn._xlws.FILTER(OrderDetails!A146:E2300,OrderDetails!A146:A2300=A146), 0, 4))</f>
        <v>1440</v>
      </c>
      <c r="F146">
        <v>1440</v>
      </c>
    </row>
    <row r="147" spans="1:6" x14ac:dyDescent="0.2">
      <c r="A147">
        <v>10393</v>
      </c>
      <c r="E147" cm="1">
        <f t="array" ref="E147">SUM(INDEX(_xlfn._xlws.FILTER(OrderDetails!A147:E2301,OrderDetails!A147:A2301=A147), 0, 3) * INDEX(_xlfn._xlws.FILTER(OrderDetails!A147:E2301,OrderDetails!A147:A2301=A147), 0, 4))</f>
        <v>3302.6000000000004</v>
      </c>
      <c r="F147">
        <v>3302</v>
      </c>
    </row>
    <row r="148" spans="1:6" x14ac:dyDescent="0.2">
      <c r="A148">
        <v>10394</v>
      </c>
      <c r="E148" cm="1">
        <f t="array" ref="E148">SUM(INDEX(_xlfn._xlws.FILTER(OrderDetails!A148:E2302,OrderDetails!A148:A2302=A148), 0, 3) * INDEX(_xlfn._xlws.FILTER(OrderDetails!A148:E2302,OrderDetails!A148:A2302=A148), 0, 4))</f>
        <v>442</v>
      </c>
      <c r="F148">
        <v>442</v>
      </c>
    </row>
    <row r="149" spans="1:6" x14ac:dyDescent="0.2">
      <c r="A149">
        <v>10395</v>
      </c>
      <c r="E149" cm="1">
        <f t="array" ref="E149">SUM(INDEX(_xlfn._xlws.FILTER(OrderDetails!A149:E2303,OrderDetails!A149:A2303=A149), 0, 3) * INDEX(_xlfn._xlws.FILTER(OrderDetails!A149:E2303,OrderDetails!A149:A2303=A149), 0, 4))</f>
        <v>2333.2000000000003</v>
      </c>
      <c r="F149">
        <v>2333</v>
      </c>
    </row>
    <row r="150" spans="1:6" x14ac:dyDescent="0.2">
      <c r="A150">
        <v>10396</v>
      </c>
      <c r="E150" cm="1">
        <f t="array" ref="E150">SUM(INDEX(_xlfn._xlws.FILTER(OrderDetails!A150:E2304,OrderDetails!A150:A2304=A150), 0, 3) * INDEX(_xlfn._xlws.FILTER(OrderDetails!A150:E2304,OrderDetails!A150:A2304=A150), 0, 4))</f>
        <v>1903.8000000000002</v>
      </c>
      <c r="F150">
        <v>1904</v>
      </c>
    </row>
    <row r="151" spans="1:6" x14ac:dyDescent="0.2">
      <c r="A151">
        <v>10397</v>
      </c>
      <c r="E151" cm="1">
        <f t="array" ref="E151">SUM(INDEX(_xlfn._xlws.FILTER(OrderDetails!A151:E2305,OrderDetails!A151:A2305=A151), 0, 3) * INDEX(_xlfn._xlws.FILTER(OrderDetails!A151:E2305,OrderDetails!A151:A2305=A151), 0, 4))</f>
        <v>843.19999999999993</v>
      </c>
      <c r="F151">
        <v>843</v>
      </c>
    </row>
    <row r="152" spans="1:6" x14ac:dyDescent="0.2">
      <c r="A152">
        <v>10398</v>
      </c>
      <c r="E152" cm="1">
        <f t="array" ref="E152">SUM(INDEX(_xlfn._xlws.FILTER(OrderDetails!A152:E2306,OrderDetails!A152:A2306=A152), 0, 3) * INDEX(_xlfn._xlws.FILTER(OrderDetails!A152:E2306,OrderDetails!A152:A2306=A152), 0, 4))</f>
        <v>2736</v>
      </c>
      <c r="F152">
        <v>2736</v>
      </c>
    </row>
    <row r="153" spans="1:6" x14ac:dyDescent="0.2">
      <c r="A153">
        <v>10399</v>
      </c>
      <c r="E153" cm="1">
        <f t="array" ref="E153">SUM(INDEX(_xlfn._xlws.FILTER(OrderDetails!A153:E2307,OrderDetails!A153:A2307=A153), 0, 3) * INDEX(_xlfn._xlws.FILTER(OrderDetails!A153:E2307,OrderDetails!A153:A2307=A153), 0, 4))</f>
        <v>1765.6</v>
      </c>
      <c r="F153">
        <v>1766</v>
      </c>
    </row>
    <row r="154" spans="1:6" x14ac:dyDescent="0.2">
      <c r="A154">
        <v>10400</v>
      </c>
      <c r="E154" cm="1">
        <f t="array" ref="E154">SUM(INDEX(_xlfn._xlws.FILTER(OrderDetails!A154:E2308,OrderDetails!A154:A2308=A154), 0, 3) * INDEX(_xlfn._xlws.FILTER(OrderDetails!A154:E2308,OrderDetails!A154:A2308=A154), 0, 4))</f>
        <v>3063</v>
      </c>
      <c r="F154">
        <v>3063</v>
      </c>
    </row>
    <row r="155" spans="1:6" x14ac:dyDescent="0.2">
      <c r="A155">
        <v>10401</v>
      </c>
      <c r="E155" cm="1">
        <f t="array" ref="E155">SUM(INDEX(_xlfn._xlws.FILTER(OrderDetails!A155:E2309,OrderDetails!A155:A2309=A155), 0, 3) * INDEX(_xlfn._xlws.FILTER(OrderDetails!A155:E2309,OrderDetails!A155:A2309=A155), 0, 4))</f>
        <v>3868.6</v>
      </c>
      <c r="F155">
        <v>3869</v>
      </c>
    </row>
    <row r="156" spans="1:6" x14ac:dyDescent="0.2">
      <c r="A156">
        <v>10402</v>
      </c>
      <c r="E156" cm="1">
        <f t="array" ref="E156">SUM(INDEX(_xlfn._xlws.FILTER(OrderDetails!A156:E2310,OrderDetails!A156:A2310=A156), 0, 3) * INDEX(_xlfn._xlws.FILTER(OrderDetails!A156:E2310,OrderDetails!A156:A2310=A156), 0, 4))</f>
        <v>2713.5</v>
      </c>
      <c r="F156">
        <v>2714</v>
      </c>
    </row>
    <row r="157" spans="1:6" x14ac:dyDescent="0.2">
      <c r="A157">
        <v>10403</v>
      </c>
      <c r="E157" cm="1">
        <f t="array" ref="E157">SUM(INDEX(_xlfn._xlws.FILTER(OrderDetails!A157:E2311,OrderDetails!A157:A2311=A157), 0, 3) * INDEX(_xlfn._xlws.FILTER(OrderDetails!A157:E2311,OrderDetails!A157:A2311=A157), 0, 4))</f>
        <v>1005.9000000000001</v>
      </c>
      <c r="F157">
        <v>1006</v>
      </c>
    </row>
    <row r="158" spans="1:6" x14ac:dyDescent="0.2">
      <c r="A158">
        <v>10404</v>
      </c>
      <c r="E158" cm="1">
        <f t="array" ref="E158">SUM(INDEX(_xlfn._xlws.FILTER(OrderDetails!A158:E2312,OrderDetails!A158:A2312=A158), 0, 3) * INDEX(_xlfn._xlws.FILTER(OrderDetails!A158:E2312,OrderDetails!A158:A2312=A158), 0, 4))</f>
        <v>1675</v>
      </c>
      <c r="F158">
        <v>1675</v>
      </c>
    </row>
    <row r="159" spans="1:6" x14ac:dyDescent="0.2">
      <c r="A159">
        <v>10405</v>
      </c>
      <c r="E159" cm="1">
        <f t="array" ref="E159">SUM(INDEX(_xlfn._xlws.FILTER(OrderDetails!A159:E2313,OrderDetails!A159:A2313=A159), 0, 3) * INDEX(_xlfn._xlws.FILTER(OrderDetails!A159:E2313,OrderDetails!A159:A2313=A159), 0, 4))</f>
        <v>400</v>
      </c>
      <c r="F159">
        <v>400</v>
      </c>
    </row>
    <row r="160" spans="1:6" x14ac:dyDescent="0.2">
      <c r="A160">
        <v>10406</v>
      </c>
      <c r="E160" cm="1">
        <f t="array" ref="E160">SUM(INDEX(_xlfn._xlws.FILTER(OrderDetails!A160:E2314,OrderDetails!A160:A2314=A160), 0, 3) * INDEX(_xlfn._xlws.FILTER(OrderDetails!A160:E2314,OrderDetails!A160:A2314=A160), 0, 4))</f>
        <v>2018.2</v>
      </c>
      <c r="F160">
        <v>2018</v>
      </c>
    </row>
    <row r="161" spans="1:6" x14ac:dyDescent="0.2">
      <c r="A161">
        <v>10407</v>
      </c>
      <c r="E161" cm="1">
        <f t="array" ref="E161">SUM(INDEX(_xlfn._xlws.FILTER(OrderDetails!A161:E2315,OrderDetails!A161:A2315=A161), 0, 3) * INDEX(_xlfn._xlws.FILTER(OrderDetails!A161:E2315,OrderDetails!A161:A2315=A161), 0, 4))</f>
        <v>1194</v>
      </c>
      <c r="F161">
        <v>1194</v>
      </c>
    </row>
    <row r="162" spans="1:6" x14ac:dyDescent="0.2">
      <c r="A162">
        <v>10408</v>
      </c>
      <c r="E162" cm="1">
        <f t="array" ref="E162">SUM(INDEX(_xlfn._xlws.FILTER(OrderDetails!A162:E2316,OrderDetails!A162:A2316=A162), 0, 3) * INDEX(_xlfn._xlws.FILTER(OrderDetails!A162:E2316,OrderDetails!A162:A2316=A162), 0, 4))</f>
        <v>1622.4</v>
      </c>
      <c r="F162">
        <v>1622</v>
      </c>
    </row>
    <row r="163" spans="1:6" x14ac:dyDescent="0.2">
      <c r="A163">
        <v>10409</v>
      </c>
      <c r="E163" cm="1">
        <f t="array" ref="E163">SUM(INDEX(_xlfn._xlws.FILTER(OrderDetails!A163:E2317,OrderDetails!A163:A2317=A163), 0, 3) * INDEX(_xlfn._xlws.FILTER(OrderDetails!A163:E2317,OrderDetails!A163:A2317=A163), 0, 4))</f>
        <v>319.20000000000005</v>
      </c>
      <c r="F163">
        <v>319</v>
      </c>
    </row>
    <row r="164" spans="1:6" x14ac:dyDescent="0.2">
      <c r="A164">
        <v>10410</v>
      </c>
      <c r="E164" cm="1">
        <f t="array" ref="E164">SUM(INDEX(_xlfn._xlws.FILTER(OrderDetails!A164:E2318,OrderDetails!A164:A2318=A164), 0, 3) * INDEX(_xlfn._xlws.FILTER(OrderDetails!A164:E2318,OrderDetails!A164:A2318=A164), 0, 4))</f>
        <v>802</v>
      </c>
      <c r="F164">
        <v>802</v>
      </c>
    </row>
    <row r="165" spans="1:6" x14ac:dyDescent="0.2">
      <c r="A165">
        <v>10411</v>
      </c>
      <c r="E165" cm="1">
        <f t="array" ref="E165">SUM(INDEX(_xlfn._xlws.FILTER(OrderDetails!A165:E2319,OrderDetails!A165:A2319=A165), 0, 3) * INDEX(_xlfn._xlws.FILTER(OrderDetails!A165:E2319,OrderDetails!A165:A2319=A165), 0, 4))</f>
        <v>1208.5</v>
      </c>
      <c r="F165">
        <v>1208</v>
      </c>
    </row>
    <row r="166" spans="1:6" x14ac:dyDescent="0.2">
      <c r="A166">
        <v>10412</v>
      </c>
      <c r="E166" cm="1">
        <f t="array" ref="E166">SUM(INDEX(_xlfn._xlws.FILTER(OrderDetails!A166:E2320,OrderDetails!A166:A2320=A166), 0, 3) * INDEX(_xlfn._xlws.FILTER(OrderDetails!A166:E2320,OrderDetails!A166:A2320=A166), 0, 4))</f>
        <v>372</v>
      </c>
      <c r="F166">
        <v>372</v>
      </c>
    </row>
    <row r="167" spans="1:6" x14ac:dyDescent="0.2">
      <c r="A167">
        <v>10413</v>
      </c>
      <c r="E167" cm="1">
        <f t="array" ref="E167">SUM(INDEX(_xlfn._xlws.FILTER(OrderDetails!A167:E2321,OrderDetails!A167:A2321=A167), 0, 3) * INDEX(_xlfn._xlws.FILTER(OrderDetails!A167:E2321,OrderDetails!A167:A2321=A167), 0, 4))</f>
        <v>2123.1999999999998</v>
      </c>
      <c r="F167">
        <v>2124</v>
      </c>
    </row>
    <row r="168" spans="1:6" x14ac:dyDescent="0.2">
      <c r="A168">
        <v>10414</v>
      </c>
      <c r="E168" cm="1">
        <f t="array" ref="E168">SUM(INDEX(_xlfn._xlws.FILTER(OrderDetails!A168:E2322,OrderDetails!A168:A2322=A168), 0, 3) * INDEX(_xlfn._xlws.FILTER(OrderDetails!A168:E2322,OrderDetails!A168:A2322=A168), 0, 4))</f>
        <v>231.4</v>
      </c>
      <c r="F168">
        <v>231</v>
      </c>
    </row>
    <row r="169" spans="1:6" x14ac:dyDescent="0.2">
      <c r="A169">
        <v>10415</v>
      </c>
      <c r="E169" cm="1">
        <f t="array" ref="E169">SUM(INDEX(_xlfn._xlws.FILTER(OrderDetails!A169:E2323,OrderDetails!A169:A2323=A169), 0, 3) * INDEX(_xlfn._xlws.FILTER(OrderDetails!A169:E2323,OrderDetails!A169:A2323=A169), 0, 4))</f>
        <v>102.4</v>
      </c>
      <c r="F169">
        <v>102</v>
      </c>
    </row>
    <row r="170" spans="1:6" x14ac:dyDescent="0.2">
      <c r="A170">
        <v>10416</v>
      </c>
      <c r="E170" cm="1">
        <f t="array" ref="E170">SUM(INDEX(_xlfn._xlws.FILTER(OrderDetails!A170:E2324,OrderDetails!A170:A2324=A170), 0, 3) * INDEX(_xlfn._xlws.FILTER(OrderDetails!A170:E2324,OrderDetails!A170:A2324=A170), 0, 4))</f>
        <v>720</v>
      </c>
      <c r="F170">
        <v>720</v>
      </c>
    </row>
    <row r="171" spans="1:6" x14ac:dyDescent="0.2">
      <c r="A171">
        <v>10417</v>
      </c>
      <c r="E171" cm="1">
        <f t="array" ref="E171">SUM(INDEX(_xlfn._xlws.FILTER(OrderDetails!A171:E2325,OrderDetails!A171:A2325=A171), 0, 3) * INDEX(_xlfn._xlws.FILTER(OrderDetails!A171:E2325,OrderDetails!A171:A2325=A171), 0, 4))</f>
        <v>11283.2</v>
      </c>
      <c r="F171">
        <v>11283</v>
      </c>
    </row>
    <row r="172" spans="1:6" x14ac:dyDescent="0.2">
      <c r="A172">
        <v>10418</v>
      </c>
      <c r="E172" cm="1">
        <f t="array" ref="E172">SUM(INDEX(_xlfn._xlws.FILTER(OrderDetails!A172:E2326,OrderDetails!A172:A2326=A172), 0, 3) * INDEX(_xlfn._xlws.FILTER(OrderDetails!A172:E2326,OrderDetails!A172:A2326=A172), 0, 4))</f>
        <v>1814.8</v>
      </c>
      <c r="F172">
        <v>1815</v>
      </c>
    </row>
    <row r="173" spans="1:6" x14ac:dyDescent="0.2">
      <c r="A173">
        <v>10419</v>
      </c>
      <c r="E173" cm="1">
        <f t="array" ref="E173">SUM(INDEX(_xlfn._xlws.FILTER(OrderDetails!A173:E2327,OrderDetails!A173:A2327=A173), 0, 3) * INDEX(_xlfn._xlws.FILTER(OrderDetails!A173:E2327,OrderDetails!A173:A2327=A173), 0, 4))</f>
        <v>2208</v>
      </c>
      <c r="F173">
        <v>2208</v>
      </c>
    </row>
    <row r="174" spans="1:6" x14ac:dyDescent="0.2">
      <c r="A174">
        <v>10420</v>
      </c>
      <c r="E174" cm="1">
        <f t="array" ref="E174">SUM(INDEX(_xlfn._xlws.FILTER(OrderDetails!A174:E2328,OrderDetails!A174:A2328=A174), 0, 3) * INDEX(_xlfn._xlws.FILTER(OrderDetails!A174:E2328,OrderDetails!A174:A2328=A174), 0, 4))</f>
        <v>1897.6</v>
      </c>
      <c r="F174">
        <v>1898</v>
      </c>
    </row>
    <row r="175" spans="1:6" x14ac:dyDescent="0.2">
      <c r="A175">
        <v>10421</v>
      </c>
      <c r="E175" cm="1">
        <f t="array" ref="E175">SUM(INDEX(_xlfn._xlws.FILTER(OrderDetails!A175:E2329,OrderDetails!A175:A2329=A175), 0, 3) * INDEX(_xlfn._xlws.FILTER(OrderDetails!A175:E2329,OrderDetails!A175:A2329=A175), 0, 4))</f>
        <v>1273.2</v>
      </c>
      <c r="F175">
        <v>1273</v>
      </c>
    </row>
    <row r="176" spans="1:6" x14ac:dyDescent="0.2">
      <c r="A176">
        <v>10422</v>
      </c>
      <c r="E176" cm="1">
        <f t="array" ref="E176">SUM(INDEX(_xlfn._xlws.FILTER(OrderDetails!A176:E2330,OrderDetails!A176:A2330=A176), 0, 3) * INDEX(_xlfn._xlws.FILTER(OrderDetails!A176:E2330,OrderDetails!A176:A2330=A176), 0, 4))</f>
        <v>49.8</v>
      </c>
      <c r="F176">
        <v>50</v>
      </c>
    </row>
    <row r="177" spans="1:6" x14ac:dyDescent="0.2">
      <c r="A177">
        <v>10423</v>
      </c>
      <c r="E177" cm="1">
        <f t="array" ref="E177">SUM(INDEX(_xlfn._xlws.FILTER(OrderDetails!A177:E2331,OrderDetails!A177:A2331=A177), 0, 3) * INDEX(_xlfn._xlws.FILTER(OrderDetails!A177:E2331,OrderDetails!A177:A2331=A177), 0, 4))</f>
        <v>1020</v>
      </c>
      <c r="F177">
        <v>1020</v>
      </c>
    </row>
    <row r="178" spans="1:6" x14ac:dyDescent="0.2">
      <c r="A178">
        <v>10424</v>
      </c>
      <c r="E178" cm="1">
        <f t="array" ref="E178">SUM(INDEX(_xlfn._xlws.FILTER(OrderDetails!A178:E2332,OrderDetails!A178:A2332=A178), 0, 3) * INDEX(_xlfn._xlws.FILTER(OrderDetails!A178:E2332,OrderDetails!A178:A2332=A178), 0, 4))</f>
        <v>11493.2</v>
      </c>
      <c r="F178">
        <v>11493</v>
      </c>
    </row>
    <row r="179" spans="1:6" x14ac:dyDescent="0.2">
      <c r="A179">
        <v>10425</v>
      </c>
      <c r="E179" cm="1">
        <f t="array" ref="E179">SUM(INDEX(_xlfn._xlws.FILTER(OrderDetails!A179:E2333,OrderDetails!A179:A2333=A179), 0, 3) * INDEX(_xlfn._xlws.FILTER(OrderDetails!A179:E2333,OrderDetails!A179:A2333=A179), 0, 4))</f>
        <v>480</v>
      </c>
      <c r="F179">
        <v>480</v>
      </c>
    </row>
    <row r="180" spans="1:6" x14ac:dyDescent="0.2">
      <c r="A180">
        <v>10426</v>
      </c>
      <c r="E180" cm="1">
        <f t="array" ref="E180">SUM(INDEX(_xlfn._xlws.FILTER(OrderDetails!A180:E2334,OrderDetails!A180:A2334=A180), 0, 3) * INDEX(_xlfn._xlws.FILTER(OrderDetails!A180:E2334,OrderDetails!A180:A2334=A180), 0, 4))</f>
        <v>338.20000000000005</v>
      </c>
      <c r="F180">
        <v>338</v>
      </c>
    </row>
    <row r="181" spans="1:6" x14ac:dyDescent="0.2">
      <c r="A181">
        <v>10427</v>
      </c>
      <c r="E181" cm="1">
        <f t="array" ref="E181">SUM(INDEX(_xlfn._xlws.FILTER(OrderDetails!A181:E2335,OrderDetails!A181:A2335=A181), 0, 3) * INDEX(_xlfn._xlws.FILTER(OrderDetails!A181:E2335,OrderDetails!A181:A2335=A181), 0, 4))</f>
        <v>651</v>
      </c>
      <c r="F181">
        <v>651</v>
      </c>
    </row>
    <row r="182" spans="1:6" x14ac:dyDescent="0.2">
      <c r="A182">
        <v>10428</v>
      </c>
      <c r="E182" cm="1">
        <f t="array" ref="E182">SUM(INDEX(_xlfn._xlws.FILTER(OrderDetails!A182:E2336,OrderDetails!A182:A2336=A182), 0, 3) * INDEX(_xlfn._xlws.FILTER(OrderDetails!A182:E2336,OrderDetails!A182:A2336=A182), 0, 4))</f>
        <v>192</v>
      </c>
      <c r="F182">
        <v>192</v>
      </c>
    </row>
    <row r="183" spans="1:6" x14ac:dyDescent="0.2">
      <c r="A183">
        <v>10429</v>
      </c>
      <c r="E183" cm="1">
        <f t="array" ref="E183">SUM(INDEX(_xlfn._xlws.FILTER(OrderDetails!A183:E2337,OrderDetails!A183:A2337=A183), 0, 3) * INDEX(_xlfn._xlws.FILTER(OrderDetails!A183:E2337,OrderDetails!A183:A2337=A183), 0, 4))</f>
        <v>1748.5</v>
      </c>
      <c r="F183">
        <v>1748</v>
      </c>
    </row>
    <row r="184" spans="1:6" x14ac:dyDescent="0.2">
      <c r="A184">
        <v>10430</v>
      </c>
      <c r="E184" cm="1">
        <f t="array" ref="E184">SUM(INDEX(_xlfn._xlws.FILTER(OrderDetails!A184:E2338,OrderDetails!A184:A2338=A184), 0, 3) * INDEX(_xlfn._xlws.FILTER(OrderDetails!A184:E2338,OrderDetails!A184:A2338=A184), 0, 4))</f>
        <v>5796</v>
      </c>
      <c r="F184">
        <v>5796</v>
      </c>
    </row>
    <row r="185" spans="1:6" x14ac:dyDescent="0.2">
      <c r="A185">
        <v>10431</v>
      </c>
      <c r="E185" cm="1">
        <f t="array" ref="E185">SUM(INDEX(_xlfn._xlws.FILTER(OrderDetails!A185:E2339,OrderDetails!A185:A2339=A185), 0, 3) * INDEX(_xlfn._xlws.FILTER(OrderDetails!A185:E2339,OrderDetails!A185:A2339=A185), 0, 4))</f>
        <v>2523</v>
      </c>
      <c r="F185">
        <v>2523</v>
      </c>
    </row>
    <row r="186" spans="1:6" x14ac:dyDescent="0.2">
      <c r="A186">
        <v>10432</v>
      </c>
      <c r="E186" cm="1">
        <f t="array" ref="E186">SUM(INDEX(_xlfn._xlws.FILTER(OrderDetails!A186:E2340,OrderDetails!A186:A2340=A186), 0, 3) * INDEX(_xlfn._xlws.FILTER(OrderDetails!A186:E2340,OrderDetails!A186:A2340=A186), 0, 4))</f>
        <v>485</v>
      </c>
      <c r="F186">
        <v>485</v>
      </c>
    </row>
    <row r="187" spans="1:6" x14ac:dyDescent="0.2">
      <c r="A187">
        <v>10433</v>
      </c>
      <c r="E187" cm="1">
        <f t="array" ref="E187">SUM(INDEX(_xlfn._xlws.FILTER(OrderDetails!A187:E2341,OrderDetails!A187:A2341=A187), 0, 3) * INDEX(_xlfn._xlws.FILTER(OrderDetails!A187:E2341,OrderDetails!A187:A2341=A187), 0, 4))</f>
        <v>851.19999999999993</v>
      </c>
      <c r="F187">
        <v>851</v>
      </c>
    </row>
    <row r="188" spans="1:6" x14ac:dyDescent="0.2">
      <c r="A188">
        <v>10434</v>
      </c>
      <c r="E188" cm="1">
        <f t="array" ref="E188">SUM(INDEX(_xlfn._xlws.FILTER(OrderDetails!A188:E2342,OrderDetails!A188:A2342=A188), 0, 3) * INDEX(_xlfn._xlws.FILTER(OrderDetails!A188:E2342,OrderDetails!A188:A2342=A188), 0, 4))</f>
        <v>360</v>
      </c>
      <c r="F188">
        <v>360</v>
      </c>
    </row>
    <row r="189" spans="1:6" x14ac:dyDescent="0.2">
      <c r="A189">
        <v>10435</v>
      </c>
      <c r="E189" cm="1">
        <f t="array" ref="E189">SUM(INDEX(_xlfn._xlws.FILTER(OrderDetails!A189:E2343,OrderDetails!A189:A2343=A189), 0, 3) * INDEX(_xlfn._xlws.FILTER(OrderDetails!A189:E2343,OrderDetails!A189:A2343=A189), 0, 4))</f>
        <v>631.6</v>
      </c>
      <c r="F189">
        <v>632</v>
      </c>
    </row>
    <row r="190" spans="1:6" x14ac:dyDescent="0.2">
      <c r="A190">
        <v>10436</v>
      </c>
      <c r="E190" cm="1">
        <f t="array" ref="E190">SUM(INDEX(_xlfn._xlws.FILTER(OrderDetails!A190:E2344,OrderDetails!A190:A2344=A190), 0, 3) * INDEX(_xlfn._xlws.FILTER(OrderDetails!A190:E2344,OrderDetails!A190:A2344=A190), 0, 4))</f>
        <v>2210.8000000000002</v>
      </c>
      <c r="F190">
        <v>2211</v>
      </c>
    </row>
    <row r="191" spans="1:6" x14ac:dyDescent="0.2">
      <c r="A191">
        <v>10437</v>
      </c>
      <c r="E191" cm="1">
        <f t="array" ref="E191">SUM(INDEX(_xlfn._xlws.FILTER(OrderDetails!A191:E2345,OrderDetails!A191:A2345=A191), 0, 3) * INDEX(_xlfn._xlws.FILTER(OrderDetails!A191:E2345,OrderDetails!A191:A2345=A191), 0, 4))</f>
        <v>393</v>
      </c>
      <c r="F191">
        <v>393</v>
      </c>
    </row>
    <row r="192" spans="1:6" x14ac:dyDescent="0.2">
      <c r="A192">
        <v>10438</v>
      </c>
      <c r="E192" cm="1">
        <f t="array" ref="E192">SUM(INDEX(_xlfn._xlws.FILTER(OrderDetails!A192:E2346,OrderDetails!A192:A2346=A192), 0, 3) * INDEX(_xlfn._xlws.FILTER(OrderDetails!A192:E2346,OrderDetails!A192:A2346=A192), 0, 4))</f>
        <v>567.5</v>
      </c>
      <c r="F192">
        <v>568</v>
      </c>
    </row>
    <row r="193" spans="1:6" x14ac:dyDescent="0.2">
      <c r="A193">
        <v>10439</v>
      </c>
      <c r="E193" cm="1">
        <f t="array" ref="E193">SUM(INDEX(_xlfn._xlws.FILTER(OrderDetails!A193:E2347,OrderDetails!A193:A2347=A193), 0, 3) * INDEX(_xlfn._xlws.FILTER(OrderDetails!A193:E2347,OrderDetails!A193:A2347=A193), 0, 4))</f>
        <v>1078</v>
      </c>
      <c r="F193">
        <v>1078</v>
      </c>
    </row>
    <row r="194" spans="1:6" x14ac:dyDescent="0.2">
      <c r="A194">
        <v>10440</v>
      </c>
      <c r="E194" cm="1">
        <f t="array" ref="E194">SUM(INDEX(_xlfn._xlws.FILTER(OrderDetails!A194:E2348,OrderDetails!A194:A2348=A194), 0, 3) * INDEX(_xlfn._xlws.FILTER(OrderDetails!A194:E2348,OrderDetails!A194:A2348=A194), 0, 4))</f>
        <v>5793.1</v>
      </c>
      <c r="F194">
        <v>5793</v>
      </c>
    </row>
    <row r="195" spans="1:6" x14ac:dyDescent="0.2">
      <c r="A195">
        <v>10441</v>
      </c>
      <c r="E195" cm="1">
        <f t="array" ref="E195">SUM(INDEX(_xlfn._xlws.FILTER(OrderDetails!A195:E2349,OrderDetails!A195:A2349=A195), 0, 3) * INDEX(_xlfn._xlws.FILTER(OrderDetails!A195:E2349,OrderDetails!A195:A2349=A195), 0, 4))</f>
        <v>1755</v>
      </c>
      <c r="F195">
        <v>1755</v>
      </c>
    </row>
    <row r="196" spans="1:6" x14ac:dyDescent="0.2">
      <c r="A196">
        <v>10442</v>
      </c>
      <c r="E196" cm="1">
        <f t="array" ref="E196">SUM(INDEX(_xlfn._xlws.FILTER(OrderDetails!A196:E2350,OrderDetails!A196:A2350=A196), 0, 3) * INDEX(_xlfn._xlws.FILTER(OrderDetails!A196:E2350,OrderDetails!A196:A2350=A196), 0, 4))</f>
        <v>1792</v>
      </c>
      <c r="F196">
        <v>1792</v>
      </c>
    </row>
    <row r="197" spans="1:6" x14ac:dyDescent="0.2">
      <c r="A197">
        <v>10443</v>
      </c>
      <c r="E197" cm="1">
        <f t="array" ref="E197">SUM(INDEX(_xlfn._xlws.FILTER(OrderDetails!A197:E2351,OrderDetails!A197:A2351=A197), 0, 3) * INDEX(_xlfn._xlws.FILTER(OrderDetails!A197:E2351,OrderDetails!A197:A2351=A197), 0, 4))</f>
        <v>537.59999999999991</v>
      </c>
      <c r="F197">
        <v>538</v>
      </c>
    </row>
    <row r="198" spans="1:6" x14ac:dyDescent="0.2">
      <c r="A198">
        <v>10444</v>
      </c>
      <c r="E198" cm="1">
        <f t="array" ref="E198">SUM(INDEX(_xlfn._xlws.FILTER(OrderDetails!A198:E2352,OrderDetails!A198:A2352=A198), 0, 3) * INDEX(_xlfn._xlws.FILTER(OrderDetails!A198:E2352,OrderDetails!A198:A2352=A198), 0, 4))</f>
        <v>1031.7</v>
      </c>
      <c r="F198">
        <v>1032</v>
      </c>
    </row>
    <row r="199" spans="1:6" x14ac:dyDescent="0.2">
      <c r="A199">
        <v>10445</v>
      </c>
      <c r="E199" cm="1">
        <f t="array" ref="E199">SUM(INDEX(_xlfn._xlws.FILTER(OrderDetails!A199:E2353,OrderDetails!A199:A2353=A199), 0, 3) * INDEX(_xlfn._xlws.FILTER(OrderDetails!A199:E2353,OrderDetails!A199:A2353=A199), 0, 4))</f>
        <v>174.9</v>
      </c>
      <c r="F199">
        <v>174</v>
      </c>
    </row>
    <row r="200" spans="1:6" x14ac:dyDescent="0.2">
      <c r="A200">
        <v>10446</v>
      </c>
      <c r="E200" cm="1">
        <f t="array" ref="E200">SUM(INDEX(_xlfn._xlws.FILTER(OrderDetails!A200:E2354,OrderDetails!A200:A2354=A200), 0, 3) * INDEX(_xlfn._xlws.FILTER(OrderDetails!A200:E2354,OrderDetails!A200:A2354=A200), 0, 4))</f>
        <v>273.60000000000002</v>
      </c>
      <c r="F200">
        <v>274</v>
      </c>
    </row>
    <row r="201" spans="1:6" x14ac:dyDescent="0.2">
      <c r="A201">
        <v>10447</v>
      </c>
      <c r="E201" cm="1">
        <f t="array" ref="E201">SUM(INDEX(_xlfn._xlws.FILTER(OrderDetails!A201:E2355,OrderDetails!A201:A2355=A201), 0, 3) * INDEX(_xlfn._xlws.FILTER(OrderDetails!A201:E2355,OrderDetails!A201:A2355=A201), 0, 4))</f>
        <v>914.4</v>
      </c>
      <c r="F201">
        <v>914</v>
      </c>
    </row>
    <row r="202" spans="1:6" x14ac:dyDescent="0.2">
      <c r="A202">
        <v>10448</v>
      </c>
      <c r="E202" cm="1">
        <f t="array" ref="E202">SUM(INDEX(_xlfn._xlws.FILTER(OrderDetails!A202:E2356,OrderDetails!A202:A2356=A202), 0, 3) * INDEX(_xlfn._xlws.FILTER(OrderDetails!A202:E2356,OrderDetails!A202:A2356=A202), 0, 4))</f>
        <v>443.4</v>
      </c>
      <c r="F202">
        <v>443</v>
      </c>
    </row>
    <row r="203" spans="1:6" x14ac:dyDescent="0.2">
      <c r="A203">
        <v>10449</v>
      </c>
      <c r="E203" cm="1">
        <f t="array" ref="E203">SUM(INDEX(_xlfn._xlws.FILTER(OrderDetails!A203:E2357,OrderDetails!A203:A2357=A203), 0, 3) * INDEX(_xlfn._xlws.FILTER(OrderDetails!A203:E2357,OrderDetails!A203:A2357=A203), 0, 4))</f>
        <v>1838.2</v>
      </c>
      <c r="F203">
        <v>1838</v>
      </c>
    </row>
    <row r="204" spans="1:6" x14ac:dyDescent="0.2">
      <c r="A204">
        <v>10450</v>
      </c>
      <c r="E204" cm="1">
        <f t="array" ref="E204">SUM(INDEX(_xlfn._xlws.FILTER(OrderDetails!A204:E2358,OrderDetails!A204:A2358=A204), 0, 3) * INDEX(_xlfn._xlws.FILTER(OrderDetails!A204:E2358,OrderDetails!A204:A2358=A204), 0, 4))</f>
        <v>531.4</v>
      </c>
      <c r="F204">
        <v>531</v>
      </c>
    </row>
    <row r="205" spans="1:6" x14ac:dyDescent="0.2">
      <c r="A205">
        <v>10451</v>
      </c>
      <c r="E205" cm="1">
        <f t="array" ref="E205">SUM(INDEX(_xlfn._xlws.FILTER(OrderDetails!A205:E2359,OrderDetails!A205:A2359=A205), 0, 3) * INDEX(_xlfn._xlws.FILTER(OrderDetails!A205:E2359,OrderDetails!A205:A2359=A205), 0, 4))</f>
        <v>4277.3999999999996</v>
      </c>
      <c r="F205">
        <v>4277</v>
      </c>
    </row>
    <row r="206" spans="1:6" x14ac:dyDescent="0.2">
      <c r="A206">
        <v>10452</v>
      </c>
      <c r="E206" cm="1">
        <f t="array" ref="E206">SUM(INDEX(_xlfn._xlws.FILTER(OrderDetails!A206:E2360,OrderDetails!A206:A2360=A206), 0, 3) * INDEX(_xlfn._xlws.FILTER(OrderDetails!A206:E2360,OrderDetails!A206:A2360=A206), 0, 4))</f>
        <v>2096</v>
      </c>
      <c r="F206">
        <v>2096</v>
      </c>
    </row>
    <row r="207" spans="1:6" x14ac:dyDescent="0.2">
      <c r="A207">
        <v>10453</v>
      </c>
      <c r="E207" cm="1">
        <f t="array" ref="E207">SUM(INDEX(_xlfn._xlws.FILTER(OrderDetails!A207:E2361,OrderDetails!A207:A2361=A207), 0, 3) * INDEX(_xlfn._xlws.FILTER(OrderDetails!A207:E2361,OrderDetails!A207:A2361=A207), 0, 4))</f>
        <v>453</v>
      </c>
      <c r="F207">
        <v>453</v>
      </c>
    </row>
    <row r="208" spans="1:6" x14ac:dyDescent="0.2">
      <c r="A208">
        <v>10454</v>
      </c>
      <c r="E208" cm="1">
        <f t="array" ref="E208">SUM(INDEX(_xlfn._xlws.FILTER(OrderDetails!A208:E2362,OrderDetails!A208:A2362=A208), 0, 3) * INDEX(_xlfn._xlws.FILTER(OrderDetails!A208:E2362,OrderDetails!A208:A2362=A208), 0, 4))</f>
        <v>414</v>
      </c>
      <c r="F208">
        <v>414</v>
      </c>
    </row>
    <row r="209" spans="1:6" x14ac:dyDescent="0.2">
      <c r="A209">
        <v>10455</v>
      </c>
      <c r="E209" cm="1">
        <f t="array" ref="E209">SUM(INDEX(_xlfn._xlws.FILTER(OrderDetails!A209:E2363,OrderDetails!A209:A2363=A209), 0, 3) * INDEX(_xlfn._xlws.FILTER(OrderDetails!A209:E2363,OrderDetails!A209:A2363=A209), 0, 4))</f>
        <v>2684</v>
      </c>
      <c r="F209">
        <v>2684</v>
      </c>
    </row>
    <row r="210" spans="1:6" x14ac:dyDescent="0.2">
      <c r="A210">
        <v>10456</v>
      </c>
      <c r="E210" cm="1">
        <f t="array" ref="E210">SUM(INDEX(_xlfn._xlws.FILTER(OrderDetails!A210:E2364,OrderDetails!A210:A2364=A210), 0, 3) * INDEX(_xlfn._xlws.FILTER(OrderDetails!A210:E2364,OrderDetails!A210:A2364=A210), 0, 4))</f>
        <v>656</v>
      </c>
      <c r="F210">
        <v>656</v>
      </c>
    </row>
    <row r="211" spans="1:6" x14ac:dyDescent="0.2">
      <c r="A211">
        <v>10457</v>
      </c>
      <c r="E211" cm="1">
        <f t="array" ref="E211">SUM(INDEX(_xlfn._xlws.FILTER(OrderDetails!A211:E2365,OrderDetails!A211:A2365=A211), 0, 3) * INDEX(_xlfn._xlws.FILTER(OrderDetails!A211:E2365,OrderDetails!A211:A2365=A211), 0, 4))</f>
        <v>1584</v>
      </c>
      <c r="F211">
        <v>1584</v>
      </c>
    </row>
    <row r="212" spans="1:6" x14ac:dyDescent="0.2">
      <c r="A212">
        <v>10458</v>
      </c>
      <c r="E212" cm="1">
        <f t="array" ref="E212">SUM(INDEX(_xlfn._xlws.FILTER(OrderDetails!A212:E2366,OrderDetails!A212:A2366=A212), 0, 3) * INDEX(_xlfn._xlws.FILTER(OrderDetails!A212:E2366,OrderDetails!A212:A2366=A212), 0, 4))</f>
        <v>3891</v>
      </c>
      <c r="F212">
        <v>3891</v>
      </c>
    </row>
    <row r="213" spans="1:6" x14ac:dyDescent="0.2">
      <c r="A213">
        <v>10459</v>
      </c>
      <c r="E213" cm="1">
        <f t="array" ref="E213">SUM(INDEX(_xlfn._xlws.FILTER(OrderDetails!A213:E2367,OrderDetails!A213:A2367=A213), 0, 3) * INDEX(_xlfn._xlws.FILTER(OrderDetails!A213:E2367,OrderDetails!A213:A2367=A213), 0, 4))</f>
        <v>1688</v>
      </c>
      <c r="F213">
        <v>1688</v>
      </c>
    </row>
    <row r="214" spans="1:6" x14ac:dyDescent="0.2">
      <c r="A214">
        <v>10460</v>
      </c>
      <c r="E214" cm="1">
        <f t="array" ref="E214">SUM(INDEX(_xlfn._xlws.FILTER(OrderDetails!A214:E2368,OrderDetails!A214:A2368=A214), 0, 3) * INDEX(_xlfn._xlws.FILTER(OrderDetails!A214:E2368,OrderDetails!A214:A2368=A214), 0, 4))</f>
        <v>234.8</v>
      </c>
      <c r="F214">
        <v>235</v>
      </c>
    </row>
    <row r="215" spans="1:6" x14ac:dyDescent="0.2">
      <c r="A215">
        <v>10461</v>
      </c>
      <c r="E215" cm="1">
        <f t="array" ref="E215">SUM(INDEX(_xlfn._xlws.FILTER(OrderDetails!A215:E2369,OrderDetails!A215:A2369=A215), 0, 3) * INDEX(_xlfn._xlws.FILTER(OrderDetails!A215:E2369,OrderDetails!A215:A2369=A215), 0, 4))</f>
        <v>2051.6</v>
      </c>
      <c r="F215">
        <v>2052</v>
      </c>
    </row>
    <row r="216" spans="1:6" x14ac:dyDescent="0.2">
      <c r="A216">
        <v>10462</v>
      </c>
      <c r="E216" cm="1">
        <f t="array" ref="E216">SUM(INDEX(_xlfn._xlws.FILTER(OrderDetails!A216:E2370,OrderDetails!A216:A2370=A216), 0, 3) * INDEX(_xlfn._xlws.FILTER(OrderDetails!A216:E2370,OrderDetails!A216:A2370=A216), 0, 4))</f>
        <v>156.00000000000003</v>
      </c>
      <c r="F216">
        <v>156</v>
      </c>
    </row>
    <row r="217" spans="1:6" x14ac:dyDescent="0.2">
      <c r="A217">
        <v>10463</v>
      </c>
      <c r="E217" cm="1">
        <f t="array" ref="E217">SUM(INDEX(_xlfn._xlws.FILTER(OrderDetails!A217:E2371,OrderDetails!A217:A2371=A217), 0, 3) * INDEX(_xlfn._xlws.FILTER(OrderDetails!A217:E2371,OrderDetails!A217:A2371=A217), 0, 4))</f>
        <v>713.3</v>
      </c>
      <c r="F217">
        <v>713</v>
      </c>
    </row>
    <row r="218" spans="1:6" x14ac:dyDescent="0.2">
      <c r="A218">
        <v>10464</v>
      </c>
      <c r="E218" cm="1">
        <f t="array" ref="E218">SUM(INDEX(_xlfn._xlws.FILTER(OrderDetails!A218:E2372,OrderDetails!A218:A2372=A218), 0, 3) * INDEX(_xlfn._xlws.FILTER(OrderDetails!A218:E2372,OrderDetails!A218:A2372=A218), 0, 4))</f>
        <v>1848</v>
      </c>
      <c r="F218">
        <v>1848</v>
      </c>
    </row>
    <row r="219" spans="1:6" x14ac:dyDescent="0.2">
      <c r="A219">
        <v>10465</v>
      </c>
      <c r="E219" cm="1">
        <f t="array" ref="E219">SUM(INDEX(_xlfn._xlws.FILTER(OrderDetails!A219:E2373,OrderDetails!A219:A2373=A219), 0, 3) * INDEX(_xlfn._xlws.FILTER(OrderDetails!A219:E2373,OrderDetails!A219:A2373=A219), 0, 4))</f>
        <v>2719</v>
      </c>
      <c r="F219">
        <v>2719</v>
      </c>
    </row>
    <row r="220" spans="1:6" x14ac:dyDescent="0.2">
      <c r="A220">
        <v>10466</v>
      </c>
      <c r="E220" cm="1">
        <f t="array" ref="E220">SUM(INDEX(_xlfn._xlws.FILTER(OrderDetails!A220:E2374,OrderDetails!A220:A2374=A220), 0, 3) * INDEX(_xlfn._xlws.FILTER(OrderDetails!A220:E2374,OrderDetails!A220:A2374=A220), 0, 4))</f>
        <v>216</v>
      </c>
      <c r="F220">
        <v>216</v>
      </c>
    </row>
    <row r="221" spans="1:6" x14ac:dyDescent="0.2">
      <c r="A221">
        <v>10467</v>
      </c>
      <c r="E221" cm="1">
        <f t="array" ref="E221">SUM(INDEX(_xlfn._xlws.FILTER(OrderDetails!A221:E2375,OrderDetails!A221:A2375=A221), 0, 3) * INDEX(_xlfn._xlws.FILTER(OrderDetails!A221:E2375,OrderDetails!A221:A2375=A221), 0, 4))</f>
        <v>235.2</v>
      </c>
      <c r="F221">
        <v>235</v>
      </c>
    </row>
    <row r="222" spans="1:6" x14ac:dyDescent="0.2">
      <c r="A222">
        <v>10468</v>
      </c>
      <c r="E222" cm="1">
        <f t="array" ref="E222">SUM(INDEX(_xlfn._xlws.FILTER(OrderDetails!A222:E2376,OrderDetails!A222:A2376=A222), 0, 3) * INDEX(_xlfn._xlws.FILTER(OrderDetails!A222:E2376,OrderDetails!A222:A2376=A222), 0, 4))</f>
        <v>717.6</v>
      </c>
      <c r="F222">
        <v>718</v>
      </c>
    </row>
    <row r="223" spans="1:6" x14ac:dyDescent="0.2">
      <c r="A223">
        <v>10469</v>
      </c>
      <c r="E223" cm="1">
        <f t="array" ref="E223">SUM(INDEX(_xlfn._xlws.FILTER(OrderDetails!A223:E2377,OrderDetails!A223:A2377=A223), 0, 3) * INDEX(_xlfn._xlws.FILTER(OrderDetails!A223:E2377,OrderDetails!A223:A2377=A223), 0, 4))</f>
        <v>1125.5</v>
      </c>
      <c r="F223">
        <v>1125</v>
      </c>
    </row>
    <row r="224" spans="1:6" x14ac:dyDescent="0.2">
      <c r="A224">
        <v>10470</v>
      </c>
      <c r="E224" cm="1">
        <f t="array" ref="E224">SUM(INDEX(_xlfn._xlws.FILTER(OrderDetails!A224:E2378,OrderDetails!A224:A2378=A224), 0, 3) * INDEX(_xlfn._xlws.FILTER(OrderDetails!A224:E2378,OrderDetails!A224:A2378=A224), 0, 4))</f>
        <v>1820.8</v>
      </c>
      <c r="F224">
        <v>1821</v>
      </c>
    </row>
    <row r="225" spans="1:6" x14ac:dyDescent="0.2">
      <c r="A225">
        <v>10471</v>
      </c>
      <c r="E225" cm="1">
        <f t="array" ref="E225">SUM(INDEX(_xlfn._xlws.FILTER(OrderDetails!A225:E2379,OrderDetails!A225:A2379=A225), 0, 3) * INDEX(_xlfn._xlws.FILTER(OrderDetails!A225:E2379,OrderDetails!A225:A2379=A225), 0, 4))</f>
        <v>1328</v>
      </c>
      <c r="F225">
        <v>1328</v>
      </c>
    </row>
    <row r="226" spans="1:6" x14ac:dyDescent="0.2">
      <c r="A226">
        <v>10472</v>
      </c>
      <c r="E226" cm="1">
        <f t="array" ref="E226">SUM(INDEX(_xlfn._xlws.FILTER(OrderDetails!A226:E2380,OrderDetails!A226:A2380=A226), 0, 3) * INDEX(_xlfn._xlws.FILTER(OrderDetails!A226:E2380,OrderDetails!A226:A2380=A226), 0, 4))</f>
        <v>1051.1999999999998</v>
      </c>
      <c r="F226">
        <v>1051</v>
      </c>
    </row>
    <row r="227" spans="1:6" x14ac:dyDescent="0.2">
      <c r="A227">
        <v>10473</v>
      </c>
      <c r="E227" cm="1">
        <f t="array" ref="E227">SUM(INDEX(_xlfn._xlws.FILTER(OrderDetails!A227:E2381,OrderDetails!A227:A2381=A227), 0, 3) * INDEX(_xlfn._xlws.FILTER(OrderDetails!A227:E2381,OrderDetails!A227:A2381=A227), 0, 4))</f>
        <v>230.39999999999998</v>
      </c>
      <c r="F227">
        <v>230</v>
      </c>
    </row>
    <row r="228" spans="1:6" x14ac:dyDescent="0.2">
      <c r="A228">
        <v>10474</v>
      </c>
      <c r="E228" cm="1">
        <f t="array" ref="E228">SUM(INDEX(_xlfn._xlws.FILTER(OrderDetails!A228:E2382,OrderDetails!A228:A2382=A228), 0, 3) * INDEX(_xlfn._xlws.FILTER(OrderDetails!A228:E2382,OrderDetails!A228:A2382=A228), 0, 4))</f>
        <v>1249.0999999999999</v>
      </c>
      <c r="F228">
        <v>1249</v>
      </c>
    </row>
    <row r="229" spans="1:6" x14ac:dyDescent="0.2">
      <c r="A229">
        <v>10475</v>
      </c>
      <c r="E229" cm="1">
        <f t="array" ref="E229">SUM(INDEX(_xlfn._xlws.FILTER(OrderDetails!A229:E2383,OrderDetails!A229:A2383=A229), 0, 3) * INDEX(_xlfn._xlws.FILTER(OrderDetails!A229:E2383,OrderDetails!A229:A2383=A229), 0, 4))</f>
        <v>1770.8000000000002</v>
      </c>
      <c r="F229">
        <v>1771</v>
      </c>
    </row>
    <row r="230" spans="1:6" x14ac:dyDescent="0.2">
      <c r="A230">
        <v>10476</v>
      </c>
      <c r="E230" cm="1">
        <f t="array" ref="E230">SUM(INDEX(_xlfn._xlws.FILTER(OrderDetails!A230:E2384,OrderDetails!A230:A2384=A230), 0, 3) * INDEX(_xlfn._xlws.FILTER(OrderDetails!A230:E2384,OrderDetails!A230:A2384=A230), 0, 4))</f>
        <v>182.4</v>
      </c>
      <c r="F230">
        <v>182</v>
      </c>
    </row>
    <row r="231" spans="1:6" x14ac:dyDescent="0.2">
      <c r="A231">
        <v>10477</v>
      </c>
      <c r="E231" cm="1">
        <f t="array" ref="E231">SUM(INDEX(_xlfn._xlws.FILTER(OrderDetails!A231:E2385,OrderDetails!A231:A2385=A231), 0, 3) * INDEX(_xlfn._xlws.FILTER(OrderDetails!A231:E2385,OrderDetails!A231:A2385=A231), 0, 4))</f>
        <v>672</v>
      </c>
      <c r="F231">
        <v>672</v>
      </c>
    </row>
    <row r="232" spans="1:6" x14ac:dyDescent="0.2">
      <c r="A232">
        <v>10478</v>
      </c>
      <c r="E232" cm="1">
        <f t="array" ref="E232">SUM(INDEX(_xlfn._xlws.FILTER(OrderDetails!A232:E2386,OrderDetails!A232:A2386=A232), 0, 3) * INDEX(_xlfn._xlws.FILTER(OrderDetails!A232:E2386,OrderDetails!A232:A2386=A232), 0, 4))</f>
        <v>496</v>
      </c>
      <c r="F232">
        <v>496</v>
      </c>
    </row>
    <row r="233" spans="1:6" x14ac:dyDescent="0.2">
      <c r="A233">
        <v>10479</v>
      </c>
      <c r="E233" cm="1">
        <f t="array" ref="E233">SUM(INDEX(_xlfn._xlws.FILTER(OrderDetails!A233:E2387,OrderDetails!A233:A2387=A233), 0, 3) * INDEX(_xlfn._xlws.FILTER(OrderDetails!A233:E2387,OrderDetails!A233:A2387=A233), 0, 4))</f>
        <v>10495.6</v>
      </c>
      <c r="F233">
        <v>10496</v>
      </c>
    </row>
    <row r="234" spans="1:6" x14ac:dyDescent="0.2">
      <c r="A234">
        <v>10480</v>
      </c>
      <c r="E234" cm="1">
        <f t="array" ref="E234">SUM(INDEX(_xlfn._xlws.FILTER(OrderDetails!A234:E2388,OrderDetails!A234:A2388=A234), 0, 3) * INDEX(_xlfn._xlws.FILTER(OrderDetails!A234:E2388,OrderDetails!A234:A2388=A234), 0, 4))</f>
        <v>756</v>
      </c>
      <c r="F234">
        <v>756</v>
      </c>
    </row>
    <row r="235" spans="1:6" x14ac:dyDescent="0.2">
      <c r="A235">
        <v>10481</v>
      </c>
      <c r="E235" cm="1">
        <f t="array" ref="E235">SUM(INDEX(_xlfn._xlws.FILTER(OrderDetails!A235:E2389,OrderDetails!A235:A2389=A235), 0, 3) * INDEX(_xlfn._xlws.FILTER(OrderDetails!A235:E2389,OrderDetails!A235:A2389=A235), 0, 4))</f>
        <v>1472</v>
      </c>
      <c r="F235">
        <v>1472</v>
      </c>
    </row>
    <row r="236" spans="1:6" x14ac:dyDescent="0.2">
      <c r="A236">
        <v>10482</v>
      </c>
      <c r="E236" cm="1">
        <f t="array" ref="E236">SUM(INDEX(_xlfn._xlws.FILTER(OrderDetails!A236:E2390,OrderDetails!A236:A2390=A236), 0, 3) * INDEX(_xlfn._xlws.FILTER(OrderDetails!A236:E2390,OrderDetails!A236:A2390=A236), 0, 4))</f>
        <v>147</v>
      </c>
      <c r="F236">
        <v>147</v>
      </c>
    </row>
    <row r="237" spans="1:6" x14ac:dyDescent="0.2">
      <c r="A237">
        <v>10483</v>
      </c>
      <c r="E237" cm="1">
        <f t="array" ref="E237">SUM(INDEX(_xlfn._xlws.FILTER(OrderDetails!A237:E2391,OrderDetails!A237:A2391=A237), 0, 3) * INDEX(_xlfn._xlws.FILTER(OrderDetails!A237:E2391,OrderDetails!A237:A2391=A237), 0, 4))</f>
        <v>704</v>
      </c>
      <c r="F237">
        <v>704</v>
      </c>
    </row>
    <row r="238" spans="1:6" x14ac:dyDescent="0.2">
      <c r="A238">
        <v>10484</v>
      </c>
      <c r="E238" cm="1">
        <f t="array" ref="E238">SUM(INDEX(_xlfn._xlws.FILTER(OrderDetails!A238:E2392,OrderDetails!A238:A2392=A238), 0, 3) * INDEX(_xlfn._xlws.FILTER(OrderDetails!A238:E2392,OrderDetails!A238:A2392=A238), 0, 4))</f>
        <v>386.2</v>
      </c>
      <c r="F238">
        <v>386</v>
      </c>
    </row>
    <row r="239" spans="1:6" x14ac:dyDescent="0.2">
      <c r="A239">
        <v>10485</v>
      </c>
      <c r="E239" cm="1">
        <f t="array" ref="E239">SUM(INDEX(_xlfn._xlws.FILTER(OrderDetails!A239:E2393,OrderDetails!A239:A2393=A239), 0, 3) * INDEX(_xlfn._xlws.FILTER(OrderDetails!A239:E2393,OrderDetails!A239:A2393=A239), 0, 4))</f>
        <v>1760</v>
      </c>
      <c r="F239">
        <v>1760</v>
      </c>
    </row>
    <row r="240" spans="1:6" x14ac:dyDescent="0.2">
      <c r="A240">
        <v>10486</v>
      </c>
      <c r="E240" cm="1">
        <f t="array" ref="E240">SUM(INDEX(_xlfn._xlws.FILTER(OrderDetails!A240:E2394,OrderDetails!A240:A2394=A240), 0, 3) * INDEX(_xlfn._xlws.FILTER(OrderDetails!A240:E2394,OrderDetails!A240:A2394=A240), 0, 4))</f>
        <v>1272</v>
      </c>
      <c r="F240">
        <v>1272</v>
      </c>
    </row>
    <row r="241" spans="1:6" x14ac:dyDescent="0.2">
      <c r="A241">
        <v>10487</v>
      </c>
      <c r="E241" cm="1">
        <f t="array" ref="E241">SUM(INDEX(_xlfn._xlws.FILTER(OrderDetails!A241:E2395,OrderDetails!A241:A2395=A241), 0, 3) * INDEX(_xlfn._xlws.FILTER(OrderDetails!A241:E2395,OrderDetails!A241:A2395=A241), 0, 4))</f>
        <v>925.1</v>
      </c>
      <c r="F241">
        <v>925</v>
      </c>
    </row>
    <row r="242" spans="1:6" x14ac:dyDescent="0.2">
      <c r="A242">
        <v>10488</v>
      </c>
      <c r="E242" cm="1">
        <f t="array" ref="E242">SUM(INDEX(_xlfn._xlws.FILTER(OrderDetails!A242:E2396,OrderDetails!A242:A2396=A242), 0, 3) * INDEX(_xlfn._xlws.FILTER(OrderDetails!A242:E2396,OrderDetails!A242:A2396=A242), 0, 4))</f>
        <v>1560</v>
      </c>
      <c r="F242">
        <v>1560</v>
      </c>
    </row>
    <row r="243" spans="1:6" x14ac:dyDescent="0.2">
      <c r="A243">
        <v>10489</v>
      </c>
      <c r="E243" cm="1">
        <f t="array" ref="E243">SUM(INDEX(_xlfn._xlws.FILTER(OrderDetails!A243:E2397,OrderDetails!A243:A2397=A243), 0, 3) * INDEX(_xlfn._xlws.FILTER(OrderDetails!A243:E2397,OrderDetails!A243:A2397=A243), 0, 4))</f>
        <v>502.20000000000005</v>
      </c>
      <c r="F243">
        <v>502</v>
      </c>
    </row>
    <row r="244" spans="1:6" x14ac:dyDescent="0.2">
      <c r="A244">
        <v>10490</v>
      </c>
      <c r="E244" cm="1">
        <f t="array" ref="E244">SUM(INDEX(_xlfn._xlws.FILTER(OrderDetails!A244:E2398,OrderDetails!A244:A2398=A244), 0, 3) * INDEX(_xlfn._xlws.FILTER(OrderDetails!A244:E2398,OrderDetails!A244:A2398=A244), 0, 4))</f>
        <v>3163.2</v>
      </c>
      <c r="F244">
        <v>3163</v>
      </c>
    </row>
    <row r="245" spans="1:6" x14ac:dyDescent="0.2">
      <c r="A245">
        <v>10491</v>
      </c>
      <c r="E245" cm="1">
        <f t="array" ref="E245">SUM(INDEX(_xlfn._xlws.FILTER(OrderDetails!A245:E2399,OrderDetails!A245:A2399=A245), 0, 3) * INDEX(_xlfn._xlws.FILTER(OrderDetails!A245:E2399,OrderDetails!A245:A2399=A245), 0, 4))</f>
        <v>305.3</v>
      </c>
      <c r="F245">
        <v>305</v>
      </c>
    </row>
    <row r="246" spans="1:6" x14ac:dyDescent="0.2">
      <c r="A246">
        <v>10492</v>
      </c>
      <c r="E246" cm="1">
        <f t="array" ref="E246">SUM(INDEX(_xlfn._xlws.FILTER(OrderDetails!A246:E2400,OrderDetails!A246:A2400=A246), 0, 3) * INDEX(_xlfn._xlws.FILTER(OrderDetails!A246:E2400,OrderDetails!A246:A2400=A246), 0, 4))</f>
        <v>896</v>
      </c>
      <c r="F246">
        <v>896</v>
      </c>
    </row>
    <row r="247" spans="1:6" x14ac:dyDescent="0.2">
      <c r="A247">
        <v>10493</v>
      </c>
      <c r="E247" cm="1">
        <f t="array" ref="E247">SUM(INDEX(_xlfn._xlws.FILTER(OrderDetails!A247:E2401,OrderDetails!A247:A2401=A247), 0, 3) * INDEX(_xlfn._xlws.FILTER(OrderDetails!A247:E2401,OrderDetails!A247:A2401=A247), 0, 4))</f>
        <v>676</v>
      </c>
      <c r="F247">
        <v>676</v>
      </c>
    </row>
    <row r="248" spans="1:6" x14ac:dyDescent="0.2">
      <c r="A248">
        <v>10494</v>
      </c>
      <c r="E248" cm="1">
        <f t="array" ref="E248">SUM(INDEX(_xlfn._xlws.FILTER(OrderDetails!A248:E2402,OrderDetails!A248:A2402=A248), 0, 3) * INDEX(_xlfn._xlws.FILTER(OrderDetails!A248:E2402,OrderDetails!A248:A2402=A248), 0, 4))</f>
        <v>912</v>
      </c>
      <c r="F248">
        <v>912</v>
      </c>
    </row>
    <row r="249" spans="1:6" x14ac:dyDescent="0.2">
      <c r="A249">
        <v>10495</v>
      </c>
      <c r="E249" cm="1">
        <f t="array" ref="E249">SUM(INDEX(_xlfn._xlws.FILTER(OrderDetails!A249:E2403,OrderDetails!A249:A2403=A249), 0, 3) * INDEX(_xlfn._xlws.FILTER(OrderDetails!A249:E2403,OrderDetails!A249:A2403=A249), 0, 4))</f>
        <v>278</v>
      </c>
      <c r="F249">
        <v>278</v>
      </c>
    </row>
    <row r="250" spans="1:6" x14ac:dyDescent="0.2">
      <c r="A250">
        <v>10496</v>
      </c>
      <c r="E250" cm="1">
        <f t="array" ref="E250">SUM(INDEX(_xlfn._xlws.FILTER(OrderDetails!A250:E2404,OrderDetails!A250:A2404=A250), 0, 3) * INDEX(_xlfn._xlws.FILTER(OrderDetails!A250:E2404,OrderDetails!A250:A2404=A250), 0, 4))</f>
        <v>200</v>
      </c>
      <c r="F250">
        <v>200</v>
      </c>
    </row>
    <row r="251" spans="1:6" x14ac:dyDescent="0.2">
      <c r="A251">
        <v>10497</v>
      </c>
      <c r="E251" cm="1">
        <f t="array" ref="E251">SUM(INDEX(_xlfn._xlws.FILTER(OrderDetails!A251:E2405,OrderDetails!A251:A2405=A251), 0, 3) * INDEX(_xlfn._xlws.FILTER(OrderDetails!A251:E2405,OrderDetails!A251:A2405=A251), 0, 4))</f>
        <v>1380.6</v>
      </c>
      <c r="F251">
        <v>1381</v>
      </c>
    </row>
    <row r="252" spans="1:6" x14ac:dyDescent="0.2">
      <c r="A252">
        <v>10498</v>
      </c>
      <c r="E252" cm="1">
        <f t="array" ref="E252">SUM(INDEX(_xlfn._xlws.FILTER(OrderDetails!A252:E2406,OrderDetails!A252:A2406=A252), 0, 3) * INDEX(_xlfn._xlws.FILTER(OrderDetails!A252:E2406,OrderDetails!A252:A2406=A252), 0, 4))</f>
        <v>575</v>
      </c>
      <c r="F252">
        <v>575</v>
      </c>
    </row>
    <row r="253" spans="1:6" x14ac:dyDescent="0.2">
      <c r="A253">
        <v>10499</v>
      </c>
      <c r="E253" cm="1">
        <f t="array" ref="E253">SUM(INDEX(_xlfn._xlws.FILTER(OrderDetails!A253:E2407,OrderDetails!A253:A2407=A253), 0, 3) * INDEX(_xlfn._xlws.FILTER(OrderDetails!A253:E2407,OrderDetails!A253:A2407=A253), 0, 4))</f>
        <v>1412</v>
      </c>
      <c r="F253">
        <v>1412</v>
      </c>
    </row>
    <row r="254" spans="1:6" x14ac:dyDescent="0.2">
      <c r="A254">
        <v>10500</v>
      </c>
      <c r="E254" cm="1">
        <f t="array" ref="E254">SUM(INDEX(_xlfn._xlws.FILTER(OrderDetails!A254:E2408,OrderDetails!A254:A2408=A254), 0, 3) * INDEX(_xlfn._xlws.FILTER(OrderDetails!A254:E2408,OrderDetails!A254:A2408=A254), 0, 4))</f>
        <v>550.79999999999995</v>
      </c>
      <c r="F254">
        <v>551</v>
      </c>
    </row>
    <row r="255" spans="1:6" x14ac:dyDescent="0.2">
      <c r="A255">
        <v>10501</v>
      </c>
      <c r="E255" cm="1">
        <f t="array" ref="E255">SUM(INDEX(_xlfn._xlws.FILTER(OrderDetails!A255:E2409,OrderDetails!A255:A2409=A255), 0, 3) * INDEX(_xlfn._xlws.FILTER(OrderDetails!A255:E2409,OrderDetails!A255:A2409=A255), 0, 4))</f>
        <v>149</v>
      </c>
      <c r="F255">
        <v>149</v>
      </c>
    </row>
    <row r="256" spans="1:6" x14ac:dyDescent="0.2">
      <c r="A256">
        <v>10502</v>
      </c>
      <c r="E256" cm="1">
        <f t="array" ref="E256">SUM(INDEX(_xlfn._xlws.FILTER(OrderDetails!A256:E2410,OrderDetails!A256:A2410=A256), 0, 3) * INDEX(_xlfn._xlws.FILTER(OrderDetails!A256:E2410,OrderDetails!A256:A2410=A256), 0, 4))</f>
        <v>816.3</v>
      </c>
      <c r="F256">
        <v>817</v>
      </c>
    </row>
    <row r="257" spans="1:6" x14ac:dyDescent="0.2">
      <c r="A257">
        <v>10503</v>
      </c>
      <c r="E257" cm="1">
        <f t="array" ref="E257">SUM(INDEX(_xlfn._xlws.FILTER(OrderDetails!A257:E2411,OrderDetails!A257:A2411=A257), 0, 3) * INDEX(_xlfn._xlws.FILTER(OrderDetails!A257:E2411,OrderDetails!A257:A2411=A257), 0, 4))</f>
        <v>2048.5</v>
      </c>
      <c r="F257">
        <v>2049</v>
      </c>
    </row>
    <row r="258" spans="1:6" x14ac:dyDescent="0.2">
      <c r="A258">
        <v>10504</v>
      </c>
      <c r="E258" cm="1">
        <f t="array" ref="E258">SUM(INDEX(_xlfn._xlws.FILTER(OrderDetails!A258:E2412,OrderDetails!A258:A2412=A258), 0, 3) * INDEX(_xlfn._xlws.FILTER(OrderDetails!A258:E2412,OrderDetails!A258:A2412=A258), 0, 4))</f>
        <v>1388.5</v>
      </c>
      <c r="F258">
        <v>1388</v>
      </c>
    </row>
    <row r="259" spans="1:6" x14ac:dyDescent="0.2">
      <c r="A259">
        <v>10505</v>
      </c>
      <c r="E259" cm="1">
        <f t="array" ref="E259">SUM(INDEX(_xlfn._xlws.FILTER(OrderDetails!A259:E2413,OrderDetails!A259:A2413=A259), 0, 3) * INDEX(_xlfn._xlws.FILTER(OrderDetails!A259:E2413,OrderDetails!A259:A2413=A259), 0, 4))</f>
        <v>147.89999999999998</v>
      </c>
      <c r="F259">
        <v>148</v>
      </c>
    </row>
    <row r="260" spans="1:6" x14ac:dyDescent="0.2">
      <c r="A260">
        <v>10506</v>
      </c>
      <c r="E260" cm="1">
        <f t="array" ref="E260">SUM(INDEX(_xlfn._xlws.FILTER(OrderDetails!A260:E2414,OrderDetails!A260:A2414=A260), 0, 3) * INDEX(_xlfn._xlws.FILTER(OrderDetails!A260:E2414,OrderDetails!A260:A2414=A260), 0, 4))</f>
        <v>462</v>
      </c>
      <c r="F260">
        <v>462</v>
      </c>
    </row>
    <row r="261" spans="1:6" x14ac:dyDescent="0.2">
      <c r="A261">
        <v>10507</v>
      </c>
      <c r="E261" cm="1">
        <f t="array" ref="E261">SUM(INDEX(_xlfn._xlws.FILTER(OrderDetails!A261:E2415,OrderDetails!A261:A2415=A261), 0, 3) * INDEX(_xlfn._xlws.FILTER(OrderDetails!A261:E2415,OrderDetails!A261:A2415=A261), 0, 4))</f>
        <v>881.25</v>
      </c>
      <c r="F261">
        <v>881</v>
      </c>
    </row>
    <row r="262" spans="1:6" x14ac:dyDescent="0.2">
      <c r="A262">
        <v>10508</v>
      </c>
      <c r="E262" cm="1">
        <f t="array" ref="E262">SUM(INDEX(_xlfn._xlws.FILTER(OrderDetails!A262:E2416,OrderDetails!A262:A2416=A262), 0, 3) * INDEX(_xlfn._xlws.FILTER(OrderDetails!A262:E2416,OrderDetails!A262:A2416=A262), 0, 4))</f>
        <v>240</v>
      </c>
      <c r="F262">
        <v>240</v>
      </c>
    </row>
    <row r="263" spans="1:6" x14ac:dyDescent="0.2">
      <c r="A263">
        <v>10509</v>
      </c>
      <c r="E263" cm="1">
        <f t="array" ref="E263">SUM(INDEX(_xlfn._xlws.FILTER(OrderDetails!A263:E2417,OrderDetails!A263:A2417=A263), 0, 3) * INDEX(_xlfn._xlws.FILTER(OrderDetails!A263:E2417,OrderDetails!A263:A2417=A263), 0, 4))</f>
        <v>136.80000000000001</v>
      </c>
      <c r="F263">
        <v>137</v>
      </c>
    </row>
    <row r="264" spans="1:6" x14ac:dyDescent="0.2">
      <c r="A264">
        <v>10510</v>
      </c>
      <c r="E264" cm="1">
        <f t="array" ref="E264">SUM(INDEX(_xlfn._xlws.FILTER(OrderDetails!A264:E2418,OrderDetails!A264:A2418=A264), 0, 3) * INDEX(_xlfn._xlws.FILTER(OrderDetails!A264:E2418,OrderDetails!A264:A2418=A264), 0, 4))</f>
        <v>4735.4400000000005</v>
      </c>
      <c r="F264">
        <v>4735</v>
      </c>
    </row>
    <row r="265" spans="1:6" x14ac:dyDescent="0.2">
      <c r="A265">
        <v>10511</v>
      </c>
      <c r="E265" cm="1">
        <f t="array" ref="E265">SUM(INDEX(_xlfn._xlws.FILTER(OrderDetails!A265:E2419,OrderDetails!A265:A2419=A265), 0, 3) * INDEX(_xlfn._xlws.FILTER(OrderDetails!A265:E2419,OrderDetails!A265:A2419=A265), 0, 4))</f>
        <v>3000</v>
      </c>
      <c r="F265">
        <v>3000</v>
      </c>
    </row>
    <row r="266" spans="1:6" x14ac:dyDescent="0.2">
      <c r="A266">
        <v>10512</v>
      </c>
      <c r="E266" cm="1">
        <f t="array" ref="E266">SUM(INDEX(_xlfn._xlws.FILTER(OrderDetails!A266:E2420,OrderDetails!A266:A2420=A266), 0, 3) * INDEX(_xlfn._xlws.FILTER(OrderDetails!A266:E2420,OrderDetails!A266:A2420=A266), 0, 4))</f>
        <v>618</v>
      </c>
      <c r="F266">
        <v>618</v>
      </c>
    </row>
    <row r="267" spans="1:6" x14ac:dyDescent="0.2">
      <c r="A267">
        <v>10513</v>
      </c>
      <c r="E267" cm="1">
        <f t="array" ref="E267">SUM(INDEX(_xlfn._xlws.FILTER(OrderDetails!A267:E2421,OrderDetails!A267:A2421=A267), 0, 3) * INDEX(_xlfn._xlws.FILTER(OrderDetails!A267:E2421,OrderDetails!A267:A2421=A267), 0, 4))</f>
        <v>2427.5</v>
      </c>
      <c r="F267">
        <v>2428</v>
      </c>
    </row>
    <row r="268" spans="1:6" x14ac:dyDescent="0.2">
      <c r="A268">
        <v>10514</v>
      </c>
      <c r="E268" cm="1">
        <f t="array" ref="E268">SUM(INDEX(_xlfn._xlws.FILTER(OrderDetails!A268:E2422,OrderDetails!A268:A2422=A268), 0, 3) * INDEX(_xlfn._xlws.FILTER(OrderDetails!A268:E2422,OrderDetails!A268:A2422=A268), 0, 4))</f>
        <v>8623.4500000000007</v>
      </c>
      <c r="F268">
        <v>8624</v>
      </c>
    </row>
    <row r="269" spans="1:6" x14ac:dyDescent="0.2">
      <c r="A269">
        <v>10515</v>
      </c>
      <c r="E269" cm="1">
        <f t="array" ref="E269">SUM(INDEX(_xlfn._xlws.FILTER(OrderDetails!A269:E2423,OrderDetails!A269:A2423=A269), 0, 3) * INDEX(_xlfn._xlws.FILTER(OrderDetails!A269:E2423,OrderDetails!A269:A2423=A269), 0, 4))</f>
        <v>10588.5</v>
      </c>
      <c r="F269">
        <v>10588</v>
      </c>
    </row>
    <row r="270" spans="1:6" x14ac:dyDescent="0.2">
      <c r="A270">
        <v>10516</v>
      </c>
      <c r="E270" cm="1">
        <f t="array" ref="E270">SUM(INDEX(_xlfn._xlws.FILTER(OrderDetails!A270:E2424,OrderDetails!A270:A2424=A270), 0, 3) * INDEX(_xlfn._xlws.FILTER(OrderDetails!A270:E2424,OrderDetails!A270:A2424=A270), 0, 4))</f>
        <v>2614.5</v>
      </c>
      <c r="F270">
        <v>2614</v>
      </c>
    </row>
    <row r="271" spans="1:6" x14ac:dyDescent="0.2">
      <c r="A271">
        <v>10517</v>
      </c>
      <c r="E271" cm="1">
        <f t="array" ref="E271">SUM(INDEX(_xlfn._xlws.FILTER(OrderDetails!A271:E2425,OrderDetails!A271:A2425=A271), 0, 3) * INDEX(_xlfn._xlws.FILTER(OrderDetails!A271:E2425,OrderDetails!A271:A2425=A271), 0, 4))</f>
        <v>352</v>
      </c>
      <c r="F271">
        <v>352</v>
      </c>
    </row>
    <row r="272" spans="1:6" x14ac:dyDescent="0.2">
      <c r="A272">
        <v>10518</v>
      </c>
      <c r="E272" cm="1">
        <f t="array" ref="E272">SUM(INDEX(_xlfn._xlws.FILTER(OrderDetails!A272:E2426,OrderDetails!A272:A2426=A272), 0, 3) * INDEX(_xlfn._xlws.FILTER(OrderDetails!A272:E2426,OrderDetails!A272:A2426=A272), 0, 4))</f>
        <v>4150.05</v>
      </c>
      <c r="F272">
        <v>4149</v>
      </c>
    </row>
    <row r="273" spans="1:6" x14ac:dyDescent="0.2">
      <c r="A273">
        <v>10519</v>
      </c>
      <c r="E273" cm="1">
        <f t="array" ref="E273">SUM(INDEX(_xlfn._xlws.FILTER(OrderDetails!A273:E2427,OrderDetails!A273:A2427=A273), 0, 3) * INDEX(_xlfn._xlws.FILTER(OrderDetails!A273:E2427,OrderDetails!A273:A2427=A273), 0, 4))</f>
        <v>2356</v>
      </c>
      <c r="F273">
        <v>2356</v>
      </c>
    </row>
    <row r="274" spans="1:6" x14ac:dyDescent="0.2">
      <c r="A274">
        <v>10520</v>
      </c>
      <c r="E274" cm="1">
        <f t="array" ref="E274">SUM(INDEX(_xlfn._xlws.FILTER(OrderDetails!A274:E2428,OrderDetails!A274:A2428=A274), 0, 3) * INDEX(_xlfn._xlws.FILTER(OrderDetails!A274:E2428,OrderDetails!A274:A2428=A274), 0, 4))</f>
        <v>200</v>
      </c>
      <c r="F274">
        <v>200</v>
      </c>
    </row>
    <row r="275" spans="1:6" x14ac:dyDescent="0.2">
      <c r="A275">
        <v>10521</v>
      </c>
      <c r="E275" cm="1">
        <f t="array" ref="E275">SUM(INDEX(_xlfn._xlws.FILTER(OrderDetails!A275:E2429,OrderDetails!A275:A2429=A275), 0, 3) * INDEX(_xlfn._xlws.FILTER(OrderDetails!A275:E2429,OrderDetails!A275:A2429=A275), 0, 4))</f>
        <v>225.5</v>
      </c>
      <c r="F275">
        <v>225</v>
      </c>
    </row>
    <row r="276" spans="1:6" x14ac:dyDescent="0.2">
      <c r="A276">
        <v>10522</v>
      </c>
      <c r="E276" cm="1">
        <f t="array" ref="E276">SUM(INDEX(_xlfn._xlws.FILTER(OrderDetails!A276:E2430,OrderDetails!A276:A2430=A276), 0, 3) * INDEX(_xlfn._xlws.FILTER(OrderDetails!A276:E2430,OrderDetails!A276:A2430=A276), 0, 4))</f>
        <v>2657.8</v>
      </c>
      <c r="F276">
        <v>2658</v>
      </c>
    </row>
    <row r="277" spans="1:6" x14ac:dyDescent="0.2">
      <c r="A277">
        <v>10523</v>
      </c>
      <c r="E277" cm="1">
        <f t="array" ref="E277">SUM(INDEX(_xlfn._xlws.FILTER(OrderDetails!A277:E2431,OrderDetails!A277:A2431=A277), 0, 3) * INDEX(_xlfn._xlws.FILTER(OrderDetails!A277:E2431,OrderDetails!A277:A2431=A277), 0, 4))</f>
        <v>2715.9</v>
      </c>
      <c r="F277">
        <v>2716</v>
      </c>
    </row>
    <row r="278" spans="1:6" x14ac:dyDescent="0.2">
      <c r="A278">
        <v>10524</v>
      </c>
      <c r="E278" cm="1">
        <f t="array" ref="E278">SUM(INDEX(_xlfn._xlws.FILTER(OrderDetails!A278:E2432,OrderDetails!A278:A2432=A278), 0, 3) * INDEX(_xlfn._xlws.FILTER(OrderDetails!A278:E2432,OrderDetails!A278:A2432=A278), 0, 4))</f>
        <v>3192.65</v>
      </c>
      <c r="F278">
        <v>3193</v>
      </c>
    </row>
    <row r="279" spans="1:6" x14ac:dyDescent="0.2">
      <c r="A279">
        <v>10525</v>
      </c>
      <c r="E279" cm="1">
        <f t="array" ref="E279">SUM(INDEX(_xlfn._xlws.FILTER(OrderDetails!A279:E2433,OrderDetails!A279:A2433=A279), 0, 3) * INDEX(_xlfn._xlws.FILTER(OrderDetails!A279:E2433,OrderDetails!A279:A2433=A279), 0, 4))</f>
        <v>846</v>
      </c>
      <c r="F279">
        <v>846</v>
      </c>
    </row>
    <row r="280" spans="1:6" x14ac:dyDescent="0.2">
      <c r="A280">
        <v>10526</v>
      </c>
      <c r="E280" cm="1">
        <f t="array" ref="E280">SUM(INDEX(_xlfn._xlws.FILTER(OrderDetails!A280:E2434,OrderDetails!A280:A2434=A280), 0, 3) * INDEX(_xlfn._xlws.FILTER(OrderDetails!A280:E2434,OrderDetails!A280:A2434=A280), 0, 4))</f>
        <v>1344</v>
      </c>
      <c r="F280">
        <v>1344</v>
      </c>
    </row>
    <row r="281" spans="1:6" x14ac:dyDescent="0.2">
      <c r="A281">
        <v>10527</v>
      </c>
      <c r="E281" cm="1">
        <f t="array" ref="E281">SUM(INDEX(_xlfn._xlws.FILTER(OrderDetails!A281:E2435,OrderDetails!A281:A2435=A281), 0, 3) * INDEX(_xlfn._xlws.FILTER(OrderDetails!A281:E2435,OrderDetails!A281:A2435=A281), 0, 4))</f>
        <v>1670</v>
      </c>
      <c r="F281">
        <v>1670</v>
      </c>
    </row>
    <row r="282" spans="1:6" x14ac:dyDescent="0.2">
      <c r="A282">
        <v>10528</v>
      </c>
      <c r="E282" cm="1">
        <f t="array" ref="E282">SUM(INDEX(_xlfn._xlws.FILTER(OrderDetails!A282:E2436,OrderDetails!A282:A2436=A282), 0, 3) * INDEX(_xlfn._xlws.FILTER(OrderDetails!A282:E2436,OrderDetails!A282:A2436=A282), 0, 4))</f>
        <v>396.2</v>
      </c>
      <c r="F282">
        <v>396</v>
      </c>
    </row>
    <row r="283" spans="1:6" x14ac:dyDescent="0.2">
      <c r="A283">
        <v>10529</v>
      </c>
      <c r="E283" cm="1">
        <f t="array" ref="E283">SUM(INDEX(_xlfn._xlws.FILTER(OrderDetails!A283:E2437,OrderDetails!A283:A2437=A283), 0, 3) * INDEX(_xlfn._xlws.FILTER(OrderDetails!A283:E2437,OrderDetails!A283:A2437=A283), 0, 4))</f>
        <v>946</v>
      </c>
      <c r="F283">
        <v>946</v>
      </c>
    </row>
    <row r="284" spans="1:6" x14ac:dyDescent="0.2">
      <c r="A284">
        <v>10530</v>
      </c>
      <c r="E284" cm="1">
        <f t="array" ref="E284">SUM(INDEX(_xlfn._xlws.FILTER(OrderDetails!A284:E2438,OrderDetails!A284:A2438=A284), 0, 3) * INDEX(_xlfn._xlws.FILTER(OrderDetails!A284:E2438,OrderDetails!A284:A2438=A284), 0, 4))</f>
        <v>4180</v>
      </c>
      <c r="F284">
        <v>4180</v>
      </c>
    </row>
    <row r="285" spans="1:6" x14ac:dyDescent="0.2">
      <c r="A285">
        <v>10531</v>
      </c>
      <c r="E285" cm="1">
        <f t="array" ref="E285">SUM(INDEX(_xlfn._xlws.FILTER(OrderDetails!A285:E2439,OrderDetails!A285:A2439=A285), 0, 3) * INDEX(_xlfn._xlws.FILTER(OrderDetails!A285:E2439,OrderDetails!A285:A2439=A285), 0, 4))</f>
        <v>110</v>
      </c>
      <c r="F285">
        <v>110</v>
      </c>
    </row>
    <row r="286" spans="1:6" x14ac:dyDescent="0.2">
      <c r="A286">
        <v>10532</v>
      </c>
      <c r="E286" cm="1">
        <f t="array" ref="E286">SUM(INDEX(_xlfn._xlws.FILTER(OrderDetails!A286:E2440,OrderDetails!A286:A2440=A286), 0, 3) * INDEX(_xlfn._xlws.FILTER(OrderDetails!A286:E2440,OrderDetails!A286:A2440=A286), 0, 4))</f>
        <v>796.35</v>
      </c>
      <c r="F286">
        <v>796</v>
      </c>
    </row>
    <row r="287" spans="1:6" x14ac:dyDescent="0.2">
      <c r="A287">
        <v>10533</v>
      </c>
      <c r="E287" cm="1">
        <f t="array" ref="E287">SUM(INDEX(_xlfn._xlws.FILTER(OrderDetails!A287:E2441,OrderDetails!A287:A2441=A287), 0, 3) * INDEX(_xlfn._xlws.FILTER(OrderDetails!A287:E2441,OrderDetails!A287:A2441=A287), 0, 4))</f>
        <v>2295.1999999999998</v>
      </c>
      <c r="F287">
        <v>2295</v>
      </c>
    </row>
    <row r="288" spans="1:6" x14ac:dyDescent="0.2">
      <c r="A288">
        <v>10534</v>
      </c>
      <c r="E288" cm="1">
        <f t="array" ref="E288">SUM(INDEX(_xlfn._xlws.FILTER(OrderDetails!A288:E2442,OrderDetails!A288:A2442=A288), 0, 3) * INDEX(_xlfn._xlws.FILTER(OrderDetails!A288:E2442,OrderDetails!A288:A2442=A288), 0, 4))</f>
        <v>517.4</v>
      </c>
      <c r="F288">
        <v>518</v>
      </c>
    </row>
    <row r="289" spans="1:6" x14ac:dyDescent="0.2">
      <c r="A289">
        <v>10535</v>
      </c>
      <c r="E289" cm="1">
        <f t="array" ref="E289">SUM(INDEX(_xlfn._xlws.FILTER(OrderDetails!A289:E2443,OrderDetails!A289:A2443=A289), 0, 3) * INDEX(_xlfn._xlws.FILTER(OrderDetails!A289:E2443,OrderDetails!A289:A2443=A289), 0, 4))</f>
        <v>2156.5</v>
      </c>
      <c r="F289">
        <v>2157</v>
      </c>
    </row>
    <row r="290" spans="1:6" x14ac:dyDescent="0.2">
      <c r="A290">
        <v>10536</v>
      </c>
      <c r="E290" cm="1">
        <f t="array" ref="E290">SUM(INDEX(_xlfn._xlws.FILTER(OrderDetails!A290:E2444,OrderDetails!A290:A2444=A290), 0, 3) * INDEX(_xlfn._xlws.FILTER(OrderDetails!A290:E2444,OrderDetails!A290:A2444=A290), 0, 4))</f>
        <v>2085</v>
      </c>
      <c r="F290">
        <v>2085</v>
      </c>
    </row>
    <row r="291" spans="1:6" x14ac:dyDescent="0.2">
      <c r="A291">
        <v>10537</v>
      </c>
      <c r="E291" cm="1">
        <f t="array" ref="E291">SUM(INDEX(_xlfn._xlws.FILTER(OrderDetails!A291:E2445,OrderDetails!A291:A2445=A291), 0, 3) * INDEX(_xlfn._xlws.FILTER(OrderDetails!A291:E2445,OrderDetails!A291:A2445=A291), 0, 4))</f>
        <v>1823.8</v>
      </c>
      <c r="F291">
        <v>1824</v>
      </c>
    </row>
    <row r="292" spans="1:6" x14ac:dyDescent="0.2">
      <c r="A292">
        <v>10538</v>
      </c>
      <c r="E292" cm="1">
        <f t="array" ref="E292">SUM(INDEX(_xlfn._xlws.FILTER(OrderDetails!A292:E2446,OrderDetails!A292:A2446=A292), 0, 3) * INDEX(_xlfn._xlws.FILTER(OrderDetails!A292:E2446,OrderDetails!A292:A2446=A292), 0, 4))</f>
        <v>139.80000000000001</v>
      </c>
      <c r="F292">
        <v>140</v>
      </c>
    </row>
    <row r="293" spans="1:6" x14ac:dyDescent="0.2">
      <c r="A293">
        <v>10539</v>
      </c>
      <c r="E293" cm="1">
        <f t="array" ref="E293">SUM(INDEX(_xlfn._xlws.FILTER(OrderDetails!A293:E2447,OrderDetails!A293:A2447=A293), 0, 3) * INDEX(_xlfn._xlws.FILTER(OrderDetails!A293:E2447,OrderDetails!A293:A2447=A293), 0, 4))</f>
        <v>355.5</v>
      </c>
      <c r="F293">
        <v>356</v>
      </c>
    </row>
    <row r="294" spans="1:6" x14ac:dyDescent="0.2">
      <c r="A294">
        <v>10540</v>
      </c>
      <c r="E294" cm="1">
        <f t="array" ref="E294">SUM(INDEX(_xlfn._xlws.FILTER(OrderDetails!A294:E2448,OrderDetails!A294:A2448=A294), 0, 3) * INDEX(_xlfn._xlws.FILTER(OrderDetails!A294:E2448,OrderDetails!A294:A2448=A294), 0, 4))</f>
        <v>10191.700000000001</v>
      </c>
      <c r="F294">
        <v>10192</v>
      </c>
    </row>
    <row r="295" spans="1:6" x14ac:dyDescent="0.2">
      <c r="A295">
        <v>10541</v>
      </c>
      <c r="E295" cm="1">
        <f t="array" ref="E295">SUM(INDEX(_xlfn._xlws.FILTER(OrderDetails!A295:E2449,OrderDetails!A295:A2449=A295), 0, 3) * INDEX(_xlfn._xlws.FILTER(OrderDetails!A295:E2449,OrderDetails!A295:A2449=A295), 0, 4))</f>
        <v>2162.8000000000002</v>
      </c>
      <c r="F295">
        <v>2164</v>
      </c>
    </row>
    <row r="296" spans="1:6" x14ac:dyDescent="0.2">
      <c r="A296">
        <v>10542</v>
      </c>
      <c r="E296" cm="1">
        <f t="array" ref="E296">SUM(INDEX(_xlfn._xlws.FILTER(OrderDetails!A296:E2450,OrderDetails!A296:A2450=A296), 0, 3) * INDEX(_xlfn._xlws.FILTER(OrderDetails!A296:E2450,OrderDetails!A296:A2450=A296), 0, 4))</f>
        <v>493.8</v>
      </c>
      <c r="F296">
        <v>494</v>
      </c>
    </row>
    <row r="297" spans="1:6" x14ac:dyDescent="0.2">
      <c r="A297">
        <v>10543</v>
      </c>
      <c r="E297" cm="1">
        <f t="array" ref="E297">SUM(INDEX(_xlfn._xlws.FILTER(OrderDetails!A297:E2451,OrderDetails!A297:A2451=A297), 0, 3) * INDEX(_xlfn._xlws.FILTER(OrderDetails!A297:E2451,OrderDetails!A297:A2451=A297), 0, 4))</f>
        <v>1770</v>
      </c>
      <c r="F297">
        <v>1770</v>
      </c>
    </row>
    <row r="298" spans="1:6" x14ac:dyDescent="0.2">
      <c r="A298">
        <v>10544</v>
      </c>
      <c r="E298" cm="1">
        <f t="array" ref="E298">SUM(INDEX(_xlfn._xlws.FILTER(OrderDetails!A298:E2452,OrderDetails!A298:A2452=A298), 0, 3) * INDEX(_xlfn._xlws.FILTER(OrderDetails!A298:E2452,OrderDetails!A298:A2452=A298), 0, 4))</f>
        <v>417.2</v>
      </c>
      <c r="F298">
        <v>417</v>
      </c>
    </row>
    <row r="299" spans="1:6" x14ac:dyDescent="0.2">
      <c r="A299">
        <v>10545</v>
      </c>
      <c r="E299" cm="1">
        <f t="array" ref="E299">SUM(INDEX(_xlfn._xlws.FILTER(OrderDetails!A299:E2453,OrderDetails!A299:A2453=A299), 0, 3) * INDEX(_xlfn._xlws.FILTER(OrderDetails!A299:E2453,OrderDetails!A299:A2453=A299), 0, 4))</f>
        <v>210</v>
      </c>
      <c r="F299">
        <v>210</v>
      </c>
    </row>
    <row r="300" spans="1:6" x14ac:dyDescent="0.2">
      <c r="A300">
        <v>10546</v>
      </c>
      <c r="E300" cm="1">
        <f t="array" ref="E300">SUM(INDEX(_xlfn._xlws.FILTER(OrderDetails!A300:E2454,OrderDetails!A300:A2454=A300), 0, 3) * INDEX(_xlfn._xlws.FILTER(OrderDetails!A300:E2454,OrderDetails!A300:A2454=A300), 0, 4))</f>
        <v>2812</v>
      </c>
      <c r="F300">
        <v>2812</v>
      </c>
    </row>
    <row r="301" spans="1:6" x14ac:dyDescent="0.2">
      <c r="A301">
        <v>10547</v>
      </c>
      <c r="E301" cm="1">
        <f t="array" ref="E301">SUM(INDEX(_xlfn._xlws.FILTER(OrderDetails!A301:E2455,OrderDetails!A301:A2455=A301), 0, 3) * INDEX(_xlfn._xlws.FILTER(OrderDetails!A301:E2455,OrderDetails!A301:A2455=A301), 0, 4))</f>
        <v>1908</v>
      </c>
      <c r="F301">
        <v>1908</v>
      </c>
    </row>
    <row r="302" spans="1:6" x14ac:dyDescent="0.2">
      <c r="A302">
        <v>10548</v>
      </c>
      <c r="E302" cm="1">
        <f t="array" ref="E302">SUM(INDEX(_xlfn._xlws.FILTER(OrderDetails!A302:E2456,OrderDetails!A302:A2456=A302), 0, 3) * INDEX(_xlfn._xlws.FILTER(OrderDetails!A302:E2456,OrderDetails!A302:A2456=A302), 0, 4))</f>
        <v>275.10000000000002</v>
      </c>
      <c r="F302">
        <v>275</v>
      </c>
    </row>
    <row r="303" spans="1:6" x14ac:dyDescent="0.2">
      <c r="A303">
        <v>10549</v>
      </c>
      <c r="E303" cm="1">
        <f t="array" ref="E303">SUM(INDEX(_xlfn._xlws.FILTER(OrderDetails!A303:E2457,OrderDetails!A303:A2457=A303), 0, 3) * INDEX(_xlfn._xlws.FILTER(OrderDetails!A303:E2457,OrderDetails!A303:A2457=A303), 0, 4))</f>
        <v>4181.5</v>
      </c>
      <c r="F303">
        <v>4182</v>
      </c>
    </row>
    <row r="304" spans="1:6" x14ac:dyDescent="0.2">
      <c r="A304">
        <v>10550</v>
      </c>
      <c r="E304" cm="1">
        <f t="array" ref="E304">SUM(INDEX(_xlfn._xlws.FILTER(OrderDetails!A304:E2458,OrderDetails!A304:A2458=A304), 0, 3) * INDEX(_xlfn._xlws.FILTER(OrderDetails!A304:E2458,OrderDetails!A304:A2458=A304), 0, 4))</f>
        <v>749</v>
      </c>
      <c r="F304">
        <v>749</v>
      </c>
    </row>
    <row r="305" spans="1:6" x14ac:dyDescent="0.2">
      <c r="A305">
        <v>10551</v>
      </c>
      <c r="E305" cm="1">
        <f t="array" ref="E305">SUM(INDEX(_xlfn._xlws.FILTER(OrderDetails!A305:E2459,OrderDetails!A305:A2459=A305), 0, 3) * INDEX(_xlfn._xlws.FILTER(OrderDetails!A305:E2459,OrderDetails!A305:A2459=A305), 0, 4))</f>
        <v>1836</v>
      </c>
      <c r="F305">
        <v>1836</v>
      </c>
    </row>
    <row r="306" spans="1:6" x14ac:dyDescent="0.2">
      <c r="A306">
        <v>10552</v>
      </c>
      <c r="E306" cm="1">
        <f t="array" ref="E306">SUM(INDEX(_xlfn._xlws.FILTER(OrderDetails!A306:E2460,OrderDetails!A306:A2460=A306), 0, 3) * INDEX(_xlfn._xlws.FILTER(OrderDetails!A306:E2460,OrderDetails!A306:A2460=A306), 0, 4))</f>
        <v>880.5</v>
      </c>
      <c r="F306">
        <v>880</v>
      </c>
    </row>
    <row r="307" spans="1:6" x14ac:dyDescent="0.2">
      <c r="A307">
        <v>10553</v>
      </c>
      <c r="E307" cm="1">
        <f t="array" ref="E307">SUM(INDEX(_xlfn._xlws.FILTER(OrderDetails!A307:E2461,OrderDetails!A307:A2461=A307), 0, 3) * INDEX(_xlfn._xlws.FILTER(OrderDetails!A307:E2461,OrderDetails!A307:A2461=A307), 0, 4))</f>
        <v>1546.3</v>
      </c>
      <c r="F307">
        <v>1546</v>
      </c>
    </row>
    <row r="308" spans="1:6" x14ac:dyDescent="0.2">
      <c r="A308">
        <v>10554</v>
      </c>
      <c r="E308" cm="1">
        <f t="array" ref="E308">SUM(INDEX(_xlfn._xlws.FILTER(OrderDetails!A308:E2462,OrderDetails!A308:A2462=A308), 0, 3) * INDEX(_xlfn._xlws.FILTER(OrderDetails!A308:E2462,OrderDetails!A308:A2462=A308), 0, 4))</f>
        <v>1819.5</v>
      </c>
      <c r="F308">
        <v>1820</v>
      </c>
    </row>
    <row r="309" spans="1:6" x14ac:dyDescent="0.2">
      <c r="A309">
        <v>10555</v>
      </c>
      <c r="E309" cm="1">
        <f t="array" ref="E309">SUM(INDEX(_xlfn._xlws.FILTER(OrderDetails!A309:E2463,OrderDetails!A309:A2463=A309), 0, 3) * INDEX(_xlfn._xlws.FILTER(OrderDetails!A309:E2463,OrderDetails!A309:A2463=A309), 0, 4))</f>
        <v>3680.5</v>
      </c>
      <c r="F309">
        <v>3681</v>
      </c>
    </row>
    <row r="310" spans="1:6" x14ac:dyDescent="0.2">
      <c r="A310">
        <v>10556</v>
      </c>
      <c r="E310" cm="1">
        <f t="array" ref="E310">SUM(INDEX(_xlfn._xlws.FILTER(OrderDetails!A310:E2464,OrderDetails!A310:A2464=A310), 0, 3) * INDEX(_xlfn._xlws.FILTER(OrderDetails!A310:E2464,OrderDetails!A310:A2464=A310), 0, 4))</f>
        <v>835.19999999999993</v>
      </c>
      <c r="F310">
        <v>835</v>
      </c>
    </row>
    <row r="311" spans="1:6" x14ac:dyDescent="0.2">
      <c r="A311">
        <v>10557</v>
      </c>
      <c r="E311" cm="1">
        <f t="array" ref="E311">SUM(INDEX(_xlfn._xlws.FILTER(OrderDetails!A311:E2465,OrderDetails!A311:A2465=A311), 0, 3) * INDEX(_xlfn._xlws.FILTER(OrderDetails!A311:E2465,OrderDetails!A311:A2465=A311), 0, 4))</f>
        <v>1152.5</v>
      </c>
      <c r="F311">
        <v>1153</v>
      </c>
    </row>
    <row r="312" spans="1:6" x14ac:dyDescent="0.2">
      <c r="A312">
        <v>10558</v>
      </c>
      <c r="E312" cm="1">
        <f t="array" ref="E312">SUM(INDEX(_xlfn._xlws.FILTER(OrderDetails!A312:E2466,OrderDetails!A312:A2466=A312), 0, 3) * INDEX(_xlfn._xlws.FILTER(OrderDetails!A312:E2466,OrderDetails!A312:A2466=A312), 0, 4))</f>
        <v>2142.9</v>
      </c>
      <c r="F312">
        <v>2143</v>
      </c>
    </row>
    <row r="313" spans="1:6" x14ac:dyDescent="0.2">
      <c r="A313">
        <v>10559</v>
      </c>
      <c r="E313" cm="1">
        <f t="array" ref="E313">SUM(INDEX(_xlfn._xlws.FILTER(OrderDetails!A313:E2467,OrderDetails!A313:A2467=A313), 0, 3) * INDEX(_xlfn._xlws.FILTER(OrderDetails!A313:E2467,OrderDetails!A313:A2467=A313), 0, 4))</f>
        <v>547.79999999999995</v>
      </c>
      <c r="F313">
        <v>548</v>
      </c>
    </row>
    <row r="314" spans="1:6" x14ac:dyDescent="0.2">
      <c r="A314">
        <v>10560</v>
      </c>
      <c r="E314" cm="1">
        <f t="array" ref="E314">SUM(INDEX(_xlfn._xlws.FILTER(OrderDetails!A314:E2468,OrderDetails!A314:A2468=A314), 0, 3) * INDEX(_xlfn._xlws.FILTER(OrderDetails!A314:E2468,OrderDetails!A314:A2468=A314), 0, 4))</f>
        <v>1257.3</v>
      </c>
      <c r="F314">
        <v>1258</v>
      </c>
    </row>
    <row r="315" spans="1:6" x14ac:dyDescent="0.2">
      <c r="A315">
        <v>10561</v>
      </c>
      <c r="E315" cm="1">
        <f t="array" ref="E315">SUM(INDEX(_xlfn._xlws.FILTER(OrderDetails!A315:E2469,OrderDetails!A315:A2469=A315), 0, 3) * INDEX(_xlfn._xlws.FILTER(OrderDetails!A315:E2469,OrderDetails!A315:A2469=A315), 0, 4))</f>
        <v>2844.5</v>
      </c>
      <c r="F315">
        <v>2844</v>
      </c>
    </row>
    <row r="316" spans="1:6" x14ac:dyDescent="0.2">
      <c r="A316">
        <v>10562</v>
      </c>
      <c r="E316" cm="1">
        <f t="array" ref="E316">SUM(INDEX(_xlfn._xlws.FILTER(OrderDetails!A316:E2470,OrderDetails!A316:A2470=A316), 0, 3) * INDEX(_xlfn._xlws.FILTER(OrderDetails!A316:E2470,OrderDetails!A316:A2470=A316), 0, 4))</f>
        <v>543</v>
      </c>
      <c r="F316">
        <v>543</v>
      </c>
    </row>
    <row r="317" spans="1:6" x14ac:dyDescent="0.2">
      <c r="A317">
        <v>10563</v>
      </c>
      <c r="E317" cm="1">
        <f t="array" ref="E317">SUM(INDEX(_xlfn._xlws.FILTER(OrderDetails!A317:E2471,OrderDetails!A317:A2471=A317), 0, 3) * INDEX(_xlfn._xlws.FILTER(OrderDetails!A317:E2471,OrderDetails!A317:A2471=A317), 0, 4))</f>
        <v>965</v>
      </c>
      <c r="F317">
        <v>965</v>
      </c>
    </row>
    <row r="318" spans="1:6" x14ac:dyDescent="0.2">
      <c r="A318">
        <v>10564</v>
      </c>
      <c r="E318" cm="1">
        <f t="array" ref="E318">SUM(INDEX(_xlfn._xlws.FILTER(OrderDetails!A318:E2472,OrderDetails!A318:A2472=A318), 0, 3) * INDEX(_xlfn._xlws.FILTER(OrderDetails!A318:E2472,OrderDetails!A318:A2472=A318), 0, 4))</f>
        <v>1299</v>
      </c>
      <c r="F318">
        <v>1299</v>
      </c>
    </row>
    <row r="319" spans="1:6" x14ac:dyDescent="0.2">
      <c r="A319">
        <v>10565</v>
      </c>
      <c r="E319" cm="1">
        <f t="array" ref="E319">SUM(INDEX(_xlfn._xlws.FILTER(OrderDetails!A319:E2473,OrderDetails!A319:A2473=A319), 0, 3) * INDEX(_xlfn._xlws.FILTER(OrderDetails!A319:E2473,OrderDetails!A319:A2473=A319), 0, 4))</f>
        <v>711</v>
      </c>
      <c r="F319">
        <v>710</v>
      </c>
    </row>
    <row r="320" spans="1:6" x14ac:dyDescent="0.2">
      <c r="A320">
        <v>10566</v>
      </c>
      <c r="E320" cm="1">
        <f t="array" ref="E320">SUM(INDEX(_xlfn._xlws.FILTER(OrderDetails!A320:E2474,OrderDetails!A320:A2474=A320), 0, 3) * INDEX(_xlfn._xlws.FILTER(OrderDetails!A320:E2474,OrderDetails!A320:A2474=A320), 0, 4))</f>
        <v>2040</v>
      </c>
      <c r="F320">
        <v>2040</v>
      </c>
    </row>
    <row r="321" spans="1:6" x14ac:dyDescent="0.2">
      <c r="A321">
        <v>10567</v>
      </c>
      <c r="E321" cm="1">
        <f t="array" ref="E321">SUM(INDEX(_xlfn._xlws.FILTER(OrderDetails!A321:E2475,OrderDetails!A321:A2475=A321), 0, 3) * INDEX(_xlfn._xlws.FILTER(OrderDetails!A321:E2475,OrderDetails!A321:A2475=A321), 0, 4))</f>
        <v>3109</v>
      </c>
      <c r="F321">
        <v>3109</v>
      </c>
    </row>
    <row r="322" spans="1:6" x14ac:dyDescent="0.2">
      <c r="A322">
        <v>10568</v>
      </c>
      <c r="E322" cm="1">
        <f t="array" ref="E322">SUM(INDEX(_xlfn._xlws.FILTER(OrderDetails!A322:E2476,OrderDetails!A322:A2476=A322), 0, 3) * INDEX(_xlfn._xlws.FILTER(OrderDetails!A322:E2476,OrderDetails!A322:A2476=A322), 0, 4))</f>
        <v>155</v>
      </c>
      <c r="F322">
        <v>155</v>
      </c>
    </row>
    <row r="323" spans="1:6" x14ac:dyDescent="0.2">
      <c r="A323">
        <v>10569</v>
      </c>
      <c r="E323" cm="1">
        <f t="array" ref="E323">SUM(INDEX(_xlfn._xlws.FILTER(OrderDetails!A323:E2477,OrderDetails!A323:A2477=A323), 0, 3) * INDEX(_xlfn._xlws.FILTER(OrderDetails!A323:E2477,OrderDetails!A323:A2477=A323), 0, 4))</f>
        <v>977.5</v>
      </c>
      <c r="F323">
        <v>978</v>
      </c>
    </row>
    <row r="324" spans="1:6" x14ac:dyDescent="0.2">
      <c r="A324">
        <v>10570</v>
      </c>
      <c r="E324" cm="1">
        <f t="array" ref="E324">SUM(INDEX(_xlfn._xlws.FILTER(OrderDetails!A324:E2478,OrderDetails!A324:A2478=A324), 0, 3) * INDEX(_xlfn._xlws.FILTER(OrderDetails!A324:E2478,OrderDetails!A324:A2478=A324), 0, 4))</f>
        <v>2595</v>
      </c>
      <c r="F324">
        <v>2595</v>
      </c>
    </row>
    <row r="325" spans="1:6" x14ac:dyDescent="0.2">
      <c r="A325">
        <v>10571</v>
      </c>
      <c r="E325" cm="1">
        <f t="array" ref="E325">SUM(INDEX(_xlfn._xlws.FILTER(OrderDetails!A325:E2479,OrderDetails!A325:A2479=A325), 0, 3) * INDEX(_xlfn._xlws.FILTER(OrderDetails!A325:E2479,OrderDetails!A325:A2479=A325), 0, 4))</f>
        <v>647.75</v>
      </c>
      <c r="F325">
        <v>648</v>
      </c>
    </row>
    <row r="326" spans="1:6" x14ac:dyDescent="0.2">
      <c r="A326">
        <v>10572</v>
      </c>
      <c r="E326" cm="1">
        <f t="array" ref="E326">SUM(INDEX(_xlfn._xlws.FILTER(OrderDetails!A326:E2480,OrderDetails!A326:A2480=A326), 0, 3) * INDEX(_xlfn._xlws.FILTER(OrderDetails!A326:E2480,OrderDetails!A326:A2480=A326), 0, 4))</f>
        <v>1565.6499999999999</v>
      </c>
      <c r="F326">
        <v>1565</v>
      </c>
    </row>
    <row r="327" spans="1:6" x14ac:dyDescent="0.2">
      <c r="A327">
        <v>10573</v>
      </c>
      <c r="E327" cm="1">
        <f t="array" ref="E327">SUM(INDEX(_xlfn._xlws.FILTER(OrderDetails!A327:E2481,OrderDetails!A327:A2481=A327), 0, 3) * INDEX(_xlfn._xlws.FILTER(OrderDetails!A327:E2481,OrderDetails!A327:A2481=A327), 0, 4))</f>
        <v>2082</v>
      </c>
      <c r="F327">
        <v>2082</v>
      </c>
    </row>
    <row r="328" spans="1:6" x14ac:dyDescent="0.2">
      <c r="A328">
        <v>10574</v>
      </c>
      <c r="E328" cm="1">
        <f t="array" ref="E328">SUM(INDEX(_xlfn._xlws.FILTER(OrderDetails!A328:E2482,OrderDetails!A328:A2482=A328), 0, 3) * INDEX(_xlfn._xlws.FILTER(OrderDetails!A328:E2482,OrderDetails!A328:A2482=A328), 0, 4))</f>
        <v>764.3</v>
      </c>
      <c r="F328">
        <v>764</v>
      </c>
    </row>
    <row r="329" spans="1:6" x14ac:dyDescent="0.2">
      <c r="A329">
        <v>10575</v>
      </c>
      <c r="E329" cm="1">
        <f t="array" ref="E329">SUM(INDEX(_xlfn._xlws.FILTER(OrderDetails!A329:E2483,OrderDetails!A329:A2483=A329), 0, 3) * INDEX(_xlfn._xlws.FILTER(OrderDetails!A329:E2483,OrderDetails!A329:A2483=A329), 0, 4))</f>
        <v>2147.4</v>
      </c>
      <c r="F329">
        <v>2147</v>
      </c>
    </row>
    <row r="330" spans="1:6" x14ac:dyDescent="0.2">
      <c r="A330">
        <v>10576</v>
      </c>
      <c r="E330" cm="1">
        <f t="array" ref="E330">SUM(INDEX(_xlfn._xlws.FILTER(OrderDetails!A330:E2484,OrderDetails!A330:A2484=A330), 0, 3) * INDEX(_xlfn._xlws.FILTER(OrderDetails!A330:E2484,OrderDetails!A330:A2484=A330), 0, 4))</f>
        <v>838.45</v>
      </c>
      <c r="F330">
        <v>838</v>
      </c>
    </row>
    <row r="331" spans="1:6" x14ac:dyDescent="0.2">
      <c r="A331">
        <v>10577</v>
      </c>
      <c r="E331" cm="1">
        <f t="array" ref="E331">SUM(INDEX(_xlfn._xlws.FILTER(OrderDetails!A331:E2485,OrderDetails!A331:A2485=A331), 0, 3) * INDEX(_xlfn._xlws.FILTER(OrderDetails!A331:E2485,OrderDetails!A331:A2485=A331), 0, 4))</f>
        <v>569</v>
      </c>
      <c r="F331">
        <v>569</v>
      </c>
    </row>
    <row r="332" spans="1:6" x14ac:dyDescent="0.2">
      <c r="A332">
        <v>10578</v>
      </c>
      <c r="E332" cm="1">
        <f t="array" ref="E332">SUM(INDEX(_xlfn._xlws.FILTER(OrderDetails!A332:E2486,OrderDetails!A332:A2486=A332), 0, 3) * INDEX(_xlfn._xlws.FILTER(OrderDetails!A332:E2486,OrderDetails!A332:A2486=A332), 0, 4))</f>
        <v>477</v>
      </c>
      <c r="F332">
        <v>477</v>
      </c>
    </row>
    <row r="333" spans="1:6" x14ac:dyDescent="0.2">
      <c r="A333">
        <v>10579</v>
      </c>
      <c r="E333" cm="1">
        <f t="array" ref="E333">SUM(INDEX(_xlfn._xlws.FILTER(OrderDetails!A333:E2487,OrderDetails!A333:A2487=A333), 0, 3) * INDEX(_xlfn._xlws.FILTER(OrderDetails!A333:E2487,OrderDetails!A333:A2487=A333), 0, 4))</f>
        <v>317.75</v>
      </c>
      <c r="F333">
        <v>318</v>
      </c>
    </row>
    <row r="334" spans="1:6" x14ac:dyDescent="0.2">
      <c r="A334">
        <v>10580</v>
      </c>
      <c r="E334" cm="1">
        <f t="array" ref="E334">SUM(INDEX(_xlfn._xlws.FILTER(OrderDetails!A334:E2488,OrderDetails!A334:A2488=A334), 0, 3) * INDEX(_xlfn._xlws.FILTER(OrderDetails!A334:E2488,OrderDetails!A334:A2488=A334), 0, 4))</f>
        <v>1067.0999999999999</v>
      </c>
      <c r="F334">
        <v>1068</v>
      </c>
    </row>
    <row r="335" spans="1:6" x14ac:dyDescent="0.2">
      <c r="A335">
        <v>10581</v>
      </c>
      <c r="E335" cm="1">
        <f t="array" ref="E335">SUM(INDEX(_xlfn._xlws.FILTER(OrderDetails!A335:E2489,OrderDetails!A335:A2489=A335), 0, 3) * INDEX(_xlfn._xlws.FILTER(OrderDetails!A335:E2489,OrderDetails!A335:A2489=A335), 0, 4))</f>
        <v>387.5</v>
      </c>
      <c r="F335">
        <v>388</v>
      </c>
    </row>
    <row r="336" spans="1:6" x14ac:dyDescent="0.2">
      <c r="A336">
        <v>10582</v>
      </c>
      <c r="E336" cm="1">
        <f t="array" ref="E336">SUM(INDEX(_xlfn._xlws.FILTER(OrderDetails!A336:E2490,OrderDetails!A336:A2490=A336), 0, 3) * INDEX(_xlfn._xlws.FILTER(OrderDetails!A336:E2490,OrderDetails!A336:A2490=A336), 0, 4))</f>
        <v>330</v>
      </c>
      <c r="F336">
        <v>330</v>
      </c>
    </row>
    <row r="337" spans="1:6" x14ac:dyDescent="0.2">
      <c r="A337">
        <v>10583</v>
      </c>
      <c r="E337" cm="1">
        <f t="array" ref="E337">SUM(INDEX(_xlfn._xlws.FILTER(OrderDetails!A337:E2491,OrderDetails!A337:A2491=A337), 0, 3) * INDEX(_xlfn._xlws.FILTER(OrderDetails!A337:E2491,OrderDetails!A337:A2491=A337), 0, 4))</f>
        <v>2413.9</v>
      </c>
      <c r="F337">
        <v>2414</v>
      </c>
    </row>
    <row r="338" spans="1:6" x14ac:dyDescent="0.2">
      <c r="A338">
        <v>10584</v>
      </c>
      <c r="E338" cm="1">
        <f t="array" ref="E338">SUM(INDEX(_xlfn._xlws.FILTER(OrderDetails!A338:E2492,OrderDetails!A338:A2492=A338), 0, 3) * INDEX(_xlfn._xlws.FILTER(OrderDetails!A338:E2492,OrderDetails!A338:A2492=A338), 0, 4))</f>
        <v>625</v>
      </c>
      <c r="F338">
        <v>625</v>
      </c>
    </row>
    <row r="339" spans="1:6" x14ac:dyDescent="0.2">
      <c r="A339">
        <v>10585</v>
      </c>
      <c r="E339" cm="1">
        <f t="array" ref="E339">SUM(INDEX(_xlfn._xlws.FILTER(OrderDetails!A339:E2493,OrderDetails!A339:A2493=A339), 0, 3) * INDEX(_xlfn._xlws.FILTER(OrderDetails!A339:E2493,OrderDetails!A339:A2493=A339), 0, 4))</f>
        <v>142.5</v>
      </c>
      <c r="F339">
        <v>142</v>
      </c>
    </row>
    <row r="340" spans="1:6" x14ac:dyDescent="0.2">
      <c r="A340">
        <v>10586</v>
      </c>
      <c r="E340" cm="1">
        <f t="array" ref="E340">SUM(INDEX(_xlfn._xlws.FILTER(OrderDetails!A340:E2494,OrderDetails!A340:A2494=A340), 0, 3) * INDEX(_xlfn._xlws.FILTER(OrderDetails!A340:E2494,OrderDetails!A340:A2494=A340), 0, 4))</f>
        <v>28</v>
      </c>
      <c r="F340">
        <v>28</v>
      </c>
    </row>
    <row r="341" spans="1:6" x14ac:dyDescent="0.2">
      <c r="A341">
        <v>10587</v>
      </c>
      <c r="E341" cm="1">
        <f t="array" ref="E341">SUM(INDEX(_xlfn._xlws.FILTER(OrderDetails!A341:E2495,OrderDetails!A341:A2495=A341), 0, 3) * INDEX(_xlfn._xlws.FILTER(OrderDetails!A341:E2495,OrderDetails!A341:A2495=A341), 0, 4))</f>
        <v>807.38</v>
      </c>
      <c r="F341">
        <v>807</v>
      </c>
    </row>
    <row r="342" spans="1:6" x14ac:dyDescent="0.2">
      <c r="A342">
        <v>10588</v>
      </c>
      <c r="E342" cm="1">
        <f t="array" ref="E342">SUM(INDEX(_xlfn._xlws.FILTER(OrderDetails!A342:E2496,OrderDetails!A342:A2496=A342), 0, 3) * INDEX(_xlfn._xlws.FILTER(OrderDetails!A342:E2496,OrderDetails!A342:A2496=A342), 0, 4))</f>
        <v>3900</v>
      </c>
      <c r="F342">
        <v>3900</v>
      </c>
    </row>
    <row r="343" spans="1:6" x14ac:dyDescent="0.2">
      <c r="A343">
        <v>10589</v>
      </c>
      <c r="E343" cm="1">
        <f t="array" ref="E343">SUM(INDEX(_xlfn._xlws.FILTER(OrderDetails!A343:E2497,OrderDetails!A343:A2497=A343), 0, 3) * INDEX(_xlfn._xlws.FILTER(OrderDetails!A343:E2497,OrderDetails!A343:A2497=A343), 0, 4))</f>
        <v>72</v>
      </c>
      <c r="F343">
        <v>72</v>
      </c>
    </row>
    <row r="344" spans="1:6" x14ac:dyDescent="0.2">
      <c r="A344">
        <v>10590</v>
      </c>
      <c r="E344" cm="1">
        <f t="array" ref="E344">SUM(INDEX(_xlfn._xlws.FILTER(OrderDetails!A344:E2498,OrderDetails!A344:A2498=A344), 0, 3) * INDEX(_xlfn._xlws.FILTER(OrderDetails!A344:E2498,OrderDetails!A344:A2498=A344), 0, 4))</f>
        <v>1140</v>
      </c>
      <c r="F344">
        <v>1140</v>
      </c>
    </row>
    <row r="345" spans="1:6" x14ac:dyDescent="0.2">
      <c r="A345">
        <v>10591</v>
      </c>
      <c r="E345" cm="1">
        <f t="array" ref="E345">SUM(INDEX(_xlfn._xlws.FILTER(OrderDetails!A345:E2499,OrderDetails!A345:A2499=A345), 0, 3) * INDEX(_xlfn._xlws.FILTER(OrderDetails!A345:E2499,OrderDetails!A345:A2499=A345), 0, 4))</f>
        <v>812.5</v>
      </c>
      <c r="F345">
        <v>812</v>
      </c>
    </row>
    <row r="346" spans="1:6" x14ac:dyDescent="0.2">
      <c r="A346">
        <v>10592</v>
      </c>
      <c r="E346" cm="1">
        <f t="array" ref="E346">SUM(INDEX(_xlfn._xlws.FILTER(OrderDetails!A346:E2500,OrderDetails!A346:A2500=A346), 0, 3) * INDEX(_xlfn._xlws.FILTER(OrderDetails!A346:E2500,OrderDetails!A346:A2500=A346), 0, 4))</f>
        <v>543.65</v>
      </c>
      <c r="F346">
        <v>544</v>
      </c>
    </row>
    <row r="347" spans="1:6" x14ac:dyDescent="0.2">
      <c r="A347">
        <v>10593</v>
      </c>
      <c r="E347" cm="1">
        <f t="array" ref="E347">SUM(INDEX(_xlfn._xlws.FILTER(OrderDetails!A347:E2501,OrderDetails!A347:A2501=A347), 0, 3) * INDEX(_xlfn._xlws.FILTER(OrderDetails!A347:E2501,OrderDetails!A347:A2501=A347), 0, 4))</f>
        <v>2493</v>
      </c>
      <c r="F347">
        <v>2493</v>
      </c>
    </row>
    <row r="348" spans="1:6" x14ac:dyDescent="0.2">
      <c r="A348">
        <v>10594</v>
      </c>
      <c r="E348" cm="1">
        <f t="array" ref="E348">SUM(INDEX(_xlfn._xlws.FILTER(OrderDetails!A348:E2502,OrderDetails!A348:A2502=A348), 0, 3) * INDEX(_xlfn._xlws.FILTER(OrderDetails!A348:E2502,OrderDetails!A348:A2502=A348), 0, 4))</f>
        <v>565.5</v>
      </c>
      <c r="F348">
        <v>566</v>
      </c>
    </row>
    <row r="349" spans="1:6" x14ac:dyDescent="0.2">
      <c r="A349">
        <v>10595</v>
      </c>
      <c r="E349" cm="1">
        <f t="array" ref="E349">SUM(INDEX(_xlfn._xlws.FILTER(OrderDetails!A349:E2503,OrderDetails!A349:A2503=A349), 0, 3) * INDEX(_xlfn._xlws.FILTER(OrderDetails!A349:E2503,OrderDetails!A349:A2503=A349), 0, 4))</f>
        <v>6300</v>
      </c>
      <c r="F349">
        <v>6300</v>
      </c>
    </row>
    <row r="350" spans="1:6" x14ac:dyDescent="0.2">
      <c r="A350">
        <v>10596</v>
      </c>
      <c r="E350" cm="1">
        <f t="array" ref="E350">SUM(INDEX(_xlfn._xlws.FILTER(OrderDetails!A350:E2504,OrderDetails!A350:A2504=A350), 0, 3) * INDEX(_xlfn._xlws.FILTER(OrderDetails!A350:E2504,OrderDetails!A350:A2504=A350), 0, 4))</f>
        <v>1476.1</v>
      </c>
      <c r="F350">
        <v>1476</v>
      </c>
    </row>
    <row r="351" spans="1:6" x14ac:dyDescent="0.2">
      <c r="A351">
        <v>10597</v>
      </c>
      <c r="E351" cm="1">
        <f t="array" ref="E351">SUM(INDEX(_xlfn._xlws.FILTER(OrderDetails!A351:E2505,OrderDetails!A351:A2505=A351), 0, 3) * INDEX(_xlfn._xlws.FILTER(OrderDetails!A351:E2505,OrderDetails!A351:A2505=A351), 0, 4))</f>
        <v>800.1</v>
      </c>
      <c r="F351">
        <v>801</v>
      </c>
    </row>
    <row r="352" spans="1:6" x14ac:dyDescent="0.2">
      <c r="A352">
        <v>10598</v>
      </c>
      <c r="E352" cm="1">
        <f t="array" ref="E352">SUM(INDEX(_xlfn._xlws.FILTER(OrderDetails!A352:E2506,OrderDetails!A352:A2506=A352), 0, 3) * INDEX(_xlfn._xlws.FILTER(OrderDetails!A352:E2506,OrderDetails!A352:A2506=A352), 0, 4))</f>
        <v>2388.5</v>
      </c>
      <c r="F352">
        <v>2388</v>
      </c>
    </row>
    <row r="353" spans="1:6" x14ac:dyDescent="0.2">
      <c r="A353">
        <v>10599</v>
      </c>
      <c r="E353" cm="1">
        <f t="array" ref="E353">SUM(INDEX(_xlfn._xlws.FILTER(OrderDetails!A353:E2507,OrderDetails!A353:A2507=A353), 0, 3) * INDEX(_xlfn._xlws.FILTER(OrderDetails!A353:E2507,OrderDetails!A353:A2507=A353), 0, 4))</f>
        <v>493</v>
      </c>
      <c r="F353">
        <v>493</v>
      </c>
    </row>
    <row r="354" spans="1:6" x14ac:dyDescent="0.2">
      <c r="A354">
        <v>10600</v>
      </c>
      <c r="E354" cm="1">
        <f t="array" ref="E354">SUM(INDEX(_xlfn._xlws.FILTER(OrderDetails!A354:E2508,OrderDetails!A354:A2508=A354), 0, 3) * INDEX(_xlfn._xlws.FILTER(OrderDetails!A354:E2508,OrderDetails!A354:A2508=A354), 0, 4))</f>
        <v>479.8</v>
      </c>
      <c r="F354">
        <v>480</v>
      </c>
    </row>
    <row r="355" spans="1:6" x14ac:dyDescent="0.2">
      <c r="A355">
        <v>10601</v>
      </c>
      <c r="E355" cm="1">
        <f t="array" ref="E355">SUM(INDEX(_xlfn._xlws.FILTER(OrderDetails!A355:E2509,OrderDetails!A355:A2509=A355), 0, 3) * INDEX(_xlfn._xlws.FILTER(OrderDetails!A355:E2509,OrderDetails!A355:A2509=A355), 0, 4))</f>
        <v>2285</v>
      </c>
      <c r="F355">
        <v>2285</v>
      </c>
    </row>
    <row r="356" spans="1:6" x14ac:dyDescent="0.2">
      <c r="A356">
        <v>10602</v>
      </c>
      <c r="E356" cm="1">
        <f t="array" ref="E356">SUM(INDEX(_xlfn._xlws.FILTER(OrderDetails!A356:E2510,OrderDetails!A356:A2510=A356), 0, 3) * INDEX(_xlfn._xlws.FILTER(OrderDetails!A356:E2510,OrderDetails!A356:A2510=A356), 0, 4))</f>
        <v>65</v>
      </c>
      <c r="F356">
        <v>65</v>
      </c>
    </row>
    <row r="357" spans="1:6" x14ac:dyDescent="0.2">
      <c r="A357">
        <v>10603</v>
      </c>
      <c r="E357" cm="1">
        <f t="array" ref="E357">SUM(INDEX(_xlfn._xlws.FILTER(OrderDetails!A357:E2511,OrderDetails!A357:A2511=A357), 0, 3) * INDEX(_xlfn._xlws.FILTER(OrderDetails!A357:E2511,OrderDetails!A357:A2511=A357), 0, 4))</f>
        <v>1508</v>
      </c>
      <c r="F357">
        <v>1508</v>
      </c>
    </row>
    <row r="358" spans="1:6" x14ac:dyDescent="0.2">
      <c r="A358">
        <v>10604</v>
      </c>
      <c r="E358" cm="1">
        <f t="array" ref="E358">SUM(INDEX(_xlfn._xlws.FILTER(OrderDetails!A358:E2512,OrderDetails!A358:A2512=A358), 0, 3) * INDEX(_xlfn._xlws.FILTER(OrderDetails!A358:E2512,OrderDetails!A358:A2512=A358), 0, 4))</f>
        <v>256.5</v>
      </c>
      <c r="F358">
        <v>256</v>
      </c>
    </row>
    <row r="359" spans="1:6" x14ac:dyDescent="0.2">
      <c r="A359">
        <v>10605</v>
      </c>
      <c r="E359" cm="1">
        <f t="array" ref="E359">SUM(INDEX(_xlfn._xlws.FILTER(OrderDetails!A359:E2513,OrderDetails!A359:A2513=A359), 0, 3) * INDEX(_xlfn._xlws.FILTER(OrderDetails!A359:E2513,OrderDetails!A359:A2513=A359), 0, 4))</f>
        <v>4326</v>
      </c>
      <c r="F359">
        <v>4326</v>
      </c>
    </row>
    <row r="360" spans="1:6" x14ac:dyDescent="0.2">
      <c r="A360">
        <v>10606</v>
      </c>
      <c r="E360" cm="1">
        <f t="array" ref="E360">SUM(INDEX(_xlfn._xlws.FILTER(OrderDetails!A360:E2514,OrderDetails!A360:A2514=A360), 0, 3) * INDEX(_xlfn._xlws.FILTER(OrderDetails!A360:E2514,OrderDetails!A360:A2514=A360), 0, 4))</f>
        <v>1413</v>
      </c>
      <c r="F360">
        <v>1413</v>
      </c>
    </row>
    <row r="361" spans="1:6" x14ac:dyDescent="0.2">
      <c r="A361">
        <v>10607</v>
      </c>
      <c r="E361" cm="1">
        <f t="array" ref="E361">SUM(INDEX(_xlfn._xlws.FILTER(OrderDetails!A361:E2515,OrderDetails!A361:A2515=A361), 0, 3) * INDEX(_xlfn._xlws.FILTER(OrderDetails!A361:E2515,OrderDetails!A361:A2515=A361), 0, 4))</f>
        <v>6475.4000000000005</v>
      </c>
      <c r="F361">
        <v>6476</v>
      </c>
    </row>
    <row r="362" spans="1:6" x14ac:dyDescent="0.2">
      <c r="A362">
        <v>10608</v>
      </c>
      <c r="E362" cm="1">
        <f t="array" ref="E362">SUM(INDEX(_xlfn._xlws.FILTER(OrderDetails!A362:E2516,OrderDetails!A362:A2516=A362), 0, 3) * INDEX(_xlfn._xlws.FILTER(OrderDetails!A362:E2516,OrderDetails!A362:A2516=A362), 0, 4))</f>
        <v>1064</v>
      </c>
      <c r="F362">
        <v>1064</v>
      </c>
    </row>
    <row r="363" spans="1:6" x14ac:dyDescent="0.2">
      <c r="A363">
        <v>10609</v>
      </c>
      <c r="E363" cm="1">
        <f t="array" ref="E363">SUM(INDEX(_xlfn._xlws.FILTER(OrderDetails!A363:E2517,OrderDetails!A363:A2517=A363), 0, 3) * INDEX(_xlfn._xlws.FILTER(OrderDetails!A363:E2517,OrderDetails!A363:A2517=A363), 0, 4))</f>
        <v>424</v>
      </c>
      <c r="F363">
        <v>424</v>
      </c>
    </row>
    <row r="364" spans="1:6" x14ac:dyDescent="0.2">
      <c r="A364">
        <v>10610</v>
      </c>
      <c r="E364" cm="1">
        <f t="array" ref="E364">SUM(INDEX(_xlfn._xlws.FILTER(OrderDetails!A364:E2518,OrderDetails!A364:A2518=A364), 0, 3) * INDEX(_xlfn._xlws.FILTER(OrderDetails!A364:E2518,OrderDetails!A364:A2518=A364), 0, 4))</f>
        <v>399</v>
      </c>
      <c r="F364">
        <v>399</v>
      </c>
    </row>
    <row r="365" spans="1:6" x14ac:dyDescent="0.2">
      <c r="A365">
        <v>10611</v>
      </c>
      <c r="E365" cm="1">
        <f t="array" ref="E365">SUM(INDEX(_xlfn._xlws.FILTER(OrderDetails!A365:E2519,OrderDetails!A365:A2519=A365), 0, 3) * INDEX(_xlfn._xlws.FILTER(OrderDetails!A365:E2519,OrderDetails!A365:A2519=A365), 0, 4))</f>
        <v>808</v>
      </c>
      <c r="F365">
        <v>808</v>
      </c>
    </row>
    <row r="366" spans="1:6" x14ac:dyDescent="0.2">
      <c r="A366">
        <v>10612</v>
      </c>
      <c r="E366" cm="1">
        <f t="array" ref="E366">SUM(INDEX(_xlfn._xlws.FILTER(OrderDetails!A366:E2520,OrderDetails!A366:A2520=A366), 0, 3) * INDEX(_xlfn._xlws.FILTER(OrderDetails!A366:E2520,OrderDetails!A366:A2520=A366), 0, 4))</f>
        <v>6375</v>
      </c>
      <c r="F366">
        <v>6375</v>
      </c>
    </row>
    <row r="367" spans="1:6" x14ac:dyDescent="0.2">
      <c r="A367">
        <v>10613</v>
      </c>
      <c r="E367" cm="1">
        <f t="array" ref="E367">SUM(INDEX(_xlfn._xlws.FILTER(OrderDetails!A367:E2521,OrderDetails!A367:A2521=A367), 0, 3) * INDEX(_xlfn._xlws.FILTER(OrderDetails!A367:E2521,OrderDetails!A367:A2521=A367), 0, 4))</f>
        <v>358</v>
      </c>
      <c r="F367">
        <v>358</v>
      </c>
    </row>
    <row r="368" spans="1:6" x14ac:dyDescent="0.2">
      <c r="A368">
        <v>10614</v>
      </c>
      <c r="E368" cm="1">
        <f t="array" ref="E368">SUM(INDEX(_xlfn._xlws.FILTER(OrderDetails!A368:E2522,OrderDetails!A368:A2522=A368), 0, 3) * INDEX(_xlfn._xlws.FILTER(OrderDetails!A368:E2522,OrderDetails!A368:A2522=A368), 0, 4))</f>
        <v>464</v>
      </c>
      <c r="F368">
        <v>464</v>
      </c>
    </row>
    <row r="369" spans="1:6" x14ac:dyDescent="0.2">
      <c r="A369">
        <v>10615</v>
      </c>
      <c r="E369" cm="1">
        <f t="array" ref="E369">SUM(INDEX(_xlfn._xlws.FILTER(OrderDetails!A369:E2523,OrderDetails!A369:A2523=A369), 0, 3) * INDEX(_xlfn._xlws.FILTER(OrderDetails!A369:E2523,OrderDetails!A369:A2523=A369), 0, 4))</f>
        <v>120</v>
      </c>
      <c r="F369">
        <v>120</v>
      </c>
    </row>
    <row r="370" spans="1:6" x14ac:dyDescent="0.2">
      <c r="A370">
        <v>10616</v>
      </c>
      <c r="E370" cm="1">
        <f t="array" ref="E370">SUM(INDEX(_xlfn._xlws.FILTER(OrderDetails!A370:E2524,OrderDetails!A370:A2524=A370), 0, 3) * INDEX(_xlfn._xlws.FILTER(OrderDetails!A370:E2524,OrderDetails!A370:A2524=A370), 0, 4))</f>
        <v>5032</v>
      </c>
      <c r="F370">
        <v>5032</v>
      </c>
    </row>
    <row r="371" spans="1:6" x14ac:dyDescent="0.2">
      <c r="A371">
        <v>10617</v>
      </c>
      <c r="E371" cm="1">
        <f t="array" ref="E371">SUM(INDEX(_xlfn._xlws.FILTER(OrderDetails!A371:E2525,OrderDetails!A371:A2525=A371), 0, 3) * INDEX(_xlfn._xlws.FILTER(OrderDetails!A371:E2525,OrderDetails!A371:A2525=A371), 0, 4))</f>
        <v>1650</v>
      </c>
      <c r="F371">
        <v>1650</v>
      </c>
    </row>
    <row r="372" spans="1:6" x14ac:dyDescent="0.2">
      <c r="A372">
        <v>10618</v>
      </c>
      <c r="E372" cm="1">
        <f t="array" ref="E372">SUM(INDEX(_xlfn._xlws.FILTER(OrderDetails!A372:E2526,OrderDetails!A372:A2526=A372), 0, 3) * INDEX(_xlfn._xlws.FILTER(OrderDetails!A372:E2526,OrderDetails!A372:A2526=A372), 0, 4))</f>
        <v>2697.5</v>
      </c>
      <c r="F372">
        <v>2698</v>
      </c>
    </row>
    <row r="373" spans="1:6" x14ac:dyDescent="0.2">
      <c r="A373">
        <v>10619</v>
      </c>
      <c r="E373" cm="1">
        <f t="array" ref="E373">SUM(INDEX(_xlfn._xlws.FILTER(OrderDetails!A373:E2527,OrderDetails!A373:A2527=A373), 0, 3) * INDEX(_xlfn._xlws.FILTER(OrderDetails!A373:E2527,OrderDetails!A373:A2527=A373), 0, 4))</f>
        <v>1260</v>
      </c>
      <c r="F373">
        <v>1260</v>
      </c>
    </row>
    <row r="374" spans="1:6" x14ac:dyDescent="0.2">
      <c r="A374">
        <v>10620</v>
      </c>
      <c r="E374" cm="1">
        <f t="array" ref="E374">SUM(INDEX(_xlfn._xlws.FILTER(OrderDetails!A374:E2528,OrderDetails!A374:A2528=A374), 0, 3) * INDEX(_xlfn._xlws.FILTER(OrderDetails!A374:E2528,OrderDetails!A374:A2528=A374), 0, 4))</f>
        <v>57.5</v>
      </c>
      <c r="F374">
        <v>57</v>
      </c>
    </row>
    <row r="375" spans="1:6" x14ac:dyDescent="0.2">
      <c r="A375">
        <v>10621</v>
      </c>
      <c r="E375" cm="1">
        <f t="array" ref="E375">SUM(INDEX(_xlfn._xlws.FILTER(OrderDetails!A375:E2529,OrderDetails!A375:A2529=A375), 0, 3) * INDEX(_xlfn._xlws.FILTER(OrderDetails!A375:E2529,OrderDetails!A375:A2529=A375), 0, 4))</f>
        <v>758.5</v>
      </c>
      <c r="F375">
        <v>758</v>
      </c>
    </row>
    <row r="376" spans="1:6" x14ac:dyDescent="0.2">
      <c r="A376">
        <v>10622</v>
      </c>
      <c r="E376" cm="1">
        <f t="array" ref="E376">SUM(INDEX(_xlfn._xlws.FILTER(OrderDetails!A376:E2530,OrderDetails!A376:A2530=A376), 0, 3) * INDEX(_xlfn._xlws.FILTER(OrderDetails!A376:E2530,OrderDetails!A376:A2530=A376), 0, 4))</f>
        <v>605</v>
      </c>
      <c r="F376">
        <v>605</v>
      </c>
    </row>
    <row r="377" spans="1:6" x14ac:dyDescent="0.2">
      <c r="A377">
        <v>10623</v>
      </c>
      <c r="E377" cm="1">
        <f t="array" ref="E377">SUM(INDEX(_xlfn._xlws.FILTER(OrderDetails!A377:E2531,OrderDetails!A377:A2531=A377), 0, 3) * INDEX(_xlfn._xlws.FILTER(OrderDetails!A377:E2531,OrderDetails!A377:A2531=A377), 0, 4))</f>
        <v>1429.75</v>
      </c>
      <c r="F377">
        <v>1430</v>
      </c>
    </row>
    <row r="378" spans="1:6" x14ac:dyDescent="0.2">
      <c r="A378">
        <v>10624</v>
      </c>
      <c r="E378" cm="1">
        <f t="array" ref="E378">SUM(INDEX(_xlfn._xlws.FILTER(OrderDetails!A378:E2532,OrderDetails!A378:A2532=A378), 0, 3) * INDEX(_xlfn._xlws.FILTER(OrderDetails!A378:E2532,OrderDetails!A378:A2532=A378), 0, 4))</f>
        <v>1393.24</v>
      </c>
      <c r="F378">
        <v>1394</v>
      </c>
    </row>
    <row r="379" spans="1:6" x14ac:dyDescent="0.2">
      <c r="A379">
        <v>10625</v>
      </c>
      <c r="E379" cm="1">
        <f t="array" ref="E379">SUM(INDEX(_xlfn._xlws.FILTER(OrderDetails!A379:E2533,OrderDetails!A379:A2533=A379), 0, 3) * INDEX(_xlfn._xlws.FILTER(OrderDetails!A379:E2533,OrderDetails!A379:A2533=A379), 0, 4))</f>
        <v>479.75</v>
      </c>
      <c r="F379">
        <v>480</v>
      </c>
    </row>
    <row r="380" spans="1:6" x14ac:dyDescent="0.2">
      <c r="A380">
        <v>10626</v>
      </c>
      <c r="E380" cm="1">
        <f t="array" ref="E380">SUM(INDEX(_xlfn._xlws.FILTER(OrderDetails!A380:E2534,OrderDetails!A380:A2534=A380), 0, 3) * INDEX(_xlfn._xlws.FILTER(OrderDetails!A380:E2534,OrderDetails!A380:A2534=A380), 0, 4))</f>
        <v>1503.6</v>
      </c>
      <c r="F380">
        <v>1504</v>
      </c>
    </row>
    <row r="381" spans="1:6" x14ac:dyDescent="0.2">
      <c r="A381">
        <v>10627</v>
      </c>
      <c r="E381" cm="1">
        <f t="array" ref="E381">SUM(INDEX(_xlfn._xlws.FILTER(OrderDetails!A381:E2535,OrderDetails!A381:A2535=A381), 0, 3) * INDEX(_xlfn._xlws.FILTER(OrderDetails!A381:E2535,OrderDetails!A381:A2535=A381), 0, 4))</f>
        <v>1264.5</v>
      </c>
      <c r="F381">
        <v>1265</v>
      </c>
    </row>
    <row r="382" spans="1:6" x14ac:dyDescent="0.2">
      <c r="A382">
        <v>10628</v>
      </c>
      <c r="E382" cm="1">
        <f t="array" ref="E382">SUM(INDEX(_xlfn._xlws.FILTER(OrderDetails!A382:E2536,OrderDetails!A382:A2536=A382), 0, 3) * INDEX(_xlfn._xlws.FILTER(OrderDetails!A382:E2536,OrderDetails!A382:A2536=A382), 0, 4))</f>
        <v>450</v>
      </c>
      <c r="F382">
        <v>450</v>
      </c>
    </row>
    <row r="383" spans="1:6" x14ac:dyDescent="0.2">
      <c r="A383">
        <v>10629</v>
      </c>
      <c r="E383" cm="1">
        <f t="array" ref="E383">SUM(INDEX(_xlfn._xlws.FILTER(OrderDetails!A383:E2537,OrderDetails!A383:A2537=A383), 0, 3) * INDEX(_xlfn._xlws.FILTER(OrderDetails!A383:E2537,OrderDetails!A383:A2537=A383), 0, 4))</f>
        <v>2775.05</v>
      </c>
      <c r="F383">
        <v>2775</v>
      </c>
    </row>
    <row r="384" spans="1:6" x14ac:dyDescent="0.2">
      <c r="A384">
        <v>10630</v>
      </c>
      <c r="E384" cm="1">
        <f t="array" ref="E384">SUM(INDEX(_xlfn._xlws.FILTER(OrderDetails!A384:E2538,OrderDetails!A384:A2538=A384), 0, 3) * INDEX(_xlfn._xlws.FILTER(OrderDetails!A384:E2538,OrderDetails!A384:A2538=A384), 0, 4))</f>
        <v>918</v>
      </c>
      <c r="F384">
        <v>918</v>
      </c>
    </row>
    <row r="385" spans="1:6" x14ac:dyDescent="0.2">
      <c r="A385">
        <v>10631</v>
      </c>
      <c r="E385" cm="1">
        <f t="array" ref="E385">SUM(INDEX(_xlfn._xlws.FILTER(OrderDetails!A385:E2539,OrderDetails!A385:A2539=A385), 0, 3) * INDEX(_xlfn._xlws.FILTER(OrderDetails!A385:E2539,OrderDetails!A385:A2539=A385), 0, 4))</f>
        <v>62</v>
      </c>
      <c r="F385">
        <v>62</v>
      </c>
    </row>
    <row r="386" spans="1:6" x14ac:dyDescent="0.2">
      <c r="A386">
        <v>10632</v>
      </c>
      <c r="E386" cm="1">
        <f t="array" ref="E386">SUM(INDEX(_xlfn._xlws.FILTER(OrderDetails!A386:E2540,OrderDetails!A386:A2540=A386), 0, 3) * INDEX(_xlfn._xlws.FILTER(OrderDetails!A386:E2540,OrderDetails!A386:A2540=A386), 0, 4))</f>
        <v>620</v>
      </c>
      <c r="F386">
        <v>620</v>
      </c>
    </row>
    <row r="387" spans="1:6" x14ac:dyDescent="0.2">
      <c r="A387">
        <v>10633</v>
      </c>
      <c r="E387" cm="1">
        <f t="array" ref="E387">SUM(INDEX(_xlfn._xlws.FILTER(OrderDetails!A387:E2541,OrderDetails!A387:A2541=A387), 0, 3) * INDEX(_xlfn._xlws.FILTER(OrderDetails!A387:E2541,OrderDetails!A387:A2541=A387), 0, 4))</f>
        <v>6483.05</v>
      </c>
      <c r="F387">
        <v>6483</v>
      </c>
    </row>
    <row r="388" spans="1:6" x14ac:dyDescent="0.2">
      <c r="A388">
        <v>10634</v>
      </c>
      <c r="E388" cm="1">
        <f t="array" ref="E388">SUM(INDEX(_xlfn._xlws.FILTER(OrderDetails!A388:E2542,OrderDetails!A388:A2542=A388), 0, 3) * INDEX(_xlfn._xlws.FILTER(OrderDetails!A388:E2542,OrderDetails!A388:A2542=A388), 0, 4))</f>
        <v>4985.5</v>
      </c>
      <c r="F388">
        <v>4986</v>
      </c>
    </row>
    <row r="389" spans="1:6" x14ac:dyDescent="0.2">
      <c r="A389">
        <v>10635</v>
      </c>
      <c r="E389" cm="1">
        <f t="array" ref="E389">SUM(INDEX(_xlfn._xlws.FILTER(OrderDetails!A389:E2543,OrderDetails!A389:A2543=A389), 0, 3) * INDEX(_xlfn._xlws.FILTER(OrderDetails!A389:E2543,OrderDetails!A389:A2543=A389), 0, 4))</f>
        <v>1380.25</v>
      </c>
      <c r="F389">
        <v>1380</v>
      </c>
    </row>
    <row r="390" spans="1:6" x14ac:dyDescent="0.2">
      <c r="A390">
        <v>10636</v>
      </c>
      <c r="E390" cm="1">
        <f t="array" ref="E390">SUM(INDEX(_xlfn._xlws.FILTER(OrderDetails!A390:E2544,OrderDetails!A390:A2544=A390), 0, 3) * INDEX(_xlfn._xlws.FILTER(OrderDetails!A390:E2544,OrderDetails!A390:A2544=A390), 0, 4))</f>
        <v>629.5</v>
      </c>
      <c r="F390">
        <v>630</v>
      </c>
    </row>
    <row r="391" spans="1:6" x14ac:dyDescent="0.2">
      <c r="A391">
        <v>10637</v>
      </c>
      <c r="E391" cm="1">
        <f t="array" ref="E391">SUM(INDEX(_xlfn._xlws.FILTER(OrderDetails!A391:E2545,OrderDetails!A391:A2545=A391), 0, 3) * INDEX(_xlfn._xlws.FILTER(OrderDetails!A391:E2545,OrderDetails!A391:A2545=A391), 0, 4))</f>
        <v>2896.25</v>
      </c>
      <c r="F391">
        <v>2896</v>
      </c>
    </row>
    <row r="392" spans="1:6" x14ac:dyDescent="0.2">
      <c r="A392">
        <v>10638</v>
      </c>
      <c r="E392" cm="1">
        <f t="array" ref="E392">SUM(INDEX(_xlfn._xlws.FILTER(OrderDetails!A392:E2546,OrderDetails!A392:A2546=A392), 0, 3) * INDEX(_xlfn._xlws.FILTER(OrderDetails!A392:E2546,OrderDetails!A392:A2546=A392), 0, 4))</f>
        <v>2720.05</v>
      </c>
      <c r="F392">
        <v>2720</v>
      </c>
    </row>
    <row r="393" spans="1:6" x14ac:dyDescent="0.2">
      <c r="A393">
        <v>10639</v>
      </c>
      <c r="E393" cm="1">
        <f t="array" ref="E393">SUM(INDEX(_xlfn._xlws.FILTER(OrderDetails!A393:E2547,OrderDetails!A393:A2547=A393), 0, 3) * INDEX(_xlfn._xlws.FILTER(OrderDetails!A393:E2547,OrderDetails!A393:A2547=A393), 0, 4))</f>
        <v>500</v>
      </c>
      <c r="F393">
        <v>500</v>
      </c>
    </row>
    <row r="394" spans="1:6" x14ac:dyDescent="0.2">
      <c r="A394">
        <v>10640</v>
      </c>
      <c r="E394" cm="1">
        <f t="array" ref="E394">SUM(INDEX(_xlfn._xlws.FILTER(OrderDetails!A394:E2548,OrderDetails!A394:A2548=A394), 0, 3) * INDEX(_xlfn._xlws.FILTER(OrderDetails!A394:E2548,OrderDetails!A394:A2548=A394), 0, 4))</f>
        <v>945</v>
      </c>
      <c r="F394">
        <v>945</v>
      </c>
    </row>
    <row r="395" spans="1:6" x14ac:dyDescent="0.2">
      <c r="A395">
        <v>10641</v>
      </c>
      <c r="E395" cm="1">
        <f t="array" ref="E395">SUM(INDEX(_xlfn._xlws.FILTER(OrderDetails!A395:E2549,OrderDetails!A395:A2549=A395), 0, 3) * INDEX(_xlfn._xlws.FILTER(OrderDetails!A395:E2549,OrderDetails!A395:A2549=A395), 0, 4))</f>
        <v>2054</v>
      </c>
      <c r="F395">
        <v>2054</v>
      </c>
    </row>
    <row r="396" spans="1:6" x14ac:dyDescent="0.2">
      <c r="A396">
        <v>10642</v>
      </c>
      <c r="E396" cm="1">
        <f t="array" ref="E396">SUM(INDEX(_xlfn._xlws.FILTER(OrderDetails!A396:E2550,OrderDetails!A396:A2550=A396), 0, 3) * INDEX(_xlfn._xlws.FILTER(OrderDetails!A396:E2550,OrderDetails!A396:A2550=A396), 0, 4))</f>
        <v>870</v>
      </c>
      <c r="F396">
        <v>870</v>
      </c>
    </row>
    <row r="397" spans="1:6" x14ac:dyDescent="0.2">
      <c r="A397">
        <v>10643</v>
      </c>
      <c r="E397" cm="1">
        <f t="array" ref="E397">SUM(INDEX(_xlfn._xlws.FILTER(OrderDetails!A397:E2551,OrderDetails!A397:A2551=A397), 0, 3) * INDEX(_xlfn._xlws.FILTER(OrderDetails!A397:E2551,OrderDetails!A397:A2551=A397), 0, 4))</f>
        <v>1086</v>
      </c>
      <c r="F397">
        <v>1086</v>
      </c>
    </row>
    <row r="398" spans="1:6" x14ac:dyDescent="0.2">
      <c r="A398">
        <v>10644</v>
      </c>
      <c r="E398" cm="1">
        <f t="array" ref="E398">SUM(INDEX(_xlfn._xlws.FILTER(OrderDetails!A398:E2552,OrderDetails!A398:A2552=A398), 0, 3) * INDEX(_xlfn._xlws.FILTER(OrderDetails!A398:E2552,OrderDetails!A398:A2552=A398), 0, 4))</f>
        <v>1422</v>
      </c>
      <c r="F398">
        <v>1422</v>
      </c>
    </row>
    <row r="399" spans="1:6" x14ac:dyDescent="0.2">
      <c r="A399">
        <v>10645</v>
      </c>
      <c r="E399" cm="1">
        <f t="array" ref="E399">SUM(INDEX(_xlfn._xlws.FILTER(OrderDetails!A399:E2553,OrderDetails!A399:A2553=A399), 0, 3) * INDEX(_xlfn._xlws.FILTER(OrderDetails!A399:E2553,OrderDetails!A399:A2553=A399), 0, 4))</f>
        <v>1535</v>
      </c>
      <c r="F399">
        <v>1535</v>
      </c>
    </row>
    <row r="400" spans="1:6" x14ac:dyDescent="0.2">
      <c r="A400">
        <v>10646</v>
      </c>
      <c r="E400" cm="1">
        <f t="array" ref="E400">SUM(INDEX(_xlfn._xlws.FILTER(OrderDetails!A400:E2554,OrderDetails!A400:A2554=A400), 0, 3) * INDEX(_xlfn._xlws.FILTER(OrderDetails!A400:E2554,OrderDetails!A400:A2554=A400), 0, 4))</f>
        <v>1928</v>
      </c>
      <c r="F400">
        <v>1928</v>
      </c>
    </row>
    <row r="401" spans="1:6" x14ac:dyDescent="0.2">
      <c r="A401">
        <v>10647</v>
      </c>
      <c r="E401" cm="1">
        <f t="array" ref="E401">SUM(INDEX(_xlfn._xlws.FILTER(OrderDetails!A401:E2555,OrderDetails!A401:A2555=A401), 0, 3) * INDEX(_xlfn._xlws.FILTER(OrderDetails!A401:E2555,OrderDetails!A401:A2555=A401), 0, 4))</f>
        <v>636</v>
      </c>
      <c r="F401">
        <v>636</v>
      </c>
    </row>
    <row r="402" spans="1:6" x14ac:dyDescent="0.2">
      <c r="A402">
        <v>10648</v>
      </c>
      <c r="E402" cm="1">
        <f t="array" ref="E402">SUM(INDEX(_xlfn._xlws.FILTER(OrderDetails!A402:E2556,OrderDetails!A402:A2556=A402), 0, 3) * INDEX(_xlfn._xlws.FILTER(OrderDetails!A402:E2556,OrderDetails!A402:A2556=A402), 0, 4))</f>
        <v>382.5</v>
      </c>
      <c r="F402">
        <v>382</v>
      </c>
    </row>
    <row r="403" spans="1:6" x14ac:dyDescent="0.2">
      <c r="A403">
        <v>10649</v>
      </c>
      <c r="E403" cm="1">
        <f t="array" ref="E403">SUM(INDEX(_xlfn._xlws.FILTER(OrderDetails!A403:E2557,OrderDetails!A403:A2557=A403), 0, 3) * INDEX(_xlfn._xlws.FILTER(OrderDetails!A403:E2557,OrderDetails!A403:A2557=A403), 0, 4))</f>
        <v>1434</v>
      </c>
      <c r="F403">
        <v>1434</v>
      </c>
    </row>
    <row r="404" spans="1:6" x14ac:dyDescent="0.2">
      <c r="A404">
        <v>10650</v>
      </c>
      <c r="E404" cm="1">
        <f t="array" ref="E404">SUM(INDEX(_xlfn._xlws.FILTER(OrderDetails!A404:E2558,OrderDetails!A404:A2558=A404), 0, 3) * INDEX(_xlfn._xlws.FILTER(OrderDetails!A404:E2558,OrderDetails!A404:A2558=A404), 0, 4))</f>
        <v>1820.1999999999998</v>
      </c>
      <c r="F404">
        <v>1820</v>
      </c>
    </row>
    <row r="405" spans="1:6" x14ac:dyDescent="0.2">
      <c r="A405">
        <v>10651</v>
      </c>
      <c r="E405" cm="1">
        <f t="array" ref="E405">SUM(INDEX(_xlfn._xlws.FILTER(OrderDetails!A405:E2559,OrderDetails!A405:A2559=A405), 0, 3) * INDEX(_xlfn._xlws.FILTER(OrderDetails!A405:E2559,OrderDetails!A405:A2559=A405), 0, 4))</f>
        <v>530.4</v>
      </c>
      <c r="F405">
        <v>530</v>
      </c>
    </row>
    <row r="406" spans="1:6" x14ac:dyDescent="0.2">
      <c r="A406">
        <v>10652</v>
      </c>
      <c r="E406" cm="1">
        <f t="array" ref="E406">SUM(INDEX(_xlfn._xlws.FILTER(OrderDetails!A406:E2560,OrderDetails!A406:A2560=A406), 0, 3) * INDEX(_xlfn._xlws.FILTER(OrderDetails!A406:E2560,OrderDetails!A406:A2560=A406), 0, 4))</f>
        <v>331.78</v>
      </c>
      <c r="F406">
        <v>332</v>
      </c>
    </row>
    <row r="407" spans="1:6" x14ac:dyDescent="0.2">
      <c r="A407">
        <v>10653</v>
      </c>
      <c r="E407" cm="1">
        <f t="array" ref="E407">SUM(INDEX(_xlfn._xlws.FILTER(OrderDetails!A407:E2561,OrderDetails!A407:A2561=A407), 0, 3) * INDEX(_xlfn._xlws.FILTER(OrderDetails!A407:E2561,OrderDetails!A407:A2561=A407), 0, 4))</f>
        <v>1203.5</v>
      </c>
      <c r="F407">
        <v>1204</v>
      </c>
    </row>
    <row r="408" spans="1:6" x14ac:dyDescent="0.2">
      <c r="A408">
        <v>10654</v>
      </c>
      <c r="E408" cm="1">
        <f t="array" ref="E408">SUM(INDEX(_xlfn._xlws.FILTER(OrderDetails!A408:E2562,OrderDetails!A408:A2562=A408), 0, 3) * INDEX(_xlfn._xlws.FILTER(OrderDetails!A408:E2562,OrderDetails!A408:A2562=A408), 0, 4))</f>
        <v>668.7</v>
      </c>
      <c r="F408">
        <v>669</v>
      </c>
    </row>
    <row r="409" spans="1:6" x14ac:dyDescent="0.2">
      <c r="A409">
        <v>10655</v>
      </c>
      <c r="E409" cm="1">
        <f t="array" ref="E409">SUM(INDEX(_xlfn._xlws.FILTER(OrderDetails!A409:E2563,OrderDetails!A409:A2563=A409), 0, 3) * INDEX(_xlfn._xlws.FILTER(OrderDetails!A409:E2563,OrderDetails!A409:A2563=A409), 0, 4))</f>
        <v>193</v>
      </c>
      <c r="F409">
        <v>193</v>
      </c>
    </row>
    <row r="410" spans="1:6" x14ac:dyDescent="0.2">
      <c r="A410">
        <v>10656</v>
      </c>
      <c r="E410" cm="1">
        <f t="array" ref="E410">SUM(INDEX(_xlfn._xlws.FILTER(OrderDetails!A410:E2564,OrderDetails!A410:A2564=A410), 0, 3) * INDEX(_xlfn._xlws.FILTER(OrderDetails!A410:E2564,OrderDetails!A410:A2564=A410), 0, 4))</f>
        <v>671.35</v>
      </c>
      <c r="F410">
        <v>672</v>
      </c>
    </row>
    <row r="411" spans="1:6" x14ac:dyDescent="0.2">
      <c r="A411">
        <v>10657</v>
      </c>
      <c r="E411" cm="1">
        <f t="array" ref="E411">SUM(INDEX(_xlfn._xlws.FILTER(OrderDetails!A411:E2565,OrderDetails!A411:A2565=A411), 0, 3) * INDEX(_xlfn._xlws.FILTER(OrderDetails!A411:E2565,OrderDetails!A411:A2565=A411), 0, 4))</f>
        <v>4371.6000000000004</v>
      </c>
      <c r="F411">
        <v>4372</v>
      </c>
    </row>
    <row r="412" spans="1:6" x14ac:dyDescent="0.2">
      <c r="A412">
        <v>10658</v>
      </c>
      <c r="E412" cm="1">
        <f t="array" ref="E412">SUM(INDEX(_xlfn._xlws.FILTER(OrderDetails!A412:E2566,OrderDetails!A412:A2566=A412), 0, 3) * INDEX(_xlfn._xlws.FILTER(OrderDetails!A412:E2566,OrderDetails!A412:A2566=A412), 0, 4))</f>
        <v>4668</v>
      </c>
      <c r="F412">
        <v>4668</v>
      </c>
    </row>
    <row r="413" spans="1:6" x14ac:dyDescent="0.2">
      <c r="A413">
        <v>10659</v>
      </c>
      <c r="E413" cm="1">
        <f t="array" ref="E413">SUM(INDEX(_xlfn._xlws.FILTER(OrderDetails!A413:E2567,OrderDetails!A413:A2567=A413), 0, 3) * INDEX(_xlfn._xlws.FILTER(OrderDetails!A413:E2567,OrderDetails!A413:A2567=A413), 0, 4))</f>
        <v>1291.5999999999999</v>
      </c>
      <c r="F413">
        <v>1292</v>
      </c>
    </row>
    <row r="414" spans="1:6" x14ac:dyDescent="0.2">
      <c r="A414">
        <v>10660</v>
      </c>
      <c r="E414" cm="1">
        <f t="array" ref="E414">SUM(INDEX(_xlfn._xlws.FILTER(OrderDetails!A414:E2568,OrderDetails!A414:A2568=A414), 0, 3) * INDEX(_xlfn._xlws.FILTER(OrderDetails!A414:E2568,OrderDetails!A414:A2568=A414), 0, 4))</f>
        <v>1701</v>
      </c>
      <c r="F414">
        <v>1701</v>
      </c>
    </row>
    <row r="415" spans="1:6" x14ac:dyDescent="0.2">
      <c r="A415">
        <v>10661</v>
      </c>
      <c r="E415" cm="1">
        <f t="array" ref="E415">SUM(INDEX(_xlfn._xlws.FILTER(OrderDetails!A415:E2569,OrderDetails!A415:A2569=A415), 0, 3) * INDEX(_xlfn._xlws.FILTER(OrderDetails!A415:E2569,OrderDetails!A415:A2569=A415), 0, 4))</f>
        <v>703.25</v>
      </c>
      <c r="F415">
        <v>703</v>
      </c>
    </row>
    <row r="416" spans="1:6" x14ac:dyDescent="0.2">
      <c r="A416">
        <v>10662</v>
      </c>
      <c r="E416" cm="1">
        <f t="array" ref="E416">SUM(INDEX(_xlfn._xlws.FILTER(OrderDetails!A416:E2570,OrderDetails!A416:A2570=A416), 0, 3) * INDEX(_xlfn._xlws.FILTER(OrderDetails!A416:E2570,OrderDetails!A416:A2570=A416), 0, 4))</f>
        <v>125</v>
      </c>
      <c r="F416">
        <v>125</v>
      </c>
    </row>
    <row r="417" spans="1:6" x14ac:dyDescent="0.2">
      <c r="A417">
        <v>10663</v>
      </c>
      <c r="E417" cm="1">
        <f t="array" ref="E417">SUM(INDEX(_xlfn._xlws.FILTER(OrderDetails!A417:E2571,OrderDetails!A417:A2571=A417), 0, 3) * INDEX(_xlfn._xlws.FILTER(OrderDetails!A417:E2571,OrderDetails!A417:A2571=A417), 0, 4))</f>
        <v>2032</v>
      </c>
      <c r="F417">
        <v>2032</v>
      </c>
    </row>
    <row r="418" spans="1:6" x14ac:dyDescent="0.2">
      <c r="A418">
        <v>10664</v>
      </c>
      <c r="E418" cm="1">
        <f t="array" ref="E418">SUM(INDEX(_xlfn._xlws.FILTER(OrderDetails!A418:E2572,OrderDetails!A418:A2572=A418), 0, 3) * INDEX(_xlfn._xlws.FILTER(OrderDetails!A418:E2572,OrderDetails!A418:A2572=A418), 0, 4))</f>
        <v>1515.75</v>
      </c>
      <c r="F418">
        <v>1516</v>
      </c>
    </row>
    <row r="419" spans="1:6" x14ac:dyDescent="0.2">
      <c r="A419">
        <v>10665</v>
      </c>
      <c r="E419" cm="1">
        <f t="array" ref="E419">SUM(INDEX(_xlfn._xlws.FILTER(OrderDetails!A419:E2573,OrderDetails!A419:A2573=A419), 0, 3) * INDEX(_xlfn._xlws.FILTER(OrderDetails!A419:E2573,OrderDetails!A419:A2573=A419), 0, 4))</f>
        <v>1295</v>
      </c>
      <c r="F419">
        <v>1295</v>
      </c>
    </row>
    <row r="420" spans="1:6" x14ac:dyDescent="0.2">
      <c r="A420">
        <v>10666</v>
      </c>
      <c r="E420" cm="1">
        <f t="array" ref="E420">SUM(INDEX(_xlfn._xlws.FILTER(OrderDetails!A420:E2574,OrderDetails!A420:A2574=A420), 0, 3) * INDEX(_xlfn._xlws.FILTER(OrderDetails!A420:E2574,OrderDetails!A420:A2574=A420), 0, 4))</f>
        <v>4666.9400000000005</v>
      </c>
      <c r="F420">
        <v>4666</v>
      </c>
    </row>
    <row r="421" spans="1:6" x14ac:dyDescent="0.2">
      <c r="A421">
        <v>10667</v>
      </c>
      <c r="E421" cm="1">
        <f t="array" ref="E421">SUM(INDEX(_xlfn._xlws.FILTER(OrderDetails!A421:E2575,OrderDetails!A421:A2575=A421), 0, 3) * INDEX(_xlfn._xlws.FILTER(OrderDetails!A421:E2575,OrderDetails!A421:A2575=A421), 0, 4))</f>
        <v>1921</v>
      </c>
      <c r="F421">
        <v>1921</v>
      </c>
    </row>
    <row r="422" spans="1:6" x14ac:dyDescent="0.2">
      <c r="A422">
        <v>10668</v>
      </c>
      <c r="E422" cm="1">
        <f t="array" ref="E422">SUM(INDEX(_xlfn._xlws.FILTER(OrderDetails!A422:E2576,OrderDetails!A422:A2576=A422), 0, 3) * INDEX(_xlfn._xlws.FILTER(OrderDetails!A422:E2576,OrderDetails!A422:A2576=A422), 0, 4))</f>
        <v>694.75</v>
      </c>
      <c r="F422">
        <v>695</v>
      </c>
    </row>
    <row r="423" spans="1:6" x14ac:dyDescent="0.2">
      <c r="A423">
        <v>10669</v>
      </c>
      <c r="E423" cm="1">
        <f t="array" ref="E423">SUM(INDEX(_xlfn._xlws.FILTER(OrderDetails!A423:E2577,OrderDetails!A423:A2577=A423), 0, 3) * INDEX(_xlfn._xlws.FILTER(OrderDetails!A423:E2577,OrderDetails!A423:A2577=A423), 0, 4))</f>
        <v>570</v>
      </c>
      <c r="F423">
        <v>570</v>
      </c>
    </row>
    <row r="424" spans="1:6" x14ac:dyDescent="0.2">
      <c r="A424">
        <v>10670</v>
      </c>
      <c r="E424" cm="1">
        <f t="array" ref="E424">SUM(INDEX(_xlfn._xlws.FILTER(OrderDetails!A424:E2578,OrderDetails!A424:A2578=A424), 0, 3) * INDEX(_xlfn._xlws.FILTER(OrderDetails!A424:E2578,OrderDetails!A424:A2578=A424), 0, 4))</f>
        <v>2301.75</v>
      </c>
      <c r="F424">
        <v>2302</v>
      </c>
    </row>
    <row r="425" spans="1:6" x14ac:dyDescent="0.2">
      <c r="A425">
        <v>10671</v>
      </c>
      <c r="E425" cm="1">
        <f t="array" ref="E425">SUM(INDEX(_xlfn._xlws.FILTER(OrderDetails!A425:E2579,OrderDetails!A425:A2579=A425), 0, 3) * INDEX(_xlfn._xlws.FILTER(OrderDetails!A425:E2579,OrderDetails!A425:A2579=A425), 0, 4))</f>
        <v>920.1</v>
      </c>
      <c r="F425">
        <v>920</v>
      </c>
    </row>
    <row r="426" spans="1:6" x14ac:dyDescent="0.2">
      <c r="A426">
        <v>10672</v>
      </c>
      <c r="E426" cm="1">
        <f t="array" ref="E426">SUM(INDEX(_xlfn._xlws.FILTER(OrderDetails!A426:E2580,OrderDetails!A426:A2580=A426), 0, 3) * INDEX(_xlfn._xlws.FILTER(OrderDetails!A426:E2580,OrderDetails!A426:A2580=A426), 0, 4))</f>
        <v>4210.5</v>
      </c>
      <c r="F426">
        <v>4210</v>
      </c>
    </row>
    <row r="427" spans="1:6" x14ac:dyDescent="0.2">
      <c r="A427">
        <v>10673</v>
      </c>
      <c r="E427" cm="1">
        <f t="array" ref="E427">SUM(INDEX(_xlfn._xlws.FILTER(OrderDetails!A427:E2581,OrderDetails!A427:A2581=A427), 0, 3) * INDEX(_xlfn._xlws.FILTER(OrderDetails!A427:E2581,OrderDetails!A427:A2581=A427), 0, 4))</f>
        <v>412.35</v>
      </c>
      <c r="F427">
        <v>412</v>
      </c>
    </row>
    <row r="428" spans="1:6" x14ac:dyDescent="0.2">
      <c r="A428">
        <v>10674</v>
      </c>
      <c r="E428" cm="1">
        <f t="array" ref="E428">SUM(INDEX(_xlfn._xlws.FILTER(OrderDetails!A428:E2582,OrderDetails!A428:A2582=A428), 0, 3) * INDEX(_xlfn._xlws.FILTER(OrderDetails!A428:E2582,OrderDetails!A428:A2582=A428), 0, 4))</f>
        <v>45</v>
      </c>
      <c r="F428">
        <v>45</v>
      </c>
    </row>
    <row r="429" spans="1:6" x14ac:dyDescent="0.2">
      <c r="A429">
        <v>10675</v>
      </c>
      <c r="E429" cm="1">
        <f t="array" ref="E429">SUM(INDEX(_xlfn._xlws.FILTER(OrderDetails!A429:E2583,OrderDetails!A429:A2583=A429), 0, 3) * INDEX(_xlfn._xlws.FILTER(OrderDetails!A429:E2583,OrderDetails!A429:A2583=A429), 0, 4))</f>
        <v>1423</v>
      </c>
      <c r="F429">
        <v>1424</v>
      </c>
    </row>
    <row r="430" spans="1:6" x14ac:dyDescent="0.2">
      <c r="A430">
        <v>10676</v>
      </c>
      <c r="E430" cm="1">
        <f t="array" ref="E430">SUM(INDEX(_xlfn._xlws.FILTER(OrderDetails!A430:E2584,OrderDetails!A430:A2584=A430), 0, 3) * INDEX(_xlfn._xlws.FILTER(OrderDetails!A430:E2584,OrderDetails!A430:A2584=A430), 0, 4))</f>
        <v>534.85</v>
      </c>
      <c r="F430">
        <v>534</v>
      </c>
    </row>
    <row r="431" spans="1:6" x14ac:dyDescent="0.2">
      <c r="A431">
        <v>10677</v>
      </c>
      <c r="E431" cm="1">
        <f t="array" ref="E431">SUM(INDEX(_xlfn._xlws.FILTER(OrderDetails!A431:E2585,OrderDetails!A431:A2585=A431), 0, 3) * INDEX(_xlfn._xlws.FILTER(OrderDetails!A431:E2585,OrderDetails!A431:A2585=A431), 0, 4))</f>
        <v>956.9</v>
      </c>
      <c r="F431">
        <v>957</v>
      </c>
    </row>
    <row r="432" spans="1:6" x14ac:dyDescent="0.2">
      <c r="A432">
        <v>10678</v>
      </c>
      <c r="E432" cm="1">
        <f t="array" ref="E432">SUM(INDEX(_xlfn._xlws.FILTER(OrderDetails!A432:E2586,OrderDetails!A432:A2586=A432), 0, 3) * INDEX(_xlfn._xlws.FILTER(OrderDetails!A432:E2586,OrderDetails!A432:A2586=A432), 0, 4))</f>
        <v>5256.5</v>
      </c>
      <c r="F432">
        <v>5256</v>
      </c>
    </row>
    <row r="433" spans="1:6" x14ac:dyDescent="0.2">
      <c r="A433">
        <v>10679</v>
      </c>
      <c r="E433" cm="1">
        <f t="array" ref="E433">SUM(INDEX(_xlfn._xlws.FILTER(OrderDetails!A433:E2587,OrderDetails!A433:A2587=A433), 0, 3) * INDEX(_xlfn._xlws.FILTER(OrderDetails!A433:E2587,OrderDetails!A433:A2587=A433), 0, 4))</f>
        <v>660</v>
      </c>
      <c r="F433">
        <v>660</v>
      </c>
    </row>
    <row r="434" spans="1:6" x14ac:dyDescent="0.2">
      <c r="A434">
        <v>10680</v>
      </c>
      <c r="E434" cm="1">
        <f t="array" ref="E434">SUM(INDEX(_xlfn._xlws.FILTER(OrderDetails!A434:E2588,OrderDetails!A434:A2588=A434), 0, 3) * INDEX(_xlfn._xlws.FILTER(OrderDetails!A434:E2588,OrderDetails!A434:A2588=A434), 0, 4))</f>
        <v>1682.5</v>
      </c>
      <c r="F434">
        <v>1682</v>
      </c>
    </row>
    <row r="435" spans="1:6" x14ac:dyDescent="0.2">
      <c r="A435">
        <v>10681</v>
      </c>
      <c r="E435" cm="1">
        <f t="array" ref="E435">SUM(INDEX(_xlfn._xlws.FILTER(OrderDetails!A435:E2589,OrderDetails!A435:A2589=A435), 0, 3) * INDEX(_xlfn._xlws.FILTER(OrderDetails!A435:E2589,OrderDetails!A435:A2589=A435), 0, 4))</f>
        <v>1327</v>
      </c>
      <c r="F435">
        <v>1327</v>
      </c>
    </row>
    <row r="436" spans="1:6" x14ac:dyDescent="0.2">
      <c r="A436">
        <v>10682</v>
      </c>
      <c r="E436" cm="1">
        <f t="array" ref="E436">SUM(INDEX(_xlfn._xlws.FILTER(OrderDetails!A436:E2590,OrderDetails!A436:A2590=A436), 0, 3) * INDEX(_xlfn._xlws.FILTER(OrderDetails!A436:E2590,OrderDetails!A436:A2590=A436), 0, 4))</f>
        <v>375.5</v>
      </c>
      <c r="F436">
        <v>376</v>
      </c>
    </row>
    <row r="437" spans="1:6" x14ac:dyDescent="0.2">
      <c r="A437">
        <v>10683</v>
      </c>
      <c r="E437" cm="1">
        <f t="array" ref="E437">SUM(INDEX(_xlfn._xlws.FILTER(OrderDetails!A437:E2591,OrderDetails!A437:A2591=A437), 0, 3) * INDEX(_xlfn._xlws.FILTER(OrderDetails!A437:E2591,OrderDetails!A437:A2591=A437), 0, 4))</f>
        <v>63</v>
      </c>
      <c r="F437">
        <v>63</v>
      </c>
    </row>
    <row r="438" spans="1:6" x14ac:dyDescent="0.2">
      <c r="A438">
        <v>10684</v>
      </c>
      <c r="E438" cm="1">
        <f t="array" ref="E438">SUM(INDEX(_xlfn._xlws.FILTER(OrderDetails!A438:E2592,OrderDetails!A438:A2592=A438), 0, 3) * INDEX(_xlfn._xlws.FILTER(OrderDetails!A438:E2592,OrderDetails!A438:A2592=A438), 0, 4))</f>
        <v>1768</v>
      </c>
      <c r="F438">
        <v>1768</v>
      </c>
    </row>
    <row r="439" spans="1:6" x14ac:dyDescent="0.2">
      <c r="A439">
        <v>10685</v>
      </c>
      <c r="E439" cm="1">
        <f t="array" ref="E439">SUM(INDEX(_xlfn._xlws.FILTER(OrderDetails!A439:E2593,OrderDetails!A439:A2593=A439), 0, 3) * INDEX(_xlfn._xlws.FILTER(OrderDetails!A439:E2593,OrderDetails!A439:A2593=A439), 0, 4))</f>
        <v>801.1</v>
      </c>
      <c r="F439">
        <v>802</v>
      </c>
    </row>
    <row r="440" spans="1:6" x14ac:dyDescent="0.2">
      <c r="A440">
        <v>10686</v>
      </c>
      <c r="E440" cm="1">
        <f t="array" ref="E440">SUM(INDEX(_xlfn._xlws.FILTER(OrderDetails!A440:E2594,OrderDetails!A440:A2594=A440), 0, 3) * INDEX(_xlfn._xlws.FILTER(OrderDetails!A440:E2594,OrderDetails!A440:A2594=A440), 0, 4))</f>
        <v>1638.45</v>
      </c>
      <c r="F440">
        <v>1638</v>
      </c>
    </row>
    <row r="441" spans="1:6" x14ac:dyDescent="0.2">
      <c r="A441">
        <v>10687</v>
      </c>
      <c r="E441" cm="1">
        <f t="array" ref="E441">SUM(INDEX(_xlfn._xlws.FILTER(OrderDetails!A441:E2595,OrderDetails!A441:A2595=A441), 0, 3) * INDEX(_xlfn._xlws.FILTER(OrderDetails!A441:E2595,OrderDetails!A441:A2595=A441), 0, 4))</f>
        <v>6201.9</v>
      </c>
      <c r="F441">
        <v>6202</v>
      </c>
    </row>
    <row r="442" spans="1:6" x14ac:dyDescent="0.2">
      <c r="A442">
        <v>10688</v>
      </c>
      <c r="E442" cm="1">
        <f t="array" ref="E442">SUM(INDEX(_xlfn._xlws.FILTER(OrderDetails!A442:E2596,OrderDetails!A442:A2596=A442), 0, 3) * INDEX(_xlfn._xlws.FILTER(OrderDetails!A442:E2596,OrderDetails!A442:A2596=A442), 0, 4))</f>
        <v>3490</v>
      </c>
      <c r="F442">
        <v>3490</v>
      </c>
    </row>
    <row r="443" spans="1:6" x14ac:dyDescent="0.2">
      <c r="A443">
        <v>10689</v>
      </c>
      <c r="E443" cm="1">
        <f t="array" ref="E443">SUM(INDEX(_xlfn._xlws.FILTER(OrderDetails!A443:E2597,OrderDetails!A443:A2597=A443), 0, 3) * INDEX(_xlfn._xlws.FILTER(OrderDetails!A443:E2597,OrderDetails!A443:A2597=A443), 0, 4))</f>
        <v>630</v>
      </c>
      <c r="F443">
        <v>630</v>
      </c>
    </row>
    <row r="444" spans="1:6" x14ac:dyDescent="0.2">
      <c r="A444">
        <v>10690</v>
      </c>
      <c r="E444" cm="1">
        <f t="array" ref="E444">SUM(INDEX(_xlfn._xlws.FILTER(OrderDetails!A444:E2598,OrderDetails!A444:A2598=A444), 0, 3) * INDEX(_xlfn._xlws.FILTER(OrderDetails!A444:E2598,OrderDetails!A444:A2598=A444), 0, 4))</f>
        <v>1150</v>
      </c>
      <c r="F444">
        <v>1150</v>
      </c>
    </row>
    <row r="445" spans="1:6" x14ac:dyDescent="0.2">
      <c r="A445">
        <v>10691</v>
      </c>
      <c r="E445" cm="1">
        <f t="array" ref="E445">SUM(INDEX(_xlfn._xlws.FILTER(OrderDetails!A445:E2599,OrderDetails!A445:A2599=A445), 0, 3) * INDEX(_xlfn._xlws.FILTER(OrderDetails!A445:E2599,OrderDetails!A445:A2599=A445), 0, 4))</f>
        <v>10164.799999999999</v>
      </c>
      <c r="F445">
        <v>10165</v>
      </c>
    </row>
    <row r="446" spans="1:6" x14ac:dyDescent="0.2">
      <c r="A446">
        <v>10692</v>
      </c>
      <c r="E446" cm="1">
        <f t="array" ref="E446">SUM(INDEX(_xlfn._xlws.FILTER(OrderDetails!A446:E2600,OrderDetails!A446:A2600=A446), 0, 3) * INDEX(_xlfn._xlws.FILTER(OrderDetails!A446:E2600,OrderDetails!A446:A2600=A446), 0, 4))</f>
        <v>878</v>
      </c>
      <c r="F446">
        <v>878</v>
      </c>
    </row>
    <row r="447" spans="1:6" x14ac:dyDescent="0.2">
      <c r="A447">
        <v>10693</v>
      </c>
      <c r="E447" cm="1">
        <f t="array" ref="E447">SUM(INDEX(_xlfn._xlws.FILTER(OrderDetails!A447:E2601,OrderDetails!A447:A2601=A447), 0, 3) * INDEX(_xlfn._xlws.FILTER(OrderDetails!A447:E2601,OrderDetails!A447:A2601=A447), 0, 4))</f>
        <v>2334</v>
      </c>
      <c r="F447">
        <v>2334</v>
      </c>
    </row>
    <row r="448" spans="1:6" x14ac:dyDescent="0.2">
      <c r="A448">
        <v>10694</v>
      </c>
      <c r="E448" cm="1">
        <f t="array" ref="E448">SUM(INDEX(_xlfn._xlws.FILTER(OrderDetails!A448:E2602,OrderDetails!A448:A2602=A448), 0, 3) * INDEX(_xlfn._xlws.FILTER(OrderDetails!A448:E2602,OrderDetails!A448:A2602=A448), 0, 4))</f>
        <v>4825</v>
      </c>
      <c r="F448">
        <v>4825</v>
      </c>
    </row>
    <row r="449" spans="1:6" x14ac:dyDescent="0.2">
      <c r="A449">
        <v>10695</v>
      </c>
      <c r="E449" cm="1">
        <f t="array" ref="E449">SUM(INDEX(_xlfn._xlws.FILTER(OrderDetails!A449:E2603,OrderDetails!A449:A2603=A449), 0, 3) * INDEX(_xlfn._xlws.FILTER(OrderDetails!A449:E2603,OrderDetails!A449:A2603=A449), 0, 4))</f>
        <v>642</v>
      </c>
      <c r="F449">
        <v>642</v>
      </c>
    </row>
    <row r="450" spans="1:6" x14ac:dyDescent="0.2">
      <c r="A450">
        <v>10696</v>
      </c>
      <c r="E450" cm="1">
        <f t="array" ref="E450">SUM(INDEX(_xlfn._xlws.FILTER(OrderDetails!A450:E2604,OrderDetails!A450:A2604=A450), 0, 3) * INDEX(_xlfn._xlws.FILTER(OrderDetails!A450:E2604,OrderDetails!A450:A2604=A450), 0, 4))</f>
        <v>996</v>
      </c>
      <c r="F450">
        <v>996</v>
      </c>
    </row>
    <row r="451" spans="1:6" x14ac:dyDescent="0.2">
      <c r="A451">
        <v>10697</v>
      </c>
      <c r="E451" cm="1">
        <f t="array" ref="E451">SUM(INDEX(_xlfn._xlws.FILTER(OrderDetails!A451:E2605,OrderDetails!A451:A2605=A451), 0, 3) * INDEX(_xlfn._xlws.FILTER(OrderDetails!A451:E2605,OrderDetails!A451:A2605=A451), 0, 4))</f>
        <v>1073.9000000000001</v>
      </c>
      <c r="F451">
        <v>1074</v>
      </c>
    </row>
    <row r="452" spans="1:6" x14ac:dyDescent="0.2">
      <c r="A452">
        <v>10698</v>
      </c>
      <c r="E452" cm="1">
        <f t="array" ref="E452">SUM(INDEX(_xlfn._xlws.FILTER(OrderDetails!A452:E2606,OrderDetails!A452:A2606=A452), 0, 3) * INDEX(_xlfn._xlws.FILTER(OrderDetails!A452:E2606,OrderDetails!A452:A2606=A452), 0, 4))</f>
        <v>3600.73</v>
      </c>
      <c r="F452">
        <v>3600</v>
      </c>
    </row>
    <row r="453" spans="1:6" x14ac:dyDescent="0.2">
      <c r="A453">
        <v>10699</v>
      </c>
      <c r="E453" cm="1">
        <f t="array" ref="E453">SUM(INDEX(_xlfn._xlws.FILTER(OrderDetails!A453:E2607,OrderDetails!A453:A2607=A453), 0, 3) * INDEX(_xlfn._xlws.FILTER(OrderDetails!A453:E2607,OrderDetails!A453:A2607=A453), 0, 4))</f>
        <v>114</v>
      </c>
      <c r="F453">
        <v>114</v>
      </c>
    </row>
    <row r="454" spans="1:6" x14ac:dyDescent="0.2">
      <c r="A454">
        <v>10700</v>
      </c>
      <c r="E454" cm="1">
        <f t="array" ref="E454">SUM(INDEX(_xlfn._xlws.FILTER(OrderDetails!A454:E2608,OrderDetails!A454:A2608=A454), 0, 3) * INDEX(_xlfn._xlws.FILTER(OrderDetails!A454:E2608,OrderDetails!A454:A2608=A454), 0, 4))</f>
        <v>2048</v>
      </c>
      <c r="F454">
        <v>2048</v>
      </c>
    </row>
    <row r="455" spans="1:6" x14ac:dyDescent="0.2">
      <c r="A455">
        <v>10701</v>
      </c>
      <c r="E455" cm="1">
        <f t="array" ref="E455">SUM(INDEX(_xlfn._xlws.FILTER(OrderDetails!A455:E2609,OrderDetails!A455:A2609=A455), 0, 3) * INDEX(_xlfn._xlws.FILTER(OrderDetails!A455:E2609,OrderDetails!A455:A2609=A455), 0, 4))</f>
        <v>3370</v>
      </c>
      <c r="F455">
        <v>3370</v>
      </c>
    </row>
    <row r="456" spans="1:6" x14ac:dyDescent="0.2">
      <c r="A456">
        <v>10702</v>
      </c>
      <c r="E456" cm="1">
        <f t="array" ref="E456">SUM(INDEX(_xlfn._xlws.FILTER(OrderDetails!A456:E2610,OrderDetails!A456:A2610=A456), 0, 3) * INDEX(_xlfn._xlws.FILTER(OrderDetails!A456:E2610,OrderDetails!A456:A2610=A456), 0, 4))</f>
        <v>330</v>
      </c>
      <c r="F456">
        <v>330</v>
      </c>
    </row>
    <row r="457" spans="1:6" x14ac:dyDescent="0.2">
      <c r="A457">
        <v>10703</v>
      </c>
      <c r="E457" cm="1">
        <f t="array" ref="E457">SUM(INDEX(_xlfn._xlws.FILTER(OrderDetails!A457:E2611,OrderDetails!A457:A2611=A457), 0, 3) * INDEX(_xlfn._xlws.FILTER(OrderDetails!A457:E2611,OrderDetails!A457:A2611=A457), 0, 4))</f>
        <v>2545</v>
      </c>
      <c r="F457">
        <v>2545</v>
      </c>
    </row>
    <row r="458" spans="1:6" x14ac:dyDescent="0.2">
      <c r="A458">
        <v>10704</v>
      </c>
      <c r="E458" cm="1">
        <f t="array" ref="E458">SUM(INDEX(_xlfn._xlws.FILTER(OrderDetails!A458:E2612,OrderDetails!A458:A2612=A458), 0, 3) * INDEX(_xlfn._xlws.FILTER(OrderDetails!A458:E2612,OrderDetails!A458:A2612=A458), 0, 4))</f>
        <v>595.5</v>
      </c>
      <c r="F458">
        <v>596</v>
      </c>
    </row>
    <row r="459" spans="1:6" x14ac:dyDescent="0.2">
      <c r="A459">
        <v>10705</v>
      </c>
      <c r="E459" cm="1">
        <f t="array" ref="E459">SUM(INDEX(_xlfn._xlws.FILTER(OrderDetails!A459:E2613,OrderDetails!A459:A2613=A459), 0, 3) * INDEX(_xlfn._xlws.FILTER(OrderDetails!A459:E2613,OrderDetails!A459:A2613=A459), 0, 4))</f>
        <v>378</v>
      </c>
      <c r="F459">
        <v>378</v>
      </c>
    </row>
    <row r="460" spans="1:6" x14ac:dyDescent="0.2">
      <c r="A460">
        <v>10706</v>
      </c>
      <c r="E460" cm="1">
        <f t="array" ref="E460">SUM(INDEX(_xlfn._xlws.FILTER(OrderDetails!A460:E2614,OrderDetails!A460:A2614=A460), 0, 3) * INDEX(_xlfn._xlws.FILTER(OrderDetails!A460:E2614,OrderDetails!A460:A2614=A460), 0, 4))</f>
        <v>1893</v>
      </c>
      <c r="F460">
        <v>1893</v>
      </c>
    </row>
    <row r="461" spans="1:6" x14ac:dyDescent="0.2">
      <c r="A461">
        <v>10707</v>
      </c>
      <c r="E461" cm="1">
        <f t="array" ref="E461">SUM(INDEX(_xlfn._xlws.FILTER(OrderDetails!A461:E2615,OrderDetails!A461:A2615=A461), 0, 3) * INDEX(_xlfn._xlws.FILTER(OrderDetails!A461:E2615,OrderDetails!A461:A2615=A461), 0, 4))</f>
        <v>1704</v>
      </c>
      <c r="F461">
        <v>1704</v>
      </c>
    </row>
    <row r="462" spans="1:6" x14ac:dyDescent="0.2">
      <c r="A462">
        <v>10708</v>
      </c>
      <c r="E462" cm="1">
        <f t="array" ref="E462">SUM(INDEX(_xlfn._xlws.FILTER(OrderDetails!A462:E2616,OrderDetails!A462:A2616=A462), 0, 3) * INDEX(_xlfn._xlws.FILTER(OrderDetails!A462:E2616,OrderDetails!A462:A2616=A462), 0, 4))</f>
        <v>180.4</v>
      </c>
      <c r="F462">
        <v>180</v>
      </c>
    </row>
    <row r="463" spans="1:6" x14ac:dyDescent="0.2">
      <c r="A463">
        <v>10709</v>
      </c>
      <c r="E463" cm="1">
        <f t="array" ref="E463">SUM(INDEX(_xlfn._xlws.FILTER(OrderDetails!A463:E2617,OrderDetails!A463:A2617=A463), 0, 3) * INDEX(_xlfn._xlws.FILTER(OrderDetails!A463:E2617,OrderDetails!A463:A2617=A463), 0, 4))</f>
        <v>3424</v>
      </c>
      <c r="F463">
        <v>3424</v>
      </c>
    </row>
    <row r="464" spans="1:6" x14ac:dyDescent="0.2">
      <c r="A464">
        <v>10710</v>
      </c>
      <c r="E464" cm="1">
        <f t="array" ref="E464">SUM(INDEX(_xlfn._xlws.FILTER(OrderDetails!A464:E2618,OrderDetails!A464:A2618=A464), 0, 3) * INDEX(_xlfn._xlws.FILTER(OrderDetails!A464:E2618,OrderDetails!A464:A2618=A464), 0, 4))</f>
        <v>93.5</v>
      </c>
      <c r="F464">
        <v>94</v>
      </c>
    </row>
    <row r="465" spans="1:6" x14ac:dyDescent="0.2">
      <c r="A465">
        <v>10711</v>
      </c>
      <c r="E465" cm="1">
        <f t="array" ref="E465">SUM(INDEX(_xlfn._xlws.FILTER(OrderDetails!A465:E2619,OrderDetails!A465:A2619=A465), 0, 3) * INDEX(_xlfn._xlws.FILTER(OrderDetails!A465:E2619,OrderDetails!A465:A2619=A465), 0, 4))</f>
        <v>4451.7</v>
      </c>
      <c r="F465">
        <v>4451</v>
      </c>
    </row>
    <row r="466" spans="1:6" x14ac:dyDescent="0.2">
      <c r="A466">
        <v>10712</v>
      </c>
      <c r="E466" cm="1">
        <f t="array" ref="E466">SUM(INDEX(_xlfn._xlws.FILTER(OrderDetails!A466:E2620,OrderDetails!A466:A2620=A466), 0, 3) * INDEX(_xlfn._xlws.FILTER(OrderDetails!A466:E2620,OrderDetails!A466:A2620=A466), 0, 4))</f>
        <v>1238.4000000000001</v>
      </c>
      <c r="F466">
        <v>1238</v>
      </c>
    </row>
    <row r="467" spans="1:6" x14ac:dyDescent="0.2">
      <c r="A467">
        <v>10713</v>
      </c>
      <c r="E467" cm="1">
        <f t="array" ref="E467">SUM(INDEX(_xlfn._xlws.FILTER(OrderDetails!A467:E2621,OrderDetails!A467:A2621=A467), 0, 3) * INDEX(_xlfn._xlws.FILTER(OrderDetails!A467:E2621,OrderDetails!A467:A2621=A467), 0, 4))</f>
        <v>2827.9</v>
      </c>
      <c r="F467">
        <v>2828</v>
      </c>
    </row>
    <row r="468" spans="1:6" x14ac:dyDescent="0.2">
      <c r="A468">
        <v>10714</v>
      </c>
      <c r="E468" cm="1">
        <f t="array" ref="E468">SUM(INDEX(_xlfn._xlws.FILTER(OrderDetails!A468:E2622,OrderDetails!A468:A2622=A468), 0, 3) * INDEX(_xlfn._xlws.FILTER(OrderDetails!A468:E2622,OrderDetails!A468:A2622=A468), 0, 4))</f>
        <v>2941</v>
      </c>
      <c r="F468">
        <v>2941</v>
      </c>
    </row>
    <row r="469" spans="1:6" x14ac:dyDescent="0.2">
      <c r="A469">
        <v>10715</v>
      </c>
      <c r="E469" cm="1">
        <f t="array" ref="E469">SUM(INDEX(_xlfn._xlws.FILTER(OrderDetails!A469:E2623,OrderDetails!A469:A2623=A469), 0, 3) * INDEX(_xlfn._xlws.FILTER(OrderDetails!A469:E2623,OrderDetails!A469:A2623=A469), 0, 4))</f>
        <v>1296</v>
      </c>
      <c r="F469">
        <v>1296</v>
      </c>
    </row>
    <row r="470" spans="1:6" x14ac:dyDescent="0.2">
      <c r="A470">
        <v>10716</v>
      </c>
      <c r="E470" cm="1">
        <f t="array" ref="E470">SUM(INDEX(_xlfn._xlws.FILTER(OrderDetails!A470:E2624,OrderDetails!A470:A2624=A470), 0, 3) * INDEX(_xlfn._xlws.FILTER(OrderDetails!A470:E2624,OrderDetails!A470:A2624=A470), 0, 4))</f>
        <v>706</v>
      </c>
      <c r="F470">
        <v>706</v>
      </c>
    </row>
    <row r="471" spans="1:6" x14ac:dyDescent="0.2">
      <c r="A471">
        <v>10717</v>
      </c>
      <c r="E471" cm="1">
        <f t="array" ref="E471">SUM(INDEX(_xlfn._xlws.FILTER(OrderDetails!A471:E2625,OrderDetails!A471:A2625=A471), 0, 3) * INDEX(_xlfn._xlws.FILTER(OrderDetails!A471:E2625,OrderDetails!A471:A2625=A471), 0, 4))</f>
        <v>1331.75</v>
      </c>
      <c r="F471">
        <v>1332</v>
      </c>
    </row>
    <row r="472" spans="1:6" x14ac:dyDescent="0.2">
      <c r="A472">
        <v>10718</v>
      </c>
      <c r="E472" cm="1">
        <f t="array" ref="E472">SUM(INDEX(_xlfn._xlws.FILTER(OrderDetails!A472:E2626,OrderDetails!A472:A2626=A472), 0, 3) * INDEX(_xlfn._xlws.FILTER(OrderDetails!A472:E2626,OrderDetails!A472:A2626=A472), 0, 4))</f>
        <v>3463</v>
      </c>
      <c r="F472">
        <v>3463</v>
      </c>
    </row>
    <row r="473" spans="1:6" x14ac:dyDescent="0.2">
      <c r="A473">
        <v>10719</v>
      </c>
      <c r="E473" cm="1">
        <f t="array" ref="E473">SUM(INDEX(_xlfn._xlws.FILTER(OrderDetails!A473:E2627,OrderDetails!A473:A2627=A473), 0, 3) * INDEX(_xlfn._xlws.FILTER(OrderDetails!A473:E2627,OrderDetails!A473:A2627=A473), 0, 4))</f>
        <v>1125.67</v>
      </c>
      <c r="F473">
        <v>1126</v>
      </c>
    </row>
    <row r="474" spans="1:6" x14ac:dyDescent="0.2">
      <c r="A474">
        <v>10720</v>
      </c>
      <c r="E474" cm="1">
        <f t="array" ref="E474">SUM(INDEX(_xlfn._xlws.FILTER(OrderDetails!A474:E2628,OrderDetails!A474:A2628=A474), 0, 3) * INDEX(_xlfn._xlws.FILTER(OrderDetails!A474:E2628,OrderDetails!A474:A2628=A474), 0, 4))</f>
        <v>550</v>
      </c>
      <c r="F474">
        <v>550</v>
      </c>
    </row>
    <row r="475" spans="1:6" x14ac:dyDescent="0.2">
      <c r="A475">
        <v>10721</v>
      </c>
      <c r="E475" cm="1">
        <f t="array" ref="E475">SUM(INDEX(_xlfn._xlws.FILTER(OrderDetails!A475:E2629,OrderDetails!A475:A2629=A475), 0, 3) * INDEX(_xlfn._xlws.FILTER(OrderDetails!A475:E2629,OrderDetails!A475:A2629=A475), 0, 4))</f>
        <v>972.5</v>
      </c>
      <c r="F475">
        <v>972</v>
      </c>
    </row>
    <row r="476" spans="1:6" x14ac:dyDescent="0.2">
      <c r="A476">
        <v>10722</v>
      </c>
      <c r="E476" cm="1">
        <f t="array" ref="E476">SUM(INDEX(_xlfn._xlws.FILTER(OrderDetails!A476:E2630,OrderDetails!A476:A2630=A476), 0, 3) * INDEX(_xlfn._xlws.FILTER(OrderDetails!A476:E2630,OrderDetails!A476:A2630=A476), 0, 4))</f>
        <v>1570</v>
      </c>
      <c r="F476">
        <v>1570</v>
      </c>
    </row>
    <row r="477" spans="1:6" x14ac:dyDescent="0.2">
      <c r="A477">
        <v>10723</v>
      </c>
      <c r="E477" cm="1">
        <f t="array" ref="E477">SUM(INDEX(_xlfn._xlws.FILTER(OrderDetails!A477:E2631,OrderDetails!A477:A2631=A477), 0, 3) * INDEX(_xlfn._xlws.FILTER(OrderDetails!A477:E2631,OrderDetails!A477:A2631=A477), 0, 4))</f>
        <v>468.45</v>
      </c>
      <c r="F477">
        <v>468</v>
      </c>
    </row>
    <row r="478" spans="1:6" x14ac:dyDescent="0.2">
      <c r="A478">
        <v>10724</v>
      </c>
      <c r="E478" cm="1">
        <f t="array" ref="E478">SUM(INDEX(_xlfn._xlws.FILTER(OrderDetails!A478:E2632,OrderDetails!A478:A2632=A478), 0, 3) * INDEX(_xlfn._xlws.FILTER(OrderDetails!A478:E2632,OrderDetails!A478:A2632=A478), 0, 4))</f>
        <v>638.5</v>
      </c>
      <c r="F478">
        <v>638</v>
      </c>
    </row>
    <row r="479" spans="1:6" x14ac:dyDescent="0.2">
      <c r="A479">
        <v>10725</v>
      </c>
      <c r="E479" cm="1">
        <f t="array" ref="E479">SUM(INDEX(_xlfn._xlws.FILTER(OrderDetails!A479:E2633,OrderDetails!A479:A2633=A479), 0, 3) * INDEX(_xlfn._xlws.FILTER(OrderDetails!A479:E2633,OrderDetails!A479:A2633=A479), 0, 4))</f>
        <v>287.8</v>
      </c>
      <c r="F479">
        <v>288</v>
      </c>
    </row>
    <row r="480" spans="1:6" x14ac:dyDescent="0.2">
      <c r="A480">
        <v>10726</v>
      </c>
      <c r="E480" cm="1">
        <f t="array" ref="E480">SUM(INDEX(_xlfn._xlws.FILTER(OrderDetails!A480:E2634,OrderDetails!A480:A2634=A480), 0, 3) * INDEX(_xlfn._xlws.FILTER(OrderDetails!A480:E2634,OrderDetails!A480:A2634=A480), 0, 4))</f>
        <v>655</v>
      </c>
      <c r="F480">
        <v>655</v>
      </c>
    </row>
    <row r="481" spans="1:6" x14ac:dyDescent="0.2">
      <c r="A481">
        <v>10727</v>
      </c>
      <c r="E481" cm="1">
        <f t="array" ref="E481">SUM(INDEX(_xlfn._xlws.FILTER(OrderDetails!A481:E2635,OrderDetails!A481:A2635=A481), 0, 3) * INDEX(_xlfn._xlws.FILTER(OrderDetails!A481:E2635,OrderDetails!A481:A2635=A481), 0, 4))</f>
        <v>1710</v>
      </c>
      <c r="F481">
        <v>1710</v>
      </c>
    </row>
    <row r="482" spans="1:6" x14ac:dyDescent="0.2">
      <c r="A482">
        <v>10728</v>
      </c>
      <c r="E482" cm="1">
        <f t="array" ref="E482">SUM(INDEX(_xlfn._xlws.FILTER(OrderDetails!A482:E2636,OrderDetails!A482:A2636=A482), 0, 3) * INDEX(_xlfn._xlws.FILTER(OrderDetails!A482:E2636,OrderDetails!A482:A2636=A482), 0, 4))</f>
        <v>1296.75</v>
      </c>
      <c r="F482">
        <v>1296</v>
      </c>
    </row>
    <row r="483" spans="1:6" x14ac:dyDescent="0.2">
      <c r="A483">
        <v>10729</v>
      </c>
      <c r="E483" cm="1">
        <f t="array" ref="E483">SUM(INDEX(_xlfn._xlws.FILTER(OrderDetails!A483:E2637,OrderDetails!A483:A2637=A483), 0, 3) * INDEX(_xlfn._xlws.FILTER(OrderDetails!A483:E2637,OrderDetails!A483:A2637=A483), 0, 4))</f>
        <v>1850</v>
      </c>
      <c r="F483">
        <v>1850</v>
      </c>
    </row>
    <row r="484" spans="1:6" x14ac:dyDescent="0.2">
      <c r="A484">
        <v>10730</v>
      </c>
      <c r="E484" cm="1">
        <f t="array" ref="E484">SUM(INDEX(_xlfn._xlws.FILTER(OrderDetails!A484:E2638,OrderDetails!A484:A2638=A484), 0, 3) * INDEX(_xlfn._xlws.FILTER(OrderDetails!A484:E2638,OrderDetails!A484:A2638=A484), 0, 4))</f>
        <v>509.75</v>
      </c>
      <c r="F484">
        <v>510</v>
      </c>
    </row>
    <row r="485" spans="1:6" x14ac:dyDescent="0.2">
      <c r="A485">
        <v>10731</v>
      </c>
      <c r="E485" cm="1">
        <f t="array" ref="E485">SUM(INDEX(_xlfn._xlws.FILTER(OrderDetails!A485:E2639,OrderDetails!A485:A2639=A485), 0, 3) * INDEX(_xlfn._xlws.FILTER(OrderDetails!A485:E2639,OrderDetails!A485:A2639=A485), 0, 4))</f>
        <v>1990</v>
      </c>
      <c r="F485">
        <v>1990</v>
      </c>
    </row>
    <row r="486" spans="1:6" x14ac:dyDescent="0.2">
      <c r="A486">
        <v>10732</v>
      </c>
      <c r="E486" cm="1">
        <f t="array" ref="E486">SUM(INDEX(_xlfn._xlws.FILTER(OrderDetails!A486:E2640,OrderDetails!A486:A2640=A486), 0, 3) * INDEX(_xlfn._xlws.FILTER(OrderDetails!A486:E2640,OrderDetails!A486:A2640=A486), 0, 4))</f>
        <v>360</v>
      </c>
      <c r="F486">
        <v>360</v>
      </c>
    </row>
    <row r="487" spans="1:6" x14ac:dyDescent="0.2">
      <c r="A487">
        <v>10733</v>
      </c>
      <c r="E487" cm="1">
        <f t="array" ref="E487">SUM(INDEX(_xlfn._xlws.FILTER(OrderDetails!A487:E2641,OrderDetails!A487:A2641=A487), 0, 3) * INDEX(_xlfn._xlws.FILTER(OrderDetails!A487:E2641,OrderDetails!A487:A2641=A487), 0, 4))</f>
        <v>1459</v>
      </c>
      <c r="F487">
        <v>1459</v>
      </c>
    </row>
    <row r="488" spans="1:6" x14ac:dyDescent="0.2">
      <c r="A488">
        <v>10734</v>
      </c>
      <c r="E488" cm="1">
        <f t="array" ref="E488">SUM(INDEX(_xlfn._xlws.FILTER(OrderDetails!A488:E2642,OrderDetails!A488:A2642=A488), 0, 3) * INDEX(_xlfn._xlws.FILTER(OrderDetails!A488:E2642,OrderDetails!A488:A2642=A488), 0, 4))</f>
        <v>1498.35</v>
      </c>
      <c r="F488">
        <v>1498</v>
      </c>
    </row>
    <row r="489" spans="1:6" x14ac:dyDescent="0.2">
      <c r="A489">
        <v>10735</v>
      </c>
      <c r="E489" cm="1">
        <f t="array" ref="E489">SUM(INDEX(_xlfn._xlws.FILTER(OrderDetails!A489:E2643,OrderDetails!A489:A2643=A489), 0, 3) * INDEX(_xlfn._xlws.FILTER(OrderDetails!A489:E2643,OrderDetails!A489:A2643=A489), 0, 4))</f>
        <v>596</v>
      </c>
      <c r="F489">
        <v>596</v>
      </c>
    </row>
    <row r="490" spans="1:6" x14ac:dyDescent="0.2">
      <c r="A490">
        <v>10736</v>
      </c>
      <c r="E490" cm="1">
        <f t="array" ref="E490">SUM(INDEX(_xlfn._xlws.FILTER(OrderDetails!A490:E2644,OrderDetails!A490:A2644=A490), 0, 3) * INDEX(_xlfn._xlws.FILTER(OrderDetails!A490:E2644,OrderDetails!A490:A2644=A490), 0, 4))</f>
        <v>997</v>
      </c>
      <c r="F490">
        <v>997</v>
      </c>
    </row>
    <row r="491" spans="1:6" x14ac:dyDescent="0.2">
      <c r="A491">
        <v>10737</v>
      </c>
      <c r="E491" cm="1">
        <f t="array" ref="E491">SUM(INDEX(_xlfn._xlws.FILTER(OrderDetails!A491:E2645,OrderDetails!A491:A2645=A491), 0, 3) * INDEX(_xlfn._xlws.FILTER(OrderDetails!A491:E2645,OrderDetails!A491:A2645=A491), 0, 4))</f>
        <v>139.80000000000001</v>
      </c>
      <c r="F491">
        <v>140</v>
      </c>
    </row>
    <row r="492" spans="1:6" x14ac:dyDescent="0.2">
      <c r="A492">
        <v>10738</v>
      </c>
      <c r="E492" cm="1">
        <f t="array" ref="E492">SUM(INDEX(_xlfn._xlws.FILTER(OrderDetails!A492:E2646,OrderDetails!A492:A2646=A492), 0, 3) * INDEX(_xlfn._xlws.FILTER(OrderDetails!A492:E2646,OrderDetails!A492:A2646=A492), 0, 4))</f>
        <v>52.349999999999994</v>
      </c>
      <c r="F492">
        <v>52</v>
      </c>
    </row>
    <row r="493" spans="1:6" x14ac:dyDescent="0.2">
      <c r="A493">
        <v>10739</v>
      </c>
      <c r="E493" cm="1">
        <f t="array" ref="E493">SUM(INDEX(_xlfn._xlws.FILTER(OrderDetails!A493:E2647,OrderDetails!A493:A2647=A493), 0, 3) * INDEX(_xlfn._xlws.FILTER(OrderDetails!A493:E2647,OrderDetails!A493:A2647=A493), 0, 4))</f>
        <v>240</v>
      </c>
      <c r="F493">
        <v>240</v>
      </c>
    </row>
    <row r="494" spans="1:6" x14ac:dyDescent="0.2">
      <c r="A494">
        <v>10740</v>
      </c>
      <c r="E494" cm="1">
        <f t="array" ref="E494">SUM(INDEX(_xlfn._xlws.FILTER(OrderDetails!A494:E2648,OrderDetails!A494:A2648=A494), 0, 3) * INDEX(_xlfn._xlws.FILTER(OrderDetails!A494:E2648,OrderDetails!A494:A2648=A494), 0, 4))</f>
        <v>1770</v>
      </c>
      <c r="F494">
        <v>1770</v>
      </c>
    </row>
    <row r="495" spans="1:6" x14ac:dyDescent="0.2">
      <c r="A495">
        <v>10741</v>
      </c>
      <c r="E495" cm="1">
        <f t="array" ref="E495">SUM(INDEX(_xlfn._xlws.FILTER(OrderDetails!A495:E2649,OrderDetails!A495:A2649=A495), 0, 3) * INDEX(_xlfn._xlws.FILTER(OrderDetails!A495:E2649,OrderDetails!A495:A2649=A495), 0, 4))</f>
        <v>285</v>
      </c>
      <c r="F495">
        <v>285</v>
      </c>
    </row>
    <row r="496" spans="1:6" x14ac:dyDescent="0.2">
      <c r="A496">
        <v>10742</v>
      </c>
      <c r="E496" cm="1">
        <f t="array" ref="E496">SUM(INDEX(_xlfn._xlws.FILTER(OrderDetails!A496:E2650,OrderDetails!A496:A2650=A496), 0, 3) * INDEX(_xlfn._xlws.FILTER(OrderDetails!A496:E2650,OrderDetails!A496:A2650=A496), 0, 4))</f>
        <v>3118</v>
      </c>
      <c r="F496">
        <v>3118</v>
      </c>
    </row>
    <row r="497" spans="1:6" x14ac:dyDescent="0.2">
      <c r="A497">
        <v>10743</v>
      </c>
      <c r="E497" cm="1">
        <f t="array" ref="E497">SUM(INDEX(_xlfn._xlws.FILTER(OrderDetails!A497:E2651,OrderDetails!A497:A2651=A497), 0, 3) * INDEX(_xlfn._xlws.FILTER(OrderDetails!A497:E2651,OrderDetails!A497:A2651=A497), 0, 4))</f>
        <v>336</v>
      </c>
      <c r="F497">
        <v>336</v>
      </c>
    </row>
    <row r="498" spans="1:6" x14ac:dyDescent="0.2">
      <c r="A498">
        <v>10744</v>
      </c>
      <c r="E498" cm="1">
        <f t="array" ref="E498">SUM(INDEX(_xlfn._xlws.FILTER(OrderDetails!A498:E2652,OrderDetails!A498:A2652=A498), 0, 3) * INDEX(_xlfn._xlws.FILTER(OrderDetails!A498:E2652,OrderDetails!A498:A2652=A498), 0, 4))</f>
        <v>919.99999999999989</v>
      </c>
      <c r="F498">
        <v>920</v>
      </c>
    </row>
    <row r="499" spans="1:6" x14ac:dyDescent="0.2">
      <c r="A499">
        <v>10745</v>
      </c>
      <c r="E499" cm="1">
        <f t="array" ref="E499">SUM(INDEX(_xlfn._xlws.FILTER(OrderDetails!A499:E2653,OrderDetails!A499:A2653=A499), 0, 3) * INDEX(_xlfn._xlws.FILTER(OrderDetails!A499:E2653,OrderDetails!A499:A2653=A499), 0, 4))</f>
        <v>4529.8</v>
      </c>
      <c r="F499">
        <v>4530</v>
      </c>
    </row>
    <row r="500" spans="1:6" x14ac:dyDescent="0.2">
      <c r="A500">
        <v>10746</v>
      </c>
      <c r="E500" cm="1">
        <f t="array" ref="E500">SUM(INDEX(_xlfn._xlws.FILTER(OrderDetails!A500:E2654,OrderDetails!A500:A2654=A500), 0, 3) * INDEX(_xlfn._xlws.FILTER(OrderDetails!A500:E2654,OrderDetails!A500:A2654=A500), 0, 4))</f>
        <v>2311.6999999999998</v>
      </c>
      <c r="F500">
        <v>2312</v>
      </c>
    </row>
    <row r="501" spans="1:6" x14ac:dyDescent="0.2">
      <c r="A501">
        <v>10747</v>
      </c>
      <c r="E501" cm="1">
        <f t="array" ref="E501">SUM(INDEX(_xlfn._xlws.FILTER(OrderDetails!A501:E2655,OrderDetails!A501:A2655=A501), 0, 3) * INDEX(_xlfn._xlws.FILTER(OrderDetails!A501:E2655,OrderDetails!A501:A2655=A501), 0, 4))</f>
        <v>1912.85</v>
      </c>
      <c r="F501">
        <v>1913</v>
      </c>
    </row>
    <row r="502" spans="1:6" x14ac:dyDescent="0.2">
      <c r="A502">
        <v>10748</v>
      </c>
      <c r="E502" cm="1">
        <f t="array" ref="E502">SUM(INDEX(_xlfn._xlws.FILTER(OrderDetails!A502:E2656,OrderDetails!A502:A2656=A502), 0, 3) * INDEX(_xlfn._xlws.FILTER(OrderDetails!A502:E2656,OrderDetails!A502:A2656=A502), 0, 4))</f>
        <v>2196</v>
      </c>
      <c r="F502">
        <v>2196</v>
      </c>
    </row>
    <row r="503" spans="1:6" x14ac:dyDescent="0.2">
      <c r="A503">
        <v>10749</v>
      </c>
      <c r="E503" cm="1">
        <f t="array" ref="E503">SUM(INDEX(_xlfn._xlws.FILTER(OrderDetails!A503:E2657,OrderDetails!A503:A2657=A503), 0, 3) * INDEX(_xlfn._xlws.FILTER(OrderDetails!A503:E2657,OrderDetails!A503:A2657=A503), 0, 4))</f>
        <v>1080</v>
      </c>
      <c r="F503">
        <v>1080</v>
      </c>
    </row>
    <row r="504" spans="1:6" x14ac:dyDescent="0.2">
      <c r="A504">
        <v>10750</v>
      </c>
      <c r="E504" cm="1">
        <f t="array" ref="E504">SUM(INDEX(_xlfn._xlws.FILTER(OrderDetails!A504:E2658,OrderDetails!A504:A2658=A504), 0, 3) * INDEX(_xlfn._xlws.FILTER(OrderDetails!A504:E2658,OrderDetails!A504:A2658=A504), 0, 4))</f>
        <v>1871.25</v>
      </c>
      <c r="F504">
        <v>1871</v>
      </c>
    </row>
    <row r="505" spans="1:6" x14ac:dyDescent="0.2">
      <c r="A505">
        <v>10751</v>
      </c>
      <c r="E505" cm="1">
        <f t="array" ref="E505">SUM(INDEX(_xlfn._xlws.FILTER(OrderDetails!A505:E2659,OrderDetails!A505:A2659=A505), 0, 3) * INDEX(_xlfn._xlws.FILTER(OrderDetails!A505:E2659,OrderDetails!A505:A2659=A505), 0, 4))</f>
        <v>1701.46</v>
      </c>
      <c r="F505">
        <v>1702</v>
      </c>
    </row>
    <row r="506" spans="1:6" x14ac:dyDescent="0.2">
      <c r="A506">
        <v>10752</v>
      </c>
      <c r="E506" cm="1">
        <f t="array" ref="E506">SUM(INDEX(_xlfn._xlws.FILTER(OrderDetails!A506:E2660,OrderDetails!A506:A2660=A506), 0, 3) * INDEX(_xlfn._xlws.FILTER(OrderDetails!A506:E2660,OrderDetails!A506:A2660=A506), 0, 4))</f>
        <v>252</v>
      </c>
      <c r="F506">
        <v>252</v>
      </c>
    </row>
    <row r="507" spans="1:6" x14ac:dyDescent="0.2">
      <c r="A507">
        <v>10753</v>
      </c>
      <c r="E507" cm="1">
        <f t="array" ref="E507">SUM(INDEX(_xlfn._xlws.FILTER(OrderDetails!A507:E2661,OrderDetails!A507:A2661=A507), 0, 3) * INDEX(_xlfn._xlws.FILTER(OrderDetails!A507:E2661,OrderDetails!A507:A2661=A507), 0, 4))</f>
        <v>88</v>
      </c>
      <c r="F507">
        <v>88</v>
      </c>
    </row>
    <row r="508" spans="1:6" x14ac:dyDescent="0.2">
      <c r="A508">
        <v>10754</v>
      </c>
      <c r="E508" cm="1">
        <f t="array" ref="E508">SUM(INDEX(_xlfn._xlws.FILTER(OrderDetails!A508:E2662,OrderDetails!A508:A2662=A508), 0, 3) * INDEX(_xlfn._xlws.FILTER(OrderDetails!A508:E2662,OrderDetails!A508:A2662=A508), 0, 4))</f>
        <v>55.199999999999996</v>
      </c>
      <c r="F508">
        <v>55</v>
      </c>
    </row>
    <row r="509" spans="1:6" x14ac:dyDescent="0.2">
      <c r="A509">
        <v>10755</v>
      </c>
      <c r="E509" cm="1">
        <f t="array" ref="E509">SUM(INDEX(_xlfn._xlws.FILTER(OrderDetails!A509:E2663,OrderDetails!A509:A2663=A509), 0, 3) * INDEX(_xlfn._xlws.FILTER(OrderDetails!A509:E2663,OrderDetails!A509:A2663=A509), 0, 4))</f>
        <v>2598</v>
      </c>
      <c r="F509">
        <v>2598</v>
      </c>
    </row>
    <row r="510" spans="1:6" x14ac:dyDescent="0.2">
      <c r="A510">
        <v>10756</v>
      </c>
      <c r="E510" cm="1">
        <f t="array" ref="E510">SUM(INDEX(_xlfn._xlws.FILTER(OrderDetails!A510:E2664,OrderDetails!A510:A2664=A510), 0, 3) * INDEX(_xlfn._xlws.FILTER(OrderDetails!A510:E2664,OrderDetails!A510:A2664=A510), 0, 4))</f>
        <v>2487.5</v>
      </c>
      <c r="F510">
        <v>2487</v>
      </c>
    </row>
    <row r="511" spans="1:6" x14ac:dyDescent="0.2">
      <c r="A511">
        <v>10757</v>
      </c>
      <c r="E511" cm="1">
        <f t="array" ref="E511">SUM(INDEX(_xlfn._xlws.FILTER(OrderDetails!A511:E2665,OrderDetails!A511:A2665=A511), 0, 3) * INDEX(_xlfn._xlws.FILTER(OrderDetails!A511:E2665,OrderDetails!A511:A2665=A511), 0, 4))</f>
        <v>3082</v>
      </c>
      <c r="F511">
        <v>3082</v>
      </c>
    </row>
    <row r="512" spans="1:6" x14ac:dyDescent="0.2">
      <c r="A512">
        <v>10758</v>
      </c>
      <c r="E512" cm="1">
        <f t="array" ref="E512">SUM(INDEX(_xlfn._xlws.FILTER(OrderDetails!A512:E2666,OrderDetails!A512:A2666=A512), 0, 3) * INDEX(_xlfn._xlws.FILTER(OrderDetails!A512:E2666,OrderDetails!A512:A2666=A512), 0, 4))</f>
        <v>1644.6</v>
      </c>
      <c r="F512">
        <v>1645</v>
      </c>
    </row>
    <row r="513" spans="1:6" x14ac:dyDescent="0.2">
      <c r="A513">
        <v>10759</v>
      </c>
      <c r="E513" cm="1">
        <f t="array" ref="E513">SUM(INDEX(_xlfn._xlws.FILTER(OrderDetails!A513:E2667,OrderDetails!A513:A2667=A513), 0, 3) * INDEX(_xlfn._xlws.FILTER(OrderDetails!A513:E2667,OrderDetails!A513:A2667=A513), 0, 4))</f>
        <v>320</v>
      </c>
      <c r="F513">
        <v>320</v>
      </c>
    </row>
    <row r="514" spans="1:6" x14ac:dyDescent="0.2">
      <c r="A514">
        <v>10760</v>
      </c>
      <c r="E514" cm="1">
        <f t="array" ref="E514">SUM(INDEX(_xlfn._xlws.FILTER(OrderDetails!A514:E2668,OrderDetails!A514:A2668=A514), 0, 3) * INDEX(_xlfn._xlws.FILTER(OrderDetails!A514:E2668,OrderDetails!A514:A2668=A514), 0, 4))</f>
        <v>3304</v>
      </c>
      <c r="F514">
        <v>3304</v>
      </c>
    </row>
    <row r="515" spans="1:6" x14ac:dyDescent="0.2">
      <c r="A515">
        <v>10761</v>
      </c>
      <c r="E515" cm="1">
        <f t="array" ref="E515">SUM(INDEX(_xlfn._xlws.FILTER(OrderDetails!A515:E2669,OrderDetails!A515:A2669=A515), 0, 3) * INDEX(_xlfn._xlws.FILTER(OrderDetails!A515:E2669,OrderDetails!A515:A2669=A515), 0, 4))</f>
        <v>629.5</v>
      </c>
      <c r="F515">
        <v>630</v>
      </c>
    </row>
    <row r="516" spans="1:6" x14ac:dyDescent="0.2">
      <c r="A516">
        <v>10762</v>
      </c>
      <c r="E516" cm="1">
        <f t="array" ref="E516">SUM(INDEX(_xlfn._xlws.FILTER(OrderDetails!A516:E2670,OrderDetails!A516:A2670=A516), 0, 3) * INDEX(_xlfn._xlws.FILTER(OrderDetails!A516:E2670,OrderDetails!A516:A2670=A516), 0, 4))</f>
        <v>4337</v>
      </c>
      <c r="F516">
        <v>4337</v>
      </c>
    </row>
    <row r="517" spans="1:6" x14ac:dyDescent="0.2">
      <c r="A517">
        <v>10763</v>
      </c>
      <c r="E517" cm="1">
        <f t="array" ref="E517">SUM(INDEX(_xlfn._xlws.FILTER(OrderDetails!A517:E2671,OrderDetails!A517:A2671=A517), 0, 3) * INDEX(_xlfn._xlws.FILTER(OrderDetails!A517:E2671,OrderDetails!A517:A2671=A517), 0, 4))</f>
        <v>616</v>
      </c>
      <c r="F517">
        <v>616</v>
      </c>
    </row>
    <row r="518" spans="1:6" x14ac:dyDescent="0.2">
      <c r="A518">
        <v>10764</v>
      </c>
      <c r="E518" cm="1">
        <f t="array" ref="E518">SUM(INDEX(_xlfn._xlws.FILTER(OrderDetails!A518:E2672,OrderDetails!A518:A2672=A518), 0, 3) * INDEX(_xlfn._xlws.FILTER(OrderDetails!A518:E2672,OrderDetails!A518:A2672=A518), 0, 4))</f>
        <v>2540</v>
      </c>
      <c r="F518">
        <v>2540</v>
      </c>
    </row>
    <row r="519" spans="1:6" x14ac:dyDescent="0.2">
      <c r="A519">
        <v>10765</v>
      </c>
      <c r="E519" cm="1">
        <f t="array" ref="E519">SUM(INDEX(_xlfn._xlws.FILTER(OrderDetails!A519:E2673,OrderDetails!A519:A2673=A519), 0, 3) * INDEX(_xlfn._xlws.FILTER(OrderDetails!A519:E2673,OrderDetails!A519:A2673=A519), 0, 4))</f>
        <v>1684</v>
      </c>
      <c r="F519">
        <v>1684</v>
      </c>
    </row>
    <row r="520" spans="1:6" x14ac:dyDescent="0.2">
      <c r="A520">
        <v>10766</v>
      </c>
      <c r="E520" cm="1">
        <f t="array" ref="E520">SUM(INDEX(_xlfn._xlws.FILTER(OrderDetails!A520:E2674,OrderDetails!A520:A2674=A520), 0, 3) * INDEX(_xlfn._xlws.FILTER(OrderDetails!A520:E2674,OrderDetails!A520:A2674=A520), 0, 4))</f>
        <v>2310</v>
      </c>
      <c r="F520">
        <v>2310</v>
      </c>
    </row>
    <row r="521" spans="1:6" x14ac:dyDescent="0.2">
      <c r="A521">
        <v>10767</v>
      </c>
      <c r="E521" cm="1">
        <f t="array" ref="E521">SUM(INDEX(_xlfn._xlws.FILTER(OrderDetails!A521:E2675,OrderDetails!A521:A2675=A521), 0, 3) * INDEX(_xlfn._xlws.FILTER(OrderDetails!A521:E2675,OrderDetails!A521:A2675=A521), 0, 4))</f>
        <v>28</v>
      </c>
      <c r="F521">
        <v>28</v>
      </c>
    </row>
    <row r="522" spans="1:6" x14ac:dyDescent="0.2">
      <c r="A522">
        <v>10768</v>
      </c>
      <c r="E522" cm="1">
        <f t="array" ref="E522">SUM(INDEX(_xlfn._xlws.FILTER(OrderDetails!A522:E2676,OrderDetails!A522:A2676=A522), 0, 3) * INDEX(_xlfn._xlws.FILTER(OrderDetails!A522:E2676,OrderDetails!A522:A2676=A522), 0, 4))</f>
        <v>1477</v>
      </c>
      <c r="F522">
        <v>1477</v>
      </c>
    </row>
    <row r="523" spans="1:6" x14ac:dyDescent="0.2">
      <c r="A523">
        <v>10769</v>
      </c>
      <c r="E523" cm="1">
        <f t="array" ref="E523">SUM(INDEX(_xlfn._xlws.FILTER(OrderDetails!A523:E2677,OrderDetails!A523:A2677=A523), 0, 3) * INDEX(_xlfn._xlws.FILTER(OrderDetails!A523:E2677,OrderDetails!A523:A2677=A523), 0, 4))</f>
        <v>1704</v>
      </c>
      <c r="F523">
        <v>1704</v>
      </c>
    </row>
    <row r="524" spans="1:6" x14ac:dyDescent="0.2">
      <c r="A524">
        <v>10770</v>
      </c>
      <c r="E524" cm="1">
        <f t="array" ref="E524">SUM(INDEX(_xlfn._xlws.FILTER(OrderDetails!A524:E2678,OrderDetails!A524:A2678=A524), 0, 3) * INDEX(_xlfn._xlws.FILTER(OrderDetails!A524:E2678,OrderDetails!A524:A2678=A524), 0, 4))</f>
        <v>315</v>
      </c>
      <c r="F524">
        <v>315</v>
      </c>
    </row>
    <row r="525" spans="1:6" x14ac:dyDescent="0.2">
      <c r="A525">
        <v>10771</v>
      </c>
      <c r="E525" cm="1">
        <f t="array" ref="E525">SUM(INDEX(_xlfn._xlws.FILTER(OrderDetails!A525:E2679,OrderDetails!A525:A2679=A525), 0, 3) * INDEX(_xlfn._xlws.FILTER(OrderDetails!A525:E2679,OrderDetails!A525:A2679=A525), 0, 4))</f>
        <v>344</v>
      </c>
      <c r="F525">
        <v>344</v>
      </c>
    </row>
    <row r="526" spans="1:6" x14ac:dyDescent="0.2">
      <c r="A526">
        <v>10772</v>
      </c>
      <c r="E526" cm="1">
        <f t="array" ref="E526">SUM(INDEX(_xlfn._xlws.FILTER(OrderDetails!A526:E2680,OrderDetails!A526:A2680=A526), 0, 3) * INDEX(_xlfn._xlws.FILTER(OrderDetails!A526:E2680,OrderDetails!A526:A2680=A526), 0, 4))</f>
        <v>3603.2200000000003</v>
      </c>
      <c r="F526">
        <v>3603</v>
      </c>
    </row>
    <row r="527" spans="1:6" x14ac:dyDescent="0.2">
      <c r="A527">
        <v>10773</v>
      </c>
      <c r="E527" cm="1">
        <f t="array" ref="E527">SUM(INDEX(_xlfn._xlws.FILTER(OrderDetails!A527:E2681,OrderDetails!A527:A2681=A527), 0, 3) * INDEX(_xlfn._xlws.FILTER(OrderDetails!A527:E2681,OrderDetails!A527:A2681=A527), 0, 4))</f>
        <v>2216.25</v>
      </c>
      <c r="F527">
        <v>2216</v>
      </c>
    </row>
    <row r="528" spans="1:6" x14ac:dyDescent="0.2">
      <c r="A528">
        <v>10774</v>
      </c>
      <c r="E528" cm="1">
        <f t="array" ref="E528">SUM(INDEX(_xlfn._xlws.FILTER(OrderDetails!A528:E2682,OrderDetails!A528:A2682=A528), 0, 3) * INDEX(_xlfn._xlws.FILTER(OrderDetails!A528:E2682,OrderDetails!A528:A2682=A528), 0, 4))</f>
        <v>875</v>
      </c>
      <c r="F528">
        <v>875</v>
      </c>
    </row>
    <row r="529" spans="1:6" x14ac:dyDescent="0.2">
      <c r="A529">
        <v>10775</v>
      </c>
      <c r="E529" cm="1">
        <f t="array" ref="E529">SUM(INDEX(_xlfn._xlws.FILTER(OrderDetails!A529:E2683,OrderDetails!A529:A2683=A529), 0, 3) * INDEX(_xlfn._xlws.FILTER(OrderDetails!A529:E2683,OrderDetails!A529:A2683=A529), 0, 4))</f>
        <v>228</v>
      </c>
      <c r="F529">
        <v>228</v>
      </c>
    </row>
    <row r="530" spans="1:6" x14ac:dyDescent="0.2">
      <c r="A530">
        <v>10776</v>
      </c>
      <c r="E530" cm="1">
        <f t="array" ref="E530">SUM(INDEX(_xlfn._xlws.FILTER(OrderDetails!A530:E2684,OrderDetails!A530:A2684=A530), 0, 3) * INDEX(_xlfn._xlws.FILTER(OrderDetails!A530:E2684,OrderDetails!A530:A2684=A530), 0, 4))</f>
        <v>6984.5</v>
      </c>
      <c r="F530">
        <v>6984</v>
      </c>
    </row>
    <row r="531" spans="1:6" x14ac:dyDescent="0.2">
      <c r="A531">
        <v>10777</v>
      </c>
      <c r="E531" cm="1">
        <f t="array" ref="E531">SUM(INDEX(_xlfn._xlws.FILTER(OrderDetails!A531:E2685,OrderDetails!A531:A2685=A531), 0, 3) * INDEX(_xlfn._xlws.FILTER(OrderDetails!A531:E2685,OrderDetails!A531:A2685=A531), 0, 4))</f>
        <v>280</v>
      </c>
      <c r="F531">
        <v>280</v>
      </c>
    </row>
    <row r="532" spans="1:6" x14ac:dyDescent="0.2">
      <c r="A532">
        <v>10778</v>
      </c>
      <c r="E532" cm="1">
        <f t="array" ref="E532">SUM(INDEX(_xlfn._xlws.FILTER(OrderDetails!A532:E2686,OrderDetails!A532:A2686=A532), 0, 3) * INDEX(_xlfn._xlws.FILTER(OrderDetails!A532:E2686,OrderDetails!A532:A2686=A532), 0, 4))</f>
        <v>96.5</v>
      </c>
      <c r="F532">
        <v>96</v>
      </c>
    </row>
    <row r="533" spans="1:6" x14ac:dyDescent="0.2">
      <c r="A533">
        <v>10779</v>
      </c>
      <c r="E533" cm="1">
        <f t="array" ref="E533">SUM(INDEX(_xlfn._xlws.FILTER(OrderDetails!A533:E2687,OrderDetails!A533:A2687=A533), 0, 3) * INDEX(_xlfn._xlws.FILTER(OrderDetails!A533:E2687,OrderDetails!A533:A2687=A533), 0, 4))</f>
        <v>1335</v>
      </c>
      <c r="F533">
        <v>1335</v>
      </c>
    </row>
    <row r="534" spans="1:6" x14ac:dyDescent="0.2">
      <c r="A534">
        <v>10780</v>
      </c>
      <c r="E534" cm="1">
        <f t="array" ref="E534">SUM(INDEX(_xlfn._xlws.FILTER(OrderDetails!A534:E2688,OrderDetails!A534:A2688=A534), 0, 3) * INDEX(_xlfn._xlws.FILTER(OrderDetails!A534:E2688,OrderDetails!A534:A2688=A534), 0, 4))</f>
        <v>720</v>
      </c>
      <c r="F534">
        <v>720</v>
      </c>
    </row>
    <row r="535" spans="1:6" x14ac:dyDescent="0.2">
      <c r="A535">
        <v>10781</v>
      </c>
      <c r="E535" cm="1">
        <f t="array" ref="E535">SUM(INDEX(_xlfn._xlws.FILTER(OrderDetails!A535:E2689,OrderDetails!A535:A2689=A535), 0, 3) * INDEX(_xlfn._xlws.FILTER(OrderDetails!A535:E2689,OrderDetails!A535:A2689=A535), 0, 4))</f>
        <v>1132.3499999999999</v>
      </c>
      <c r="F535">
        <v>1132</v>
      </c>
    </row>
    <row r="536" spans="1:6" x14ac:dyDescent="0.2">
      <c r="A536">
        <v>10782</v>
      </c>
      <c r="E536" cm="1">
        <f t="array" ref="E536">SUM(INDEX(_xlfn._xlws.FILTER(OrderDetails!A536:E2690,OrderDetails!A536:A2690=A536), 0, 3) * INDEX(_xlfn._xlws.FILTER(OrderDetails!A536:E2690,OrderDetails!A536:A2690=A536), 0, 4))</f>
        <v>12.5</v>
      </c>
      <c r="F536">
        <v>12</v>
      </c>
    </row>
    <row r="537" spans="1:6" x14ac:dyDescent="0.2">
      <c r="A537">
        <v>10783</v>
      </c>
      <c r="E537" cm="1">
        <f t="array" ref="E537">SUM(INDEX(_xlfn._xlws.FILTER(OrderDetails!A537:E2691,OrderDetails!A537:A2691=A537), 0, 3) * INDEX(_xlfn._xlws.FILTER(OrderDetails!A537:E2691,OrderDetails!A537:A2691=A537), 0, 4))</f>
        <v>1442.5</v>
      </c>
      <c r="F537">
        <v>1442</v>
      </c>
    </row>
    <row r="538" spans="1:6" x14ac:dyDescent="0.2">
      <c r="A538">
        <v>10784</v>
      </c>
      <c r="E538" cm="1">
        <f t="array" ref="E538">SUM(INDEX(_xlfn._xlws.FILTER(OrderDetails!A538:E2692,OrderDetails!A538:A2692=A538), 0, 3) * INDEX(_xlfn._xlws.FILTER(OrderDetails!A538:E2692,OrderDetails!A538:A2692=A538), 0, 4))</f>
        <v>1650</v>
      </c>
      <c r="F538">
        <v>1650</v>
      </c>
    </row>
    <row r="539" spans="1:6" x14ac:dyDescent="0.2">
      <c r="A539">
        <v>10785</v>
      </c>
      <c r="E539" cm="1">
        <f t="array" ref="E539">SUM(INDEX(_xlfn._xlws.FILTER(OrderDetails!A539:E2693,OrderDetails!A539:A2693=A539), 0, 3) * INDEX(_xlfn._xlws.FILTER(OrderDetails!A539:E2693,OrderDetails!A539:A2693=A539), 0, 4))</f>
        <v>387.5</v>
      </c>
      <c r="F539">
        <v>388</v>
      </c>
    </row>
    <row r="540" spans="1:6" x14ac:dyDescent="0.2">
      <c r="A540">
        <v>10786</v>
      </c>
      <c r="E540" cm="1">
        <f t="array" ref="E540">SUM(INDEX(_xlfn._xlws.FILTER(OrderDetails!A540:E2694,OrderDetails!A540:A2694=A540), 0, 3) * INDEX(_xlfn._xlws.FILTER(OrderDetails!A540:E2694,OrderDetails!A540:A2694=A540), 0, 4))</f>
        <v>1913.85</v>
      </c>
      <c r="F540">
        <v>1914</v>
      </c>
    </row>
    <row r="541" spans="1:6" x14ac:dyDescent="0.2">
      <c r="A541">
        <v>10787</v>
      </c>
      <c r="E541" cm="1">
        <f t="array" ref="E541">SUM(INDEX(_xlfn._xlws.FILTER(OrderDetails!A541:E2695,OrderDetails!A541:A2695=A541), 0, 3) * INDEX(_xlfn._xlws.FILTER(OrderDetails!A541:E2695,OrderDetails!A541:A2695=A541), 0, 4))</f>
        <v>2760.8</v>
      </c>
      <c r="F541">
        <v>2761</v>
      </c>
    </row>
    <row r="542" spans="1:6" x14ac:dyDescent="0.2">
      <c r="A542">
        <v>10788</v>
      </c>
      <c r="E542" cm="1">
        <f t="array" ref="E542">SUM(INDEX(_xlfn._xlws.FILTER(OrderDetails!A542:E2696,OrderDetails!A542:A2696=A542), 0, 3) * INDEX(_xlfn._xlws.FILTER(OrderDetails!A542:E2696,OrderDetails!A542:A2696=A542), 0, 4))</f>
        <v>770</v>
      </c>
      <c r="F542">
        <v>770</v>
      </c>
    </row>
    <row r="543" spans="1:6" x14ac:dyDescent="0.2">
      <c r="A543">
        <v>10789</v>
      </c>
      <c r="E543" cm="1">
        <f t="array" ref="E543">SUM(INDEX(_xlfn._xlws.FILTER(OrderDetails!A543:E2697,OrderDetails!A543:A2697=A543), 0, 3) * INDEX(_xlfn._xlws.FILTER(OrderDetails!A543:E2697,OrderDetails!A543:A2697=A543), 0, 4))</f>
        <v>3687</v>
      </c>
      <c r="F543">
        <v>3687</v>
      </c>
    </row>
    <row r="544" spans="1:6" x14ac:dyDescent="0.2">
      <c r="A544">
        <v>10790</v>
      </c>
      <c r="E544" cm="1">
        <f t="array" ref="E544">SUM(INDEX(_xlfn._xlws.FILTER(OrderDetails!A544:E2698,OrderDetails!A544:A2698=A544), 0, 3) * INDEX(_xlfn._xlws.FILTER(OrderDetails!A544:E2698,OrderDetails!A544:A2698=A544), 0, 4))</f>
        <v>850</v>
      </c>
      <c r="F544">
        <v>850</v>
      </c>
    </row>
    <row r="545" spans="1:6" x14ac:dyDescent="0.2">
      <c r="A545">
        <v>10791</v>
      </c>
      <c r="E545" cm="1">
        <f t="array" ref="E545">SUM(INDEX(_xlfn._xlws.FILTER(OrderDetails!A545:E2699,OrderDetails!A545:A2699=A545), 0, 3) * INDEX(_xlfn._xlws.FILTER(OrderDetails!A545:E2699,OrderDetails!A545:A2699=A545), 0, 4))</f>
        <v>1926.0600000000002</v>
      </c>
      <c r="F545">
        <v>1926</v>
      </c>
    </row>
    <row r="546" spans="1:6" x14ac:dyDescent="0.2">
      <c r="A546">
        <v>10792</v>
      </c>
      <c r="E546" cm="1">
        <f t="array" ref="E546">SUM(INDEX(_xlfn._xlws.FILTER(OrderDetails!A546:E2700,OrderDetails!A546:A2700=A546), 0, 3) * INDEX(_xlfn._xlws.FILTER(OrderDetails!A546:E2700,OrderDetails!A546:A2700=A546), 0, 4))</f>
        <v>399.85</v>
      </c>
      <c r="F546">
        <v>400</v>
      </c>
    </row>
    <row r="547" spans="1:6" x14ac:dyDescent="0.2">
      <c r="A547">
        <v>10793</v>
      </c>
      <c r="E547" cm="1">
        <f t="array" ref="E547">SUM(INDEX(_xlfn._xlws.FILTER(OrderDetails!A547:E2701,OrderDetails!A547:A2701=A547), 0, 3) * INDEX(_xlfn._xlws.FILTER(OrderDetails!A547:E2701,OrderDetails!A547:A2701=A547), 0, 4))</f>
        <v>191.1</v>
      </c>
      <c r="F547">
        <v>191</v>
      </c>
    </row>
    <row r="548" spans="1:6" x14ac:dyDescent="0.2">
      <c r="A548">
        <v>10794</v>
      </c>
      <c r="E548" cm="1">
        <f t="array" ref="E548">SUM(INDEX(_xlfn._xlws.FILTER(OrderDetails!A548:E2702,OrderDetails!A548:A2702=A548), 0, 3) * INDEX(_xlfn._xlws.FILTER(OrderDetails!A548:E2702,OrderDetails!A548:A2702=A548), 0, 4))</f>
        <v>393.45</v>
      </c>
      <c r="F548">
        <v>394</v>
      </c>
    </row>
    <row r="549" spans="1:6" x14ac:dyDescent="0.2">
      <c r="A549">
        <v>10795</v>
      </c>
      <c r="E549" cm="1">
        <f t="array" ref="E549">SUM(INDEX(_xlfn._xlws.FILTER(OrderDetails!A549:E2703,OrderDetails!A549:A2703=A549), 0, 3) * INDEX(_xlfn._xlws.FILTER(OrderDetails!A549:E2703,OrderDetails!A549:A2703=A549), 0, 4))</f>
        <v>2499.25</v>
      </c>
      <c r="F549">
        <v>2499</v>
      </c>
    </row>
    <row r="550" spans="1:6" x14ac:dyDescent="0.2">
      <c r="A550">
        <v>10796</v>
      </c>
      <c r="E550" cm="1">
        <f t="array" ref="E550">SUM(INDEX(_xlfn._xlws.FILTER(OrderDetails!A550:E2704,OrderDetails!A550:A2704=A550), 0, 3) * INDEX(_xlfn._xlws.FILTER(OrderDetails!A550:E2704,OrderDetails!A550:A2704=A550), 0, 4))</f>
        <v>2878.08</v>
      </c>
      <c r="F550">
        <v>2878</v>
      </c>
    </row>
    <row r="551" spans="1:6" x14ac:dyDescent="0.2">
      <c r="A551">
        <v>10797</v>
      </c>
      <c r="E551" cm="1">
        <f t="array" ref="E551">SUM(INDEX(_xlfn._xlws.FILTER(OrderDetails!A551:E2705,OrderDetails!A551:A2705=A551), 0, 3) * INDEX(_xlfn._xlws.FILTER(OrderDetails!A551:E2705,OrderDetails!A551:A2705=A551), 0, 4))</f>
        <v>420</v>
      </c>
      <c r="F551">
        <v>420</v>
      </c>
    </row>
    <row r="552" spans="1:6" x14ac:dyDescent="0.2">
      <c r="A552">
        <v>10798</v>
      </c>
      <c r="E552" cm="1">
        <f t="array" ref="E552">SUM(INDEX(_xlfn._xlws.FILTER(OrderDetails!A552:E2706,OrderDetails!A552:A2706=A552), 0, 3) * INDEX(_xlfn._xlws.FILTER(OrderDetails!A552:E2706,OrderDetails!A552:A2706=A552), 0, 4))</f>
        <v>446.6</v>
      </c>
      <c r="F552">
        <v>447</v>
      </c>
    </row>
    <row r="553" spans="1:6" x14ac:dyDescent="0.2">
      <c r="A553">
        <v>10799</v>
      </c>
      <c r="E553" cm="1">
        <f t="array" ref="E553">SUM(INDEX(_xlfn._xlws.FILTER(OrderDetails!A553:E2707,OrderDetails!A553:A2707=A553), 0, 3) * INDEX(_xlfn._xlws.FILTER(OrderDetails!A553:E2707,OrderDetails!A553:A2707=A553), 0, 4))</f>
        <v>1585</v>
      </c>
      <c r="F553">
        <v>1585</v>
      </c>
    </row>
    <row r="554" spans="1:6" x14ac:dyDescent="0.2">
      <c r="A554">
        <v>10800</v>
      </c>
      <c r="E554" cm="1">
        <f t="array" ref="E554">SUM(INDEX(_xlfn._xlws.FILTER(OrderDetails!A554:E2708,OrderDetails!A554:A2708=A554), 0, 3) * INDEX(_xlfn._xlws.FILTER(OrderDetails!A554:E2708,OrderDetails!A554:A2708=A554), 0, 4))</f>
        <v>1632.15</v>
      </c>
      <c r="F554">
        <v>1632</v>
      </c>
    </row>
    <row r="555" spans="1:6" x14ac:dyDescent="0.2">
      <c r="A555">
        <v>10801</v>
      </c>
      <c r="E555" cm="1">
        <f t="array" ref="E555">SUM(INDEX(_xlfn._xlws.FILTER(OrderDetails!A555:E2709,OrderDetails!A555:A2709=A555), 0, 3) * INDEX(_xlfn._xlws.FILTER(OrderDetails!A555:E2709,OrderDetails!A555:A2709=A555), 0, 4))</f>
        <v>4035.8</v>
      </c>
      <c r="F555">
        <v>4036</v>
      </c>
    </row>
    <row r="556" spans="1:6" x14ac:dyDescent="0.2">
      <c r="A556">
        <v>10802</v>
      </c>
      <c r="E556" cm="1">
        <f t="array" ref="E556">SUM(INDEX(_xlfn._xlws.FILTER(OrderDetails!A556:E2710,OrderDetails!A556:A2710=A556), 0, 3) * INDEX(_xlfn._xlws.FILTER(OrderDetails!A556:E2710,OrderDetails!A556:A2710=A556), 0, 4))</f>
        <v>3923.75</v>
      </c>
      <c r="F556">
        <v>3924</v>
      </c>
    </row>
    <row r="557" spans="1:6" x14ac:dyDescent="0.2">
      <c r="A557">
        <v>10803</v>
      </c>
      <c r="E557" cm="1">
        <f t="array" ref="E557">SUM(INDEX(_xlfn._xlws.FILTER(OrderDetails!A557:E2711,OrderDetails!A557:A2711=A557), 0, 3) * INDEX(_xlfn._xlws.FILTER(OrderDetails!A557:E2711,OrderDetails!A557:A2711=A557), 0, 4))</f>
        <v>1255.8</v>
      </c>
      <c r="F557">
        <v>1256</v>
      </c>
    </row>
    <row r="558" spans="1:6" x14ac:dyDescent="0.2">
      <c r="A558">
        <v>10804</v>
      </c>
      <c r="E558" cm="1">
        <f t="array" ref="E558">SUM(INDEX(_xlfn._xlws.FILTER(OrderDetails!A558:E2712,OrderDetails!A558:A2712=A558), 0, 3) * INDEX(_xlfn._xlws.FILTER(OrderDetails!A558:E2712,OrderDetails!A558:A2712=A558), 0, 4))</f>
        <v>2290.4</v>
      </c>
      <c r="F558">
        <v>2290</v>
      </c>
    </row>
    <row r="559" spans="1:6" x14ac:dyDescent="0.2">
      <c r="A559">
        <v>10805</v>
      </c>
      <c r="E559" cm="1">
        <f t="array" ref="E559">SUM(INDEX(_xlfn._xlws.FILTER(OrderDetails!A559:E2713,OrderDetails!A559:A2713=A559), 0, 3) * INDEX(_xlfn._xlws.FILTER(OrderDetails!A559:E2713,OrderDetails!A559:A2713=A559), 0, 4))</f>
        <v>2775</v>
      </c>
      <c r="F559">
        <v>2775</v>
      </c>
    </row>
    <row r="560" spans="1:6" x14ac:dyDescent="0.2">
      <c r="A560">
        <v>10806</v>
      </c>
      <c r="E560" cm="1">
        <f t="array" ref="E560">SUM(INDEX(_xlfn._xlws.FILTER(OrderDetails!A560:E2714,OrderDetails!A560:A2714=A560), 0, 3) * INDEX(_xlfn._xlws.FILTER(OrderDetails!A560:E2714,OrderDetails!A560:A2714=A560), 0, 4))</f>
        <v>572.1</v>
      </c>
      <c r="F560">
        <v>572</v>
      </c>
    </row>
    <row r="561" spans="1:6" x14ac:dyDescent="0.2">
      <c r="A561">
        <v>10807</v>
      </c>
      <c r="E561" cm="1">
        <f t="array" ref="E561">SUM(INDEX(_xlfn._xlws.FILTER(OrderDetails!A561:E2715,OrderDetails!A561:A2715=A561), 0, 3) * INDEX(_xlfn._xlws.FILTER(OrderDetails!A561:E2715,OrderDetails!A561:A2715=A561), 0, 4))</f>
        <v>18.399999999999999</v>
      </c>
      <c r="F561">
        <v>18</v>
      </c>
    </row>
    <row r="562" spans="1:6" x14ac:dyDescent="0.2">
      <c r="A562">
        <v>10808</v>
      </c>
      <c r="E562" cm="1">
        <f t="array" ref="E562">SUM(INDEX(_xlfn._xlws.FILTER(OrderDetails!A562:E2716,OrderDetails!A562:A2716=A562), 0, 3) * INDEX(_xlfn._xlws.FILTER(OrderDetails!A562:E2716,OrderDetails!A562:A2716=A562), 0, 4))</f>
        <v>1660</v>
      </c>
      <c r="F562">
        <v>1660</v>
      </c>
    </row>
    <row r="563" spans="1:6" x14ac:dyDescent="0.2">
      <c r="A563">
        <v>10809</v>
      </c>
      <c r="E563" cm="1">
        <f t="array" ref="E563">SUM(INDEX(_xlfn._xlws.FILTER(OrderDetails!A563:E2717,OrderDetails!A563:A2717=A563), 0, 3) * INDEX(_xlfn._xlws.FILTER(OrderDetails!A563:E2717,OrderDetails!A563:A2717=A563), 0, 4))</f>
        <v>140</v>
      </c>
      <c r="F563">
        <v>140</v>
      </c>
    </row>
    <row r="564" spans="1:6" x14ac:dyDescent="0.2">
      <c r="A564">
        <v>10810</v>
      </c>
      <c r="E564" cm="1">
        <f t="array" ref="E564">SUM(INDEX(_xlfn._xlws.FILTER(OrderDetails!A564:E2718,OrderDetails!A564:A2718=A564), 0, 3) * INDEX(_xlfn._xlws.FILTER(OrderDetails!A564:E2718,OrderDetails!A564:A2718=A564), 0, 4))</f>
        <v>187</v>
      </c>
      <c r="F564">
        <v>187</v>
      </c>
    </row>
    <row r="565" spans="1:6" x14ac:dyDescent="0.2">
      <c r="A565">
        <v>10811</v>
      </c>
      <c r="E565" cm="1">
        <f t="array" ref="E565">SUM(INDEX(_xlfn._xlws.FILTER(OrderDetails!A565:E2719,OrderDetails!A565:A2719=A565), 0, 3) * INDEX(_xlfn._xlws.FILTER(OrderDetails!A565:E2719,OrderDetails!A565:A2719=A565), 0, 4))</f>
        <v>852</v>
      </c>
      <c r="F565">
        <v>852</v>
      </c>
    </row>
    <row r="566" spans="1:6" x14ac:dyDescent="0.2">
      <c r="A566">
        <v>10812</v>
      </c>
      <c r="E566" cm="1">
        <f t="array" ref="E566">SUM(INDEX(_xlfn._xlws.FILTER(OrderDetails!A566:E2720,OrderDetails!A566:A2720=A566), 0, 3) * INDEX(_xlfn._xlws.FILTER(OrderDetails!A566:E2720,OrderDetails!A566:A2720=A566), 0, 4))</f>
        <v>1852</v>
      </c>
      <c r="F566">
        <v>1852</v>
      </c>
    </row>
    <row r="567" spans="1:6" x14ac:dyDescent="0.2">
      <c r="A567">
        <v>10813</v>
      </c>
      <c r="E567" cm="1">
        <f t="array" ref="E567">SUM(INDEX(_xlfn._xlws.FILTER(OrderDetails!A567:E2721,OrderDetails!A567:A2721=A567), 0, 3) * INDEX(_xlfn._xlws.FILTER(OrderDetails!A567:E2721,OrderDetails!A567:A2721=A567), 0, 4))</f>
        <v>648</v>
      </c>
      <c r="F567">
        <v>648</v>
      </c>
    </row>
    <row r="568" spans="1:6" x14ac:dyDescent="0.2">
      <c r="A568">
        <v>10814</v>
      </c>
      <c r="E568" cm="1">
        <f t="array" ref="E568">SUM(INDEX(_xlfn._xlws.FILTER(OrderDetails!A568:E2722,OrderDetails!A568:A2722=A568), 0, 3) * INDEX(_xlfn._xlws.FILTER(OrderDetails!A568:E2722,OrderDetails!A568:A2722=A568), 0, 4))</f>
        <v>2070</v>
      </c>
      <c r="F568">
        <v>2070</v>
      </c>
    </row>
    <row r="569" spans="1:6" x14ac:dyDescent="0.2">
      <c r="A569">
        <v>10815</v>
      </c>
      <c r="E569" cm="1">
        <f t="array" ref="E569">SUM(INDEX(_xlfn._xlws.FILTER(OrderDetails!A569:E2723,OrderDetails!A569:A2723=A569), 0, 3) * INDEX(_xlfn._xlws.FILTER(OrderDetails!A569:E2723,OrderDetails!A569:A2723=A569), 0, 4))</f>
        <v>40</v>
      </c>
      <c r="F569">
        <v>40</v>
      </c>
    </row>
    <row r="570" spans="1:6" x14ac:dyDescent="0.2">
      <c r="A570">
        <v>10816</v>
      </c>
      <c r="E570" cm="1">
        <f t="array" ref="E570">SUM(INDEX(_xlfn._xlws.FILTER(OrderDetails!A570:E2724,OrderDetails!A570:A2724=A570), 0, 3) * INDEX(_xlfn._xlws.FILTER(OrderDetails!A570:E2724,OrderDetails!A570:A2724=A570), 0, 4))</f>
        <v>8891</v>
      </c>
      <c r="F570">
        <v>8891</v>
      </c>
    </row>
    <row r="571" spans="1:6" x14ac:dyDescent="0.2">
      <c r="A571">
        <v>10817</v>
      </c>
      <c r="E571" cm="1">
        <f t="array" ref="E571">SUM(INDEX(_xlfn._xlws.FILTER(OrderDetails!A571:E2725,OrderDetails!A571:A2725=A571), 0, 3) * INDEX(_xlfn._xlws.FILTER(OrderDetails!A571:E2725,OrderDetails!A571:A2725=A571), 0, 4))</f>
        <v>11490.7</v>
      </c>
      <c r="F571">
        <v>11490</v>
      </c>
    </row>
    <row r="572" spans="1:6" x14ac:dyDescent="0.2">
      <c r="A572">
        <v>10818</v>
      </c>
      <c r="E572" cm="1">
        <f t="array" ref="E572">SUM(INDEX(_xlfn._xlws.FILTER(OrderDetails!A572:E2726,OrderDetails!A572:A2726=A572), 0, 3) * INDEX(_xlfn._xlws.FILTER(OrderDetails!A572:E2726,OrderDetails!A572:A2726=A572), 0, 4))</f>
        <v>833</v>
      </c>
      <c r="F572">
        <v>833</v>
      </c>
    </row>
    <row r="573" spans="1:6" x14ac:dyDescent="0.2">
      <c r="A573">
        <v>10819</v>
      </c>
      <c r="E573" cm="1">
        <f t="array" ref="E573">SUM(INDEX(_xlfn._xlws.FILTER(OrderDetails!A573:E2727,OrderDetails!A573:A2727=A573), 0, 3) * INDEX(_xlfn._xlws.FILTER(OrderDetails!A573:E2727,OrderDetails!A573:A2727=A573), 0, 4))</f>
        <v>477</v>
      </c>
      <c r="F573">
        <v>477</v>
      </c>
    </row>
    <row r="574" spans="1:6" x14ac:dyDescent="0.2">
      <c r="A574">
        <v>10820</v>
      </c>
      <c r="E574" cm="1">
        <f t="array" ref="E574">SUM(INDEX(_xlfn._xlws.FILTER(OrderDetails!A574:E2728,OrderDetails!A574:A2728=A574), 0, 3) * INDEX(_xlfn._xlws.FILTER(OrderDetails!A574:E2728,OrderDetails!A574:A2728=A574), 0, 4))</f>
        <v>1140</v>
      </c>
      <c r="F574">
        <v>1140</v>
      </c>
    </row>
    <row r="575" spans="1:6" x14ac:dyDescent="0.2">
      <c r="A575">
        <v>10821</v>
      </c>
      <c r="E575" cm="1">
        <f t="array" ref="E575">SUM(INDEX(_xlfn._xlws.FILTER(OrderDetails!A575:E2729,OrderDetails!A575:A2729=A575), 0, 3) * INDEX(_xlfn._xlws.FILTER(OrderDetails!A575:E2729,OrderDetails!A575:A2729=A575), 0, 4))</f>
        <v>678</v>
      </c>
      <c r="F575">
        <v>678</v>
      </c>
    </row>
    <row r="576" spans="1:6" x14ac:dyDescent="0.2">
      <c r="A576">
        <v>10822</v>
      </c>
      <c r="E576" cm="1">
        <f t="array" ref="E576">SUM(INDEX(_xlfn._xlws.FILTER(OrderDetails!A576:E2730,OrderDetails!A576:A2730=A576), 0, 3) * INDEX(_xlfn._xlws.FILTER(OrderDetails!A576:E2730,OrderDetails!A576:A2730=A576), 0, 4))</f>
        <v>237.89999999999998</v>
      </c>
      <c r="F576">
        <v>238</v>
      </c>
    </row>
    <row r="577" spans="1:6" x14ac:dyDescent="0.2">
      <c r="A577">
        <v>10823</v>
      </c>
      <c r="E577" cm="1">
        <f t="array" ref="E577">SUM(INDEX(_xlfn._xlws.FILTER(OrderDetails!A577:E2731,OrderDetails!A577:A2731=A577), 0, 3) * INDEX(_xlfn._xlws.FILTER(OrderDetails!A577:E2731,OrderDetails!A577:A2731=A577), 0, 4))</f>
        <v>3107.5</v>
      </c>
      <c r="F577">
        <v>3107</v>
      </c>
    </row>
    <row r="578" spans="1:6" x14ac:dyDescent="0.2">
      <c r="A578">
        <v>10824</v>
      </c>
      <c r="E578" cm="1">
        <f t="array" ref="E578">SUM(INDEX(_xlfn._xlws.FILTER(OrderDetails!A578:E2732,OrderDetails!A578:A2732=A578), 0, 3) * INDEX(_xlfn._xlws.FILTER(OrderDetails!A578:E2732,OrderDetails!A578:A2732=A578), 0, 4))</f>
        <v>250.8</v>
      </c>
      <c r="F578">
        <v>251</v>
      </c>
    </row>
    <row r="579" spans="1:6" x14ac:dyDescent="0.2">
      <c r="A579">
        <v>10825</v>
      </c>
      <c r="E579" cm="1">
        <f t="array" ref="E579">SUM(INDEX(_xlfn._xlws.FILTER(OrderDetails!A579:E2733,OrderDetails!A579:A2733=A579), 0, 3) * INDEX(_xlfn._xlws.FILTER(OrderDetails!A579:E2733,OrderDetails!A579:A2733=A579), 0, 4))</f>
        <v>1030.76</v>
      </c>
      <c r="F579">
        <v>1031</v>
      </c>
    </row>
    <row r="580" spans="1:6" x14ac:dyDescent="0.2">
      <c r="A580">
        <v>10826</v>
      </c>
      <c r="E580" cm="1">
        <f t="array" ref="E580">SUM(INDEX(_xlfn._xlws.FILTER(OrderDetails!A580:E2734,OrderDetails!A580:A2734=A580), 0, 3) * INDEX(_xlfn._xlws.FILTER(OrderDetails!A580:E2734,OrderDetails!A580:A2734=A580), 0, 4))</f>
        <v>730</v>
      </c>
      <c r="F580">
        <v>730</v>
      </c>
    </row>
    <row r="581" spans="1:6" x14ac:dyDescent="0.2">
      <c r="A581">
        <v>10827</v>
      </c>
      <c r="E581" cm="1">
        <f t="array" ref="E581">SUM(INDEX(_xlfn._xlws.FILTER(OrderDetails!A581:E2735,OrderDetails!A581:A2735=A581), 0, 3) * INDEX(_xlfn._xlws.FILTER(OrderDetails!A581:E2735,OrderDetails!A581:A2735=A581), 0, 4))</f>
        <v>843</v>
      </c>
      <c r="F581">
        <v>843</v>
      </c>
    </row>
    <row r="582" spans="1:6" x14ac:dyDescent="0.2">
      <c r="A582">
        <v>10828</v>
      </c>
      <c r="E582" cm="1">
        <f t="array" ref="E582">SUM(INDEX(_xlfn._xlws.FILTER(OrderDetails!A582:E2736,OrderDetails!A582:A2736=A582), 0, 3) * INDEX(_xlfn._xlws.FILTER(OrderDetails!A582:E2736,OrderDetails!A582:A2736=A582), 0, 4))</f>
        <v>932</v>
      </c>
      <c r="F582">
        <v>932</v>
      </c>
    </row>
    <row r="583" spans="1:6" x14ac:dyDescent="0.2">
      <c r="A583">
        <v>10829</v>
      </c>
      <c r="E583" cm="1">
        <f t="array" ref="E583">SUM(INDEX(_xlfn._xlws.FILTER(OrderDetails!A583:E2737,OrderDetails!A583:A2737=A583), 0, 3) * INDEX(_xlfn._xlws.FILTER(OrderDetails!A583:E2737,OrderDetails!A583:A2737=A583), 0, 4))</f>
        <v>1764</v>
      </c>
      <c r="F583">
        <v>1764</v>
      </c>
    </row>
    <row r="584" spans="1:6" x14ac:dyDescent="0.2">
      <c r="A584">
        <v>10830</v>
      </c>
      <c r="E584" cm="1">
        <f t="array" ref="E584">SUM(INDEX(_xlfn._xlws.FILTER(OrderDetails!A584:E2738,OrderDetails!A584:A2738=A584), 0, 3) * INDEX(_xlfn._xlws.FILTER(OrderDetails!A584:E2738,OrderDetails!A584:A2738=A584), 0, 4))</f>
        <v>1974</v>
      </c>
      <c r="F584">
        <v>1974</v>
      </c>
    </row>
    <row r="585" spans="1:6" x14ac:dyDescent="0.2">
      <c r="A585">
        <v>10831</v>
      </c>
      <c r="E585" cm="1">
        <f t="array" ref="E585">SUM(INDEX(_xlfn._xlws.FILTER(OrderDetails!A585:E2739,OrderDetails!A585:A2739=A585), 0, 3) * INDEX(_xlfn._xlws.FILTER(OrderDetails!A585:E2739,OrderDetails!A585:A2739=A585), 0, 4))</f>
        <v>2684.4</v>
      </c>
      <c r="F585">
        <v>2684</v>
      </c>
    </row>
    <row r="586" spans="1:6" x14ac:dyDescent="0.2">
      <c r="A586">
        <v>10832</v>
      </c>
      <c r="E586" cm="1">
        <f t="array" ref="E586">SUM(INDEX(_xlfn._xlws.FILTER(OrderDetails!A586:E2740,OrderDetails!A586:A2740=A586), 0, 3) * INDEX(_xlfn._xlws.FILTER(OrderDetails!A586:E2740,OrderDetails!A586:A2740=A586), 0, 4))</f>
        <v>568.95000000000005</v>
      </c>
      <c r="F586">
        <v>569</v>
      </c>
    </row>
    <row r="587" spans="1:6" x14ac:dyDescent="0.2">
      <c r="A587">
        <v>10833</v>
      </c>
      <c r="E587" cm="1">
        <f t="array" ref="E587">SUM(INDEX(_xlfn._xlws.FILTER(OrderDetails!A587:E2741,OrderDetails!A587:A2741=A587), 0, 3) * INDEX(_xlfn._xlws.FILTER(OrderDetails!A587:E2741,OrderDetails!A587:A2741=A587), 0, 4))</f>
        <v>1007.7</v>
      </c>
      <c r="F587">
        <v>1007</v>
      </c>
    </row>
    <row r="588" spans="1:6" x14ac:dyDescent="0.2">
      <c r="A588">
        <v>10834</v>
      </c>
      <c r="E588" cm="1">
        <f t="array" ref="E588">SUM(INDEX(_xlfn._xlws.FILTER(OrderDetails!A588:E2742,OrderDetails!A588:A2742=A588), 0, 3) * INDEX(_xlfn._xlws.FILTER(OrderDetails!A588:E2742,OrderDetails!A588:A2742=A588), 0, 4))</f>
        <v>1508.12</v>
      </c>
      <c r="F588">
        <v>1508</v>
      </c>
    </row>
    <row r="589" spans="1:6" x14ac:dyDescent="0.2">
      <c r="A589">
        <v>10835</v>
      </c>
      <c r="E589" cm="1">
        <f t="array" ref="E589">SUM(INDEX(_xlfn._xlws.FILTER(OrderDetails!A589:E2743,OrderDetails!A589:A2743=A589), 0, 3) * INDEX(_xlfn._xlws.FILTER(OrderDetails!A589:E2743,OrderDetails!A589:A2743=A589), 0, 4))</f>
        <v>851</v>
      </c>
      <c r="F589">
        <v>851</v>
      </c>
    </row>
    <row r="590" spans="1:6" x14ac:dyDescent="0.2">
      <c r="A590">
        <v>10836</v>
      </c>
      <c r="E590" cm="1">
        <f t="array" ref="E590">SUM(INDEX(_xlfn._xlws.FILTER(OrderDetails!A590:E2744,OrderDetails!A590:A2744=A590), 0, 3) * INDEX(_xlfn._xlws.FILTER(OrderDetails!A590:E2744,OrderDetails!A590:A2744=A590), 0, 4))</f>
        <v>4705.5</v>
      </c>
      <c r="F590">
        <v>4706</v>
      </c>
    </row>
    <row r="591" spans="1:6" x14ac:dyDescent="0.2">
      <c r="A591">
        <v>10837</v>
      </c>
      <c r="E591" cm="1">
        <f t="array" ref="E591">SUM(INDEX(_xlfn._xlws.FILTER(OrderDetails!A591:E2745,OrderDetails!A591:A2745=A591), 0, 3) * INDEX(_xlfn._xlws.FILTER(OrderDetails!A591:E2745,OrderDetails!A591:A2745=A591), 0, 4))</f>
        <v>1254</v>
      </c>
      <c r="F591">
        <v>1254</v>
      </c>
    </row>
    <row r="592" spans="1:6" x14ac:dyDescent="0.2">
      <c r="A592">
        <v>10838</v>
      </c>
      <c r="E592" cm="1">
        <f t="array" ref="E592">SUM(INDEX(_xlfn._xlws.FILTER(OrderDetails!A592:E2746,OrderDetails!A592:A2746=A592), 0, 3) * INDEX(_xlfn._xlws.FILTER(OrderDetails!A592:E2746,OrderDetails!A592:A2746=A592), 0, 4))</f>
        <v>2584.5</v>
      </c>
      <c r="F592">
        <v>2584</v>
      </c>
    </row>
    <row r="593" spans="1:6" x14ac:dyDescent="0.2">
      <c r="A593">
        <v>10839</v>
      </c>
      <c r="E593" cm="1">
        <f t="array" ref="E593">SUM(INDEX(_xlfn._xlws.FILTER(OrderDetails!A593:E2747,OrderDetails!A593:A2747=A593), 0, 3) * INDEX(_xlfn._xlws.FILTER(OrderDetails!A593:E2747,OrderDetails!A593:A2747=A593), 0, 4))</f>
        <v>919.5</v>
      </c>
      <c r="F593">
        <v>920</v>
      </c>
    </row>
    <row r="594" spans="1:6" x14ac:dyDescent="0.2">
      <c r="A594">
        <v>10840</v>
      </c>
      <c r="E594" cm="1">
        <f t="array" ref="E594">SUM(INDEX(_xlfn._xlws.FILTER(OrderDetails!A594:E2748,OrderDetails!A594:A2748=A594), 0, 3) * INDEX(_xlfn._xlws.FILTER(OrderDetails!A594:E2748,OrderDetails!A594:A2748=A594), 0, 4))</f>
        <v>264</v>
      </c>
      <c r="F594">
        <v>264</v>
      </c>
    </row>
    <row r="595" spans="1:6" x14ac:dyDescent="0.2">
      <c r="A595">
        <v>10841</v>
      </c>
      <c r="E595" cm="1">
        <f t="array" ref="E595">SUM(INDEX(_xlfn._xlws.FILTER(OrderDetails!A595:E2749,OrderDetails!A595:A2749=A595), 0, 3) * INDEX(_xlfn._xlws.FILTER(OrderDetails!A595:E2749,OrderDetails!A595:A2749=A595), 0, 4))</f>
        <v>4581</v>
      </c>
      <c r="F595">
        <v>4581</v>
      </c>
    </row>
    <row r="596" spans="1:6" x14ac:dyDescent="0.2">
      <c r="A596">
        <v>10842</v>
      </c>
      <c r="E596" cm="1">
        <f t="array" ref="E596">SUM(INDEX(_xlfn._xlws.FILTER(OrderDetails!A596:E2750,OrderDetails!A596:A2750=A596), 0, 3) * INDEX(_xlfn._xlws.FILTER(OrderDetails!A596:E2750,OrderDetails!A596:A2750=A596), 0, 4))</f>
        <v>975</v>
      </c>
      <c r="F596">
        <v>975</v>
      </c>
    </row>
    <row r="597" spans="1:6" x14ac:dyDescent="0.2">
      <c r="A597">
        <v>10843</v>
      </c>
      <c r="E597" cm="1">
        <f t="array" ref="E597">SUM(INDEX(_xlfn._xlws.FILTER(OrderDetails!A597:E2751,OrderDetails!A597:A2751=A597), 0, 3) * INDEX(_xlfn._xlws.FILTER(OrderDetails!A597:E2751,OrderDetails!A597:A2751=A597), 0, 4))</f>
        <v>212</v>
      </c>
      <c r="F597">
        <v>212</v>
      </c>
    </row>
    <row r="598" spans="1:6" x14ac:dyDescent="0.2">
      <c r="A598">
        <v>10844</v>
      </c>
      <c r="E598" cm="1">
        <f t="array" ref="E598">SUM(INDEX(_xlfn._xlws.FILTER(OrderDetails!A598:E2752,OrderDetails!A598:A2752=A598), 0, 3) * INDEX(_xlfn._xlws.FILTER(OrderDetails!A598:E2752,OrderDetails!A598:A2752=A598), 0, 4))</f>
        <v>735</v>
      </c>
      <c r="F598">
        <v>735</v>
      </c>
    </row>
    <row r="599" spans="1:6" x14ac:dyDescent="0.2">
      <c r="A599">
        <v>10845</v>
      </c>
      <c r="E599" cm="1">
        <f t="array" ref="E599">SUM(INDEX(_xlfn._xlws.FILTER(OrderDetails!A599:E2753,OrderDetails!A599:A2753=A599), 0, 3) * INDEX(_xlfn._xlws.FILTER(OrderDetails!A599:E2753,OrderDetails!A599:A2753=A599), 0, 4))</f>
        <v>4059</v>
      </c>
      <c r="F599">
        <v>4059</v>
      </c>
    </row>
    <row r="600" spans="1:6" x14ac:dyDescent="0.2">
      <c r="A600">
        <v>10846</v>
      </c>
      <c r="E600" cm="1">
        <f t="array" ref="E600">SUM(INDEX(_xlfn._xlws.FILTER(OrderDetails!A600:E2754,OrderDetails!A600:A2754=A600), 0, 3) * INDEX(_xlfn._xlws.FILTER(OrderDetails!A600:E2754,OrderDetails!A600:A2754=A600), 0, 4))</f>
        <v>1112</v>
      </c>
      <c r="F600">
        <v>1112</v>
      </c>
    </row>
    <row r="601" spans="1:6" x14ac:dyDescent="0.2">
      <c r="A601">
        <v>10847</v>
      </c>
      <c r="E601" cm="1">
        <f t="array" ref="E601">SUM(INDEX(_xlfn._xlws.FILTER(OrderDetails!A601:E2755,OrderDetails!A601:A2755=A601), 0, 3) * INDEX(_xlfn._xlws.FILTER(OrderDetails!A601:E2755,OrderDetails!A601:A2755=A601), 0, 4))</f>
        <v>6164.9</v>
      </c>
      <c r="F601">
        <v>6164</v>
      </c>
    </row>
    <row r="602" spans="1:6" x14ac:dyDescent="0.2">
      <c r="A602">
        <v>10848</v>
      </c>
      <c r="E602" cm="1">
        <f t="array" ref="E602">SUM(INDEX(_xlfn._xlws.FILTER(OrderDetails!A602:E2756,OrderDetails!A602:A2756=A602), 0, 3) * INDEX(_xlfn._xlws.FILTER(OrderDetails!A602:E2756,OrderDetails!A602:A2756=A602), 0, 4))</f>
        <v>931.5</v>
      </c>
      <c r="F602">
        <v>931</v>
      </c>
    </row>
    <row r="603" spans="1:6" x14ac:dyDescent="0.2">
      <c r="A603">
        <v>10849</v>
      </c>
      <c r="E603" cm="1">
        <f t="array" ref="E603">SUM(INDEX(_xlfn._xlws.FILTER(OrderDetails!A603:E2757,OrderDetails!A603:A2757=A603), 0, 3) * INDEX(_xlfn._xlws.FILTER(OrderDetails!A603:E2757,OrderDetails!A603:A2757=A603), 0, 4))</f>
        <v>1052.1399999999999</v>
      </c>
      <c r="F603">
        <v>1052</v>
      </c>
    </row>
    <row r="604" spans="1:6" x14ac:dyDescent="0.2">
      <c r="A604">
        <v>10850</v>
      </c>
      <c r="E604" cm="1">
        <f t="array" ref="E604">SUM(INDEX(_xlfn._xlws.FILTER(OrderDetails!A604:E2758,OrderDetails!A604:A2758=A604), 0, 3) * INDEX(_xlfn._xlws.FILTER(OrderDetails!A604:E2758,OrderDetails!A604:A2758=A604), 0, 4))</f>
        <v>740</v>
      </c>
      <c r="F604">
        <v>740</v>
      </c>
    </row>
    <row r="605" spans="1:6" x14ac:dyDescent="0.2">
      <c r="A605">
        <v>10851</v>
      </c>
      <c r="E605" cm="1">
        <f t="array" ref="E605">SUM(INDEX(_xlfn._xlws.FILTER(OrderDetails!A605:E2759,OrderDetails!A605:A2759=A605), 0, 3) * INDEX(_xlfn._xlws.FILTER(OrderDetails!A605:E2759,OrderDetails!A605:A2759=A605), 0, 4))</f>
        <v>2740</v>
      </c>
      <c r="F605">
        <v>2740</v>
      </c>
    </row>
    <row r="606" spans="1:6" x14ac:dyDescent="0.2">
      <c r="A606">
        <v>10852</v>
      </c>
      <c r="E606" cm="1">
        <f t="array" ref="E606">SUM(INDEX(_xlfn._xlws.FILTER(OrderDetails!A606:E2760,OrderDetails!A606:A2760=A606), 0, 3) * INDEX(_xlfn._xlws.FILTER(OrderDetails!A606:E2760,OrderDetails!A606:A2760=A606), 0, 4))</f>
        <v>2984</v>
      </c>
      <c r="F606">
        <v>2984</v>
      </c>
    </row>
    <row r="607" spans="1:6" x14ac:dyDescent="0.2">
      <c r="A607">
        <v>10853</v>
      </c>
      <c r="E607" cm="1">
        <f t="array" ref="E607">SUM(INDEX(_xlfn._xlws.FILTER(OrderDetails!A607:E2761,OrderDetails!A607:A2761=A607), 0, 3) * INDEX(_xlfn._xlws.FILTER(OrderDetails!A607:E2761,OrderDetails!A607:A2761=A607), 0, 4))</f>
        <v>625</v>
      </c>
      <c r="F607">
        <v>625</v>
      </c>
    </row>
    <row r="608" spans="1:6" x14ac:dyDescent="0.2">
      <c r="A608">
        <v>10854</v>
      </c>
      <c r="E608" cm="1">
        <f t="array" ref="E608">SUM(INDEX(_xlfn._xlws.FILTER(OrderDetails!A608:E2762,OrderDetails!A608:A2762=A608), 0, 3) * INDEX(_xlfn._xlws.FILTER(OrderDetails!A608:E2762,OrderDetails!A608:A2762=A608), 0, 4))</f>
        <v>3490</v>
      </c>
      <c r="F608">
        <v>3490</v>
      </c>
    </row>
    <row r="609" spans="1:6" x14ac:dyDescent="0.2">
      <c r="A609">
        <v>10855</v>
      </c>
      <c r="E609" cm="1">
        <f t="array" ref="E609">SUM(INDEX(_xlfn._xlws.FILTER(OrderDetails!A609:E2763,OrderDetails!A609:A2763=A609), 0, 3) * INDEX(_xlfn._xlws.FILTER(OrderDetails!A609:E2763,OrderDetails!A609:A2763=A609), 0, 4))</f>
        <v>2275.25</v>
      </c>
      <c r="F609">
        <v>2275</v>
      </c>
    </row>
    <row r="610" spans="1:6" x14ac:dyDescent="0.2">
      <c r="A610">
        <v>10856</v>
      </c>
      <c r="E610" cm="1">
        <f t="array" ref="E610">SUM(INDEX(_xlfn._xlws.FILTER(OrderDetails!A610:E2764,OrderDetails!A610:A2764=A610), 0, 3) * INDEX(_xlfn._xlws.FILTER(OrderDetails!A610:E2764,OrderDetails!A610:A2764=A610), 0, 4))</f>
        <v>660</v>
      </c>
      <c r="F610">
        <v>660</v>
      </c>
    </row>
    <row r="611" spans="1:6" x14ac:dyDescent="0.2">
      <c r="A611">
        <v>10857</v>
      </c>
      <c r="E611" cm="1">
        <f t="array" ref="E611">SUM(INDEX(_xlfn._xlws.FILTER(OrderDetails!A611:E2765,OrderDetails!A611:A2765=A611), 0, 3) * INDEX(_xlfn._xlws.FILTER(OrderDetails!A611:E2765,OrderDetails!A611:A2765=A611), 0, 4))</f>
        <v>2630.95</v>
      </c>
      <c r="F611">
        <v>2631</v>
      </c>
    </row>
    <row r="612" spans="1:6" x14ac:dyDescent="0.2">
      <c r="A612">
        <v>10858</v>
      </c>
      <c r="E612" cm="1">
        <f t="array" ref="E612">SUM(INDEX(_xlfn._xlws.FILTER(OrderDetails!A612:E2766,OrderDetails!A612:A2766=A612), 0, 3) * INDEX(_xlfn._xlws.FILTER(OrderDetails!A612:E2766,OrderDetails!A612:A2766=A612), 0, 4))</f>
        <v>649</v>
      </c>
      <c r="F612">
        <v>649</v>
      </c>
    </row>
    <row r="613" spans="1:6" x14ac:dyDescent="0.2">
      <c r="A613">
        <v>10859</v>
      </c>
      <c r="E613" cm="1">
        <f t="array" ref="E613">SUM(INDEX(_xlfn._xlws.FILTER(OrderDetails!A613:E2767,OrderDetails!A613:A2767=A613), 0, 3) * INDEX(_xlfn._xlws.FILTER(OrderDetails!A613:E2767,OrderDetails!A613:A2767=A613), 0, 4))</f>
        <v>1438.25</v>
      </c>
      <c r="F613">
        <v>1438</v>
      </c>
    </row>
    <row r="614" spans="1:6" x14ac:dyDescent="0.2">
      <c r="A614">
        <v>10860</v>
      </c>
      <c r="E614" cm="1">
        <f t="array" ref="E614">SUM(INDEX(_xlfn._xlws.FILTER(OrderDetails!A614:E2768,OrderDetails!A614:A2768=A614), 0, 3) * INDEX(_xlfn._xlws.FILTER(OrderDetails!A614:E2768,OrderDetails!A614:A2768=A614), 0, 4))</f>
        <v>519</v>
      </c>
      <c r="F614">
        <v>519</v>
      </c>
    </row>
    <row r="615" spans="1:6" x14ac:dyDescent="0.2">
      <c r="A615">
        <v>10861</v>
      </c>
      <c r="E615" cm="1">
        <f t="array" ref="E615">SUM(INDEX(_xlfn._xlws.FILTER(OrderDetails!A615:E2769,OrderDetails!A615:A2769=A615), 0, 3) * INDEX(_xlfn._xlws.FILTER(OrderDetails!A615:E2769,OrderDetails!A615:A2769=A615), 0, 4))</f>
        <v>3523.4</v>
      </c>
      <c r="F615">
        <v>3524</v>
      </c>
    </row>
    <row r="616" spans="1:6" x14ac:dyDescent="0.2">
      <c r="A616">
        <v>10862</v>
      </c>
      <c r="E616" cm="1">
        <f t="array" ref="E616">SUM(INDEX(_xlfn._xlws.FILTER(OrderDetails!A616:E2770,OrderDetails!A616:A2770=A616), 0, 3) * INDEX(_xlfn._xlws.FILTER(OrderDetails!A616:E2770,OrderDetails!A616:A2770=A616), 0, 4))</f>
        <v>581</v>
      </c>
      <c r="F616">
        <v>581</v>
      </c>
    </row>
    <row r="617" spans="1:6" x14ac:dyDescent="0.2">
      <c r="A617">
        <v>10863</v>
      </c>
      <c r="E617" cm="1">
        <f t="array" ref="E617">SUM(INDEX(_xlfn._xlws.FILTER(OrderDetails!A617:E2771,OrderDetails!A617:A2771=A617), 0, 3) * INDEX(_xlfn._xlws.FILTER(OrderDetails!A617:E2771,OrderDetails!A617:A2771=A617), 0, 4))</f>
        <v>519</v>
      </c>
      <c r="F617">
        <v>519</v>
      </c>
    </row>
    <row r="618" spans="1:6" x14ac:dyDescent="0.2">
      <c r="A618">
        <v>10864</v>
      </c>
      <c r="E618" cm="1">
        <f t="array" ref="E618">SUM(INDEX(_xlfn._xlws.FILTER(OrderDetails!A618:E2772,OrderDetails!A618:A2772=A618), 0, 3) * INDEX(_xlfn._xlws.FILTER(OrderDetails!A618:E2772,OrderDetails!A618:A2772=A618), 0, 4))</f>
        <v>282</v>
      </c>
      <c r="F618">
        <v>282</v>
      </c>
    </row>
    <row r="619" spans="1:6" x14ac:dyDescent="0.2">
      <c r="A619">
        <v>10865</v>
      </c>
      <c r="E619" cm="1">
        <f t="array" ref="E619">SUM(INDEX(_xlfn._xlws.FILTER(OrderDetails!A619:E2773,OrderDetails!A619:A2773=A619), 0, 3) * INDEX(_xlfn._xlws.FILTER(OrderDetails!A619:E2773,OrderDetails!A619:A2773=A619), 0, 4))</f>
        <v>17250</v>
      </c>
      <c r="F619">
        <v>17250</v>
      </c>
    </row>
    <row r="620" spans="1:6" x14ac:dyDescent="0.2">
      <c r="A620">
        <v>10866</v>
      </c>
      <c r="E620" cm="1">
        <f t="array" ref="E620">SUM(INDEX(_xlfn._xlws.FILTER(OrderDetails!A620:E2774,OrderDetails!A620:A2774=A620), 0, 3) * INDEX(_xlfn._xlws.FILTER(OrderDetails!A620:E2774,OrderDetails!A620:A2774=A620), 0, 4))</f>
        <v>1461.6</v>
      </c>
      <c r="F620">
        <v>1462</v>
      </c>
    </row>
    <row r="621" spans="1:6" x14ac:dyDescent="0.2">
      <c r="A621">
        <v>10867</v>
      </c>
      <c r="E621" cm="1">
        <f t="array" ref="E621">SUM(INDEX(_xlfn._xlws.FILTER(OrderDetails!A621:E2775,OrderDetails!A621:A2775=A621), 0, 3) * INDEX(_xlfn._xlws.FILTER(OrderDetails!A621:E2775,OrderDetails!A621:A2775=A621), 0, 4))</f>
        <v>98.399999999999991</v>
      </c>
      <c r="F621">
        <v>98</v>
      </c>
    </row>
    <row r="622" spans="1:6" x14ac:dyDescent="0.2">
      <c r="A622">
        <v>10868</v>
      </c>
      <c r="E622" cm="1">
        <f t="array" ref="E622">SUM(INDEX(_xlfn._xlws.FILTER(OrderDetails!A622:E2776,OrderDetails!A622:A2776=A622), 0, 3) * INDEX(_xlfn._xlws.FILTER(OrderDetails!A622:E2776,OrderDetails!A622:A2776=A622), 0, 4))</f>
        <v>2004.6</v>
      </c>
      <c r="F622">
        <v>2005</v>
      </c>
    </row>
    <row r="623" spans="1:6" x14ac:dyDescent="0.2">
      <c r="A623">
        <v>10869</v>
      </c>
      <c r="E623" cm="1">
        <f t="array" ref="E623">SUM(INDEX(_xlfn._xlws.FILTER(OrderDetails!A623:E2777,OrderDetails!A623:A2777=A623), 0, 3) * INDEX(_xlfn._xlws.FILTER(OrderDetails!A623:E2777,OrderDetails!A623:A2777=A623), 0, 4))</f>
        <v>1630</v>
      </c>
      <c r="F623">
        <v>1630</v>
      </c>
    </row>
    <row r="624" spans="1:6" x14ac:dyDescent="0.2">
      <c r="A624">
        <v>10870</v>
      </c>
      <c r="E624" cm="1">
        <f t="array" ref="E624">SUM(INDEX(_xlfn._xlws.FILTER(OrderDetails!A624:E2778,OrderDetails!A624:A2778=A624), 0, 3) * INDEX(_xlfn._xlws.FILTER(OrderDetails!A624:E2778,OrderDetails!A624:A2778=A624), 0, 4))</f>
        <v>160</v>
      </c>
      <c r="F624">
        <v>160</v>
      </c>
    </row>
    <row r="625" spans="1:6" x14ac:dyDescent="0.2">
      <c r="A625">
        <v>10871</v>
      </c>
      <c r="E625" cm="1">
        <f t="array" ref="E625">SUM(INDEX(_xlfn._xlws.FILTER(OrderDetails!A625:E2779,OrderDetails!A625:A2779=A625), 0, 3) * INDEX(_xlfn._xlws.FILTER(OrderDetails!A625:E2779,OrderDetails!A625:A2779=A625), 0, 4))</f>
        <v>2083.4</v>
      </c>
      <c r="F625">
        <v>2083</v>
      </c>
    </row>
    <row r="626" spans="1:6" x14ac:dyDescent="0.2">
      <c r="A626">
        <v>10872</v>
      </c>
      <c r="E626" cm="1">
        <f t="array" ref="E626">SUM(INDEX(_xlfn._xlws.FILTER(OrderDetails!A626:E2780,OrderDetails!A626:A2780=A626), 0, 3) * INDEX(_xlfn._xlws.FILTER(OrderDetails!A626:E2780,OrderDetails!A626:A2780=A626), 0, 4))</f>
        <v>2166.8000000000002</v>
      </c>
      <c r="F626">
        <v>2167</v>
      </c>
    </row>
    <row r="627" spans="1:6" x14ac:dyDescent="0.2">
      <c r="A627">
        <v>10873</v>
      </c>
      <c r="E627" cm="1">
        <f t="array" ref="E627">SUM(INDEX(_xlfn._xlws.FILTER(OrderDetails!A627:E2781,OrderDetails!A627:A2781=A627), 0, 3) * INDEX(_xlfn._xlws.FILTER(OrderDetails!A627:E2781,OrderDetails!A627:A2781=A627), 0, 4))</f>
        <v>336.8</v>
      </c>
      <c r="F627">
        <v>337</v>
      </c>
    </row>
    <row r="628" spans="1:6" x14ac:dyDescent="0.2">
      <c r="A628">
        <v>10874</v>
      </c>
      <c r="E628" cm="1">
        <f t="array" ref="E628">SUM(INDEX(_xlfn._xlws.FILTER(OrderDetails!A628:E2782,OrderDetails!A628:A2782=A628), 0, 3) * INDEX(_xlfn._xlws.FILTER(OrderDetails!A628:E2782,OrderDetails!A628:A2782=A628), 0, 4))</f>
        <v>310</v>
      </c>
      <c r="F628">
        <v>310</v>
      </c>
    </row>
    <row r="629" spans="1:6" x14ac:dyDescent="0.2">
      <c r="A629">
        <v>10875</v>
      </c>
      <c r="E629" cm="1">
        <f t="array" ref="E629">SUM(INDEX(_xlfn._xlws.FILTER(OrderDetails!A629:E2783,OrderDetails!A629:A2783=A629), 0, 3) * INDEX(_xlfn._xlws.FILTER(OrderDetails!A629:E2783,OrderDetails!A629:A2783=A629), 0, 4))</f>
        <v>729.5</v>
      </c>
      <c r="F629">
        <v>730</v>
      </c>
    </row>
    <row r="630" spans="1:6" x14ac:dyDescent="0.2">
      <c r="A630">
        <v>10876</v>
      </c>
      <c r="E630" cm="1">
        <f t="array" ref="E630">SUM(INDEX(_xlfn._xlws.FILTER(OrderDetails!A630:E2784,OrderDetails!A630:A2784=A630), 0, 3) * INDEX(_xlfn._xlws.FILTER(OrderDetails!A630:E2784,OrderDetails!A630:A2784=A630), 0, 4))</f>
        <v>917</v>
      </c>
      <c r="F630">
        <v>917</v>
      </c>
    </row>
    <row r="631" spans="1:6" x14ac:dyDescent="0.2">
      <c r="A631">
        <v>10877</v>
      </c>
      <c r="E631" cm="1">
        <f t="array" ref="E631">SUM(INDEX(_xlfn._xlws.FILTER(OrderDetails!A631:E2785,OrderDetails!A631:A2785=A631), 0, 3) * INDEX(_xlfn._xlws.FILTER(OrderDetails!A631:E2785,OrderDetails!A631:A2785=A631), 0, 4))</f>
        <v>2086</v>
      </c>
      <c r="F631">
        <v>2086</v>
      </c>
    </row>
    <row r="632" spans="1:6" x14ac:dyDescent="0.2">
      <c r="A632">
        <v>10878</v>
      </c>
      <c r="E632" cm="1">
        <f t="array" ref="E632">SUM(INDEX(_xlfn._xlws.FILTER(OrderDetails!A632:E2786,OrderDetails!A632:A2786=A632), 0, 3) * INDEX(_xlfn._xlws.FILTER(OrderDetails!A632:E2786,OrderDetails!A632:A2786=A632), 0, 4))</f>
        <v>1620</v>
      </c>
      <c r="F632">
        <v>1620</v>
      </c>
    </row>
    <row r="633" spans="1:6" x14ac:dyDescent="0.2">
      <c r="A633">
        <v>10879</v>
      </c>
      <c r="E633" cm="1">
        <f t="array" ref="E633">SUM(INDEX(_xlfn._xlws.FILTER(OrderDetails!A633:E2787,OrderDetails!A633:A2787=A633), 0, 3) * INDEX(_xlfn._xlws.FILTER(OrderDetails!A633:E2787,OrderDetails!A633:A2787=A633), 0, 4))</f>
        <v>611.29999999999995</v>
      </c>
      <c r="F633">
        <v>612</v>
      </c>
    </row>
    <row r="634" spans="1:6" x14ac:dyDescent="0.2">
      <c r="A634">
        <v>10880</v>
      </c>
      <c r="E634" cm="1">
        <f t="array" ref="E634">SUM(INDEX(_xlfn._xlws.FILTER(OrderDetails!A634:E2788,OrderDetails!A634:A2788=A634), 0, 3) * INDEX(_xlfn._xlws.FILTER(OrderDetails!A634:E2788,OrderDetails!A634:A2788=A634), 0, 4))</f>
        <v>1875</v>
      </c>
      <c r="F634">
        <v>1875</v>
      </c>
    </row>
    <row r="635" spans="1:6" x14ac:dyDescent="0.2">
      <c r="A635">
        <v>10881</v>
      </c>
      <c r="E635" cm="1">
        <f t="array" ref="E635">SUM(INDEX(_xlfn._xlws.FILTER(OrderDetails!A635:E2789,OrderDetails!A635:A2789=A635), 0, 3) * INDEX(_xlfn._xlws.FILTER(OrderDetails!A635:E2789,OrderDetails!A635:A2789=A635), 0, 4))</f>
        <v>150</v>
      </c>
      <c r="F635">
        <v>150</v>
      </c>
    </row>
    <row r="636" spans="1:6" x14ac:dyDescent="0.2">
      <c r="A636">
        <v>10882</v>
      </c>
      <c r="E636" cm="1">
        <f t="array" ref="E636">SUM(INDEX(_xlfn._xlws.FILTER(OrderDetails!A636:E2790,OrderDetails!A636:A2790=A636), 0, 3) * INDEX(_xlfn._xlws.FILTER(OrderDetails!A636:E2790,OrderDetails!A636:A2790=A636), 0, 4))</f>
        <v>988.4</v>
      </c>
      <c r="F636">
        <v>988</v>
      </c>
    </row>
    <row r="637" spans="1:6" x14ac:dyDescent="0.2">
      <c r="A637">
        <v>10883</v>
      </c>
      <c r="E637" cm="1">
        <f t="array" ref="E637">SUM(INDEX(_xlfn._xlws.FILTER(OrderDetails!A637:E2791,OrderDetails!A637:A2791=A637), 0, 3) * INDEX(_xlfn._xlws.FILTER(OrderDetails!A637:E2791,OrderDetails!A637:A2791=A637), 0, 4))</f>
        <v>36</v>
      </c>
      <c r="F637">
        <v>36</v>
      </c>
    </row>
    <row r="638" spans="1:6" x14ac:dyDescent="0.2">
      <c r="A638">
        <v>10884</v>
      </c>
      <c r="E638" cm="1">
        <f t="array" ref="E638">SUM(INDEX(_xlfn._xlws.FILTER(OrderDetails!A638:E2792,OrderDetails!A638:A2792=A638), 0, 3) * INDEX(_xlfn._xlws.FILTER(OrderDetails!A638:E2792,OrderDetails!A638:A2792=A638), 0, 4))</f>
        <v>1450.6</v>
      </c>
      <c r="F638">
        <v>1451</v>
      </c>
    </row>
    <row r="639" spans="1:6" x14ac:dyDescent="0.2">
      <c r="A639">
        <v>10885</v>
      </c>
      <c r="E639" cm="1">
        <f t="array" ref="E639">SUM(INDEX(_xlfn._xlws.FILTER(OrderDetails!A639:E2793,OrderDetails!A639:A2793=A639), 0, 3) * INDEX(_xlfn._xlws.FILTER(OrderDetails!A639:E2793,OrderDetails!A639:A2793=A639), 0, 4))</f>
        <v>1209</v>
      </c>
      <c r="F639">
        <v>1209</v>
      </c>
    </row>
    <row r="640" spans="1:6" x14ac:dyDescent="0.2">
      <c r="A640">
        <v>10886</v>
      </c>
      <c r="E640" cm="1">
        <f t="array" ref="E640">SUM(INDEX(_xlfn._xlws.FILTER(OrderDetails!A640:E2794,OrderDetails!A640:A2794=A640), 0, 3) * INDEX(_xlfn._xlws.FILTER(OrderDetails!A640:E2794,OrderDetails!A640:A2794=A640), 0, 4))</f>
        <v>3127.5</v>
      </c>
      <c r="F640">
        <v>3128</v>
      </c>
    </row>
    <row r="641" spans="1:6" x14ac:dyDescent="0.2">
      <c r="A641">
        <v>10887</v>
      </c>
      <c r="E641" cm="1">
        <f t="array" ref="E641">SUM(INDEX(_xlfn._xlws.FILTER(OrderDetails!A641:E2795,OrderDetails!A641:A2795=A641), 0, 3) * INDEX(_xlfn._xlws.FILTER(OrderDetails!A641:E2795,OrderDetails!A641:A2795=A641), 0, 4))</f>
        <v>70</v>
      </c>
      <c r="F641">
        <v>70</v>
      </c>
    </row>
    <row r="642" spans="1:6" x14ac:dyDescent="0.2">
      <c r="A642">
        <v>10888</v>
      </c>
      <c r="E642" cm="1">
        <f t="array" ref="E642">SUM(INDEX(_xlfn._xlws.FILTER(OrderDetails!A642:E2796,OrderDetails!A642:A2796=A642), 0, 3) * INDEX(_xlfn._xlws.FILTER(OrderDetails!A642:E2796,OrderDetails!A642:A2796=A642), 0, 4))</f>
        <v>605</v>
      </c>
      <c r="F642">
        <v>605</v>
      </c>
    </row>
    <row r="643" spans="1:6" x14ac:dyDescent="0.2">
      <c r="A643">
        <v>10889</v>
      </c>
      <c r="E643" cm="1">
        <f t="array" ref="E643">SUM(INDEX(_xlfn._xlws.FILTER(OrderDetails!A643:E2797,OrderDetails!A643:A2797=A643), 0, 3) * INDEX(_xlfn._xlws.FILTER(OrderDetails!A643:E2797,OrderDetails!A643:A2797=A643), 0, 4))</f>
        <v>11380</v>
      </c>
      <c r="F643">
        <v>11380</v>
      </c>
    </row>
    <row r="644" spans="1:6" x14ac:dyDescent="0.2">
      <c r="A644">
        <v>10890</v>
      </c>
      <c r="E644" cm="1">
        <f t="array" ref="E644">SUM(INDEX(_xlfn._xlws.FILTER(OrderDetails!A644:E2798,OrderDetails!A644:A2798=A644), 0, 3) * INDEX(_xlfn._xlws.FILTER(OrderDetails!A644:E2798,OrderDetails!A644:A2798=A644), 0, 4))</f>
        <v>860.1</v>
      </c>
      <c r="F644">
        <v>860</v>
      </c>
    </row>
    <row r="645" spans="1:6" x14ac:dyDescent="0.2">
      <c r="A645">
        <v>10891</v>
      </c>
      <c r="E645" cm="1">
        <f t="array" ref="E645">SUM(INDEX(_xlfn._xlws.FILTER(OrderDetails!A645:E2799,OrderDetails!A645:A2799=A645), 0, 3) * INDEX(_xlfn._xlws.FILTER(OrderDetails!A645:E2799,OrderDetails!A645:A2799=A645), 0, 4))</f>
        <v>388.35</v>
      </c>
      <c r="F645">
        <v>388</v>
      </c>
    </row>
    <row r="646" spans="1:6" x14ac:dyDescent="0.2">
      <c r="A646">
        <v>10892</v>
      </c>
      <c r="E646" cm="1">
        <f t="array" ref="E646">SUM(INDEX(_xlfn._xlws.FILTER(OrderDetails!A646:E2800,OrderDetails!A646:A2800=A646), 0, 3) * INDEX(_xlfn._xlws.FILTER(OrderDetails!A646:E2800,OrderDetails!A646:A2800=A646), 0, 4))</f>
        <v>2200</v>
      </c>
      <c r="F646">
        <v>2200</v>
      </c>
    </row>
    <row r="647" spans="1:6" x14ac:dyDescent="0.2">
      <c r="A647">
        <v>10893</v>
      </c>
      <c r="E647" cm="1">
        <f t="array" ref="E647">SUM(INDEX(_xlfn._xlws.FILTER(OrderDetails!A647:E2801,OrderDetails!A647:A2801=A647), 0, 3) * INDEX(_xlfn._xlws.FILTER(OrderDetails!A647:E2801,OrderDetails!A647:A2801=A647), 0, 4))</f>
        <v>5502.11</v>
      </c>
      <c r="F647">
        <v>5502</v>
      </c>
    </row>
    <row r="648" spans="1:6" x14ac:dyDescent="0.2">
      <c r="A648">
        <v>10894</v>
      </c>
      <c r="E648" cm="1">
        <f t="array" ref="E648">SUM(INDEX(_xlfn._xlws.FILTER(OrderDetails!A648:E2802,OrderDetails!A648:A2802=A648), 0, 3) * INDEX(_xlfn._xlws.FILTER(OrderDetails!A648:E2802,OrderDetails!A648:A2802=A648), 0, 4))</f>
        <v>2898</v>
      </c>
      <c r="F648">
        <v>2898</v>
      </c>
    </row>
    <row r="649" spans="1:6" x14ac:dyDescent="0.2">
      <c r="A649">
        <v>10895</v>
      </c>
      <c r="E649" cm="1">
        <f t="array" ref="E649">SUM(INDEX(_xlfn._xlws.FILTER(OrderDetails!A649:E2803,OrderDetails!A649:A2803=A649), 0, 3) * INDEX(_xlfn._xlws.FILTER(OrderDetails!A649:E2803,OrderDetails!A649:A2803=A649), 0, 4))</f>
        <v>6379.4</v>
      </c>
      <c r="F649">
        <v>6379</v>
      </c>
    </row>
    <row r="650" spans="1:6" x14ac:dyDescent="0.2">
      <c r="A650">
        <v>10896</v>
      </c>
      <c r="E650" cm="1">
        <f t="array" ref="E650">SUM(INDEX(_xlfn._xlws.FILTER(OrderDetails!A650:E2804,OrderDetails!A650:A2804=A650), 0, 3) * INDEX(_xlfn._xlws.FILTER(OrderDetails!A650:E2804,OrderDetails!A650:A2804=A650), 0, 4))</f>
        <v>750.5</v>
      </c>
      <c r="F650">
        <v>750</v>
      </c>
    </row>
    <row r="651" spans="1:6" x14ac:dyDescent="0.2">
      <c r="A651">
        <v>10897</v>
      </c>
      <c r="E651" cm="1">
        <f t="array" ref="E651">SUM(INDEX(_xlfn._xlws.FILTER(OrderDetails!A651:E2805,OrderDetails!A651:A2805=A651), 0, 3) * INDEX(_xlfn._xlws.FILTER(OrderDetails!A651:E2805,OrderDetails!A651:A2805=A651), 0, 4))</f>
        <v>10835.240000000002</v>
      </c>
      <c r="F651">
        <v>10835</v>
      </c>
    </row>
    <row r="652" spans="1:6" x14ac:dyDescent="0.2">
      <c r="A652">
        <v>10898</v>
      </c>
      <c r="E652" cm="1">
        <f t="array" ref="E652">SUM(INDEX(_xlfn._xlws.FILTER(OrderDetails!A652:E2806,OrderDetails!A652:A2806=A652), 0, 3) * INDEX(_xlfn._xlws.FILTER(OrderDetails!A652:E2806,OrderDetails!A652:A2806=A652), 0, 4))</f>
        <v>30</v>
      </c>
      <c r="F652">
        <v>30</v>
      </c>
    </row>
    <row r="653" spans="1:6" x14ac:dyDescent="0.2">
      <c r="A653">
        <v>10899</v>
      </c>
      <c r="E653" cm="1">
        <f t="array" ref="E653">SUM(INDEX(_xlfn._xlws.FILTER(OrderDetails!A653:E2807,OrderDetails!A653:A2807=A653), 0, 3) * INDEX(_xlfn._xlws.FILTER(OrderDetails!A653:E2807,OrderDetails!A653:A2807=A653), 0, 4))</f>
        <v>144</v>
      </c>
      <c r="F653">
        <v>144</v>
      </c>
    </row>
    <row r="654" spans="1:6" x14ac:dyDescent="0.2">
      <c r="A654">
        <v>10900</v>
      </c>
      <c r="E654" cm="1">
        <f t="array" ref="E654">SUM(INDEX(_xlfn._xlws.FILTER(OrderDetails!A654:E2808,OrderDetails!A654:A2808=A654), 0, 3) * INDEX(_xlfn._xlws.FILTER(OrderDetails!A654:E2808,OrderDetails!A654:A2808=A654), 0, 4))</f>
        <v>45</v>
      </c>
      <c r="F654">
        <v>45</v>
      </c>
    </row>
    <row r="655" spans="1:6" x14ac:dyDescent="0.2">
      <c r="A655">
        <v>10901</v>
      </c>
      <c r="E655" cm="1">
        <f t="array" ref="E655">SUM(INDEX(_xlfn._xlws.FILTER(OrderDetails!A655:E2809,OrderDetails!A655:A2809=A655), 0, 3) * INDEX(_xlfn._xlws.FILTER(OrderDetails!A655:E2809,OrderDetails!A655:A2809=A655), 0, 4))</f>
        <v>934.5</v>
      </c>
      <c r="F655">
        <v>935</v>
      </c>
    </row>
    <row r="656" spans="1:6" x14ac:dyDescent="0.2">
      <c r="A656">
        <v>10902</v>
      </c>
      <c r="E656" cm="1">
        <f t="array" ref="E656">SUM(INDEX(_xlfn._xlws.FILTER(OrderDetails!A656:E2810,OrderDetails!A656:A2810=A656), 0, 3) * INDEX(_xlfn._xlws.FILTER(OrderDetails!A656:E2810,OrderDetails!A656:A2810=A656), 0, 4))</f>
        <v>1015.8</v>
      </c>
      <c r="F656">
        <v>1016</v>
      </c>
    </row>
    <row r="657" spans="1:6" x14ac:dyDescent="0.2">
      <c r="A657">
        <v>10903</v>
      </c>
      <c r="E657" cm="1">
        <f t="array" ref="E657">SUM(INDEX(_xlfn._xlws.FILTER(OrderDetails!A657:E2811,OrderDetails!A657:A2811=A657), 0, 3) * INDEX(_xlfn._xlws.FILTER(OrderDetails!A657:E2811,OrderDetails!A657:A2811=A657), 0, 4))</f>
        <v>932.05</v>
      </c>
      <c r="F657">
        <v>932</v>
      </c>
    </row>
    <row r="658" spans="1:6" x14ac:dyDescent="0.2">
      <c r="A658">
        <v>10904</v>
      </c>
      <c r="E658" cm="1">
        <f t="array" ref="E658">SUM(INDEX(_xlfn._xlws.FILTER(OrderDetails!A658:E2812,OrderDetails!A658:A2812=A658), 0, 3) * INDEX(_xlfn._xlws.FILTER(OrderDetails!A658:E2812,OrderDetails!A658:A2812=A658), 0, 4))</f>
        <v>1924.25</v>
      </c>
      <c r="F658">
        <v>1924</v>
      </c>
    </row>
    <row r="659" spans="1:6" x14ac:dyDescent="0.2">
      <c r="A659">
        <v>10905</v>
      </c>
      <c r="E659" cm="1">
        <f t="array" ref="E659">SUM(INDEX(_xlfn._xlws.FILTER(OrderDetails!A659:E2813,OrderDetails!A659:A2813=A659), 0, 3) * INDEX(_xlfn._xlws.FILTER(OrderDetails!A659:E2813,OrderDetails!A659:A2813=A659), 0, 4))</f>
        <v>360</v>
      </c>
      <c r="F659">
        <v>360</v>
      </c>
    </row>
    <row r="660" spans="1:6" x14ac:dyDescent="0.2">
      <c r="A660">
        <v>10906</v>
      </c>
      <c r="E660" cm="1">
        <f t="array" ref="E660">SUM(INDEX(_xlfn._xlws.FILTER(OrderDetails!A660:E2814,OrderDetails!A660:A2814=A660), 0, 3) * INDEX(_xlfn._xlws.FILTER(OrderDetails!A660:E2814,OrderDetails!A660:A2814=A660), 0, 4))</f>
        <v>427.5</v>
      </c>
      <c r="F660">
        <v>428</v>
      </c>
    </row>
    <row r="661" spans="1:6" x14ac:dyDescent="0.2">
      <c r="A661">
        <v>10907</v>
      </c>
      <c r="E661" cm="1">
        <f t="array" ref="E661">SUM(INDEX(_xlfn._xlws.FILTER(OrderDetails!A661:E2815,OrderDetails!A661:A2815=A661), 0, 3) * INDEX(_xlfn._xlws.FILTER(OrderDetails!A661:E2815,OrderDetails!A661:A2815=A661), 0, 4))</f>
        <v>108.5</v>
      </c>
      <c r="F661">
        <v>108</v>
      </c>
    </row>
    <row r="662" spans="1:6" x14ac:dyDescent="0.2">
      <c r="A662">
        <v>10908</v>
      </c>
      <c r="E662" cm="1">
        <f t="array" ref="E662">SUM(INDEX(_xlfn._xlws.FILTER(OrderDetails!A662:E2816,OrderDetails!A662:A2816=A662), 0, 3) * INDEX(_xlfn._xlws.FILTER(OrderDetails!A662:E2816,OrderDetails!A662:A2816=A662), 0, 4))</f>
        <v>698</v>
      </c>
      <c r="F662">
        <v>698</v>
      </c>
    </row>
    <row r="663" spans="1:6" x14ac:dyDescent="0.2">
      <c r="A663">
        <v>10909</v>
      </c>
      <c r="E663" cm="1">
        <f t="array" ref="E663">SUM(INDEX(_xlfn._xlws.FILTER(OrderDetails!A663:E2817,OrderDetails!A663:A2817=A663), 0, 3) * INDEX(_xlfn._xlws.FILTER(OrderDetails!A663:E2817,OrderDetails!A663:A2817=A663), 0, 4))</f>
        <v>670</v>
      </c>
      <c r="F663">
        <v>670</v>
      </c>
    </row>
    <row r="664" spans="1:6" x14ac:dyDescent="0.2">
      <c r="A664">
        <v>10910</v>
      </c>
      <c r="E664" cm="1">
        <f t="array" ref="E664">SUM(INDEX(_xlfn._xlws.FILTER(OrderDetails!A664:E2818,OrderDetails!A664:A2818=A664), 0, 3) * INDEX(_xlfn._xlws.FILTER(OrderDetails!A664:E2818,OrderDetails!A664:A2818=A664), 0, 4))</f>
        <v>452.9</v>
      </c>
      <c r="F664">
        <v>452</v>
      </c>
    </row>
    <row r="665" spans="1:6" x14ac:dyDescent="0.2">
      <c r="A665">
        <v>10911</v>
      </c>
      <c r="E665" cm="1">
        <f t="array" ref="E665">SUM(INDEX(_xlfn._xlws.FILTER(OrderDetails!A665:E2819,OrderDetails!A665:A2819=A665), 0, 3) * INDEX(_xlfn._xlws.FILTER(OrderDetails!A665:E2819,OrderDetails!A665:A2819=A665), 0, 4))</f>
        <v>858</v>
      </c>
      <c r="F665">
        <v>858</v>
      </c>
    </row>
    <row r="666" spans="1:6" x14ac:dyDescent="0.2">
      <c r="A666">
        <v>10912</v>
      </c>
      <c r="E666" cm="1">
        <f t="array" ref="E666">SUM(INDEX(_xlfn._xlws.FILTER(OrderDetails!A666:E2820,OrderDetails!A666:A2820=A666), 0, 3) * INDEX(_xlfn._xlws.FILTER(OrderDetails!A666:E2820,OrderDetails!A666:A2820=A666), 0, 4))</f>
        <v>8267.4000000000015</v>
      </c>
      <c r="F666">
        <v>8267</v>
      </c>
    </row>
    <row r="667" spans="1:6" x14ac:dyDescent="0.2">
      <c r="A667">
        <v>10913</v>
      </c>
      <c r="E667" cm="1">
        <f t="array" ref="E667">SUM(INDEX(_xlfn._xlws.FILTER(OrderDetails!A667:E2821,OrderDetails!A667:A2821=A667), 0, 3) * INDEX(_xlfn._xlws.FILTER(OrderDetails!A667:E2821,OrderDetails!A667:A2821=A667), 0, 4))</f>
        <v>958.75</v>
      </c>
      <c r="F667">
        <v>959</v>
      </c>
    </row>
    <row r="668" spans="1:6" x14ac:dyDescent="0.2">
      <c r="A668">
        <v>10914</v>
      </c>
      <c r="E668" cm="1">
        <f t="array" ref="E668">SUM(INDEX(_xlfn._xlws.FILTER(OrderDetails!A668:E2822,OrderDetails!A668:A2822=A668), 0, 3) * INDEX(_xlfn._xlws.FILTER(OrderDetails!A668:E2822,OrderDetails!A668:A2822=A668), 0, 4))</f>
        <v>537.5</v>
      </c>
      <c r="F668">
        <v>538</v>
      </c>
    </row>
    <row r="669" spans="1:6" x14ac:dyDescent="0.2">
      <c r="A669">
        <v>10915</v>
      </c>
      <c r="E669" cm="1">
        <f t="array" ref="E669">SUM(INDEX(_xlfn._xlws.FILTER(OrderDetails!A669:E2823,OrderDetails!A669:A2823=A669), 0, 3) * INDEX(_xlfn._xlws.FILTER(OrderDetails!A669:E2823,OrderDetails!A669:A2823=A669), 0, 4))</f>
        <v>539.5</v>
      </c>
      <c r="F669">
        <v>540</v>
      </c>
    </row>
    <row r="670" spans="1:6" x14ac:dyDescent="0.2">
      <c r="A670">
        <v>10916</v>
      </c>
      <c r="E670" cm="1">
        <f t="array" ref="E670">SUM(INDEX(_xlfn._xlws.FILTER(OrderDetails!A670:E2824,OrderDetails!A670:A2824=A670), 0, 3) * INDEX(_xlfn._xlws.FILTER(OrderDetails!A670:E2824,OrderDetails!A670:A2824=A670), 0, 4))</f>
        <v>686.7</v>
      </c>
      <c r="F670">
        <v>687</v>
      </c>
    </row>
    <row r="671" spans="1:6" x14ac:dyDescent="0.2">
      <c r="A671">
        <v>10917</v>
      </c>
      <c r="E671" cm="1">
        <f t="array" ref="E671">SUM(INDEX(_xlfn._xlws.FILTER(OrderDetails!A671:E2825,OrderDetails!A671:A2825=A671), 0, 3) * INDEX(_xlfn._xlws.FILTER(OrderDetails!A671:E2825,OrderDetails!A671:A2825=A671), 0, 4))</f>
        <v>365.89</v>
      </c>
      <c r="F671">
        <v>366</v>
      </c>
    </row>
    <row r="672" spans="1:6" x14ac:dyDescent="0.2">
      <c r="A672">
        <v>10918</v>
      </c>
      <c r="E672" cm="1">
        <f t="array" ref="E672">SUM(INDEX(_xlfn._xlws.FILTER(OrderDetails!A672:E2826,OrderDetails!A672:A2826=A672), 0, 3) * INDEX(_xlfn._xlws.FILTER(OrderDetails!A672:E2826,OrderDetails!A672:A2826=A672), 0, 4))</f>
        <v>1930</v>
      </c>
      <c r="F672">
        <v>1930</v>
      </c>
    </row>
    <row r="673" spans="1:6" x14ac:dyDescent="0.2">
      <c r="A673">
        <v>10919</v>
      </c>
      <c r="E673" cm="1">
        <f t="array" ref="E673">SUM(INDEX(_xlfn._xlws.FILTER(OrderDetails!A673:E2827,OrderDetails!A673:A2827=A673), 0, 3) * INDEX(_xlfn._xlws.FILTER(OrderDetails!A673:E2827,OrderDetails!A673:A2827=A673), 0, 4))</f>
        <v>1122.8</v>
      </c>
      <c r="F673">
        <v>1123</v>
      </c>
    </row>
    <row r="674" spans="1:6" x14ac:dyDescent="0.2">
      <c r="A674">
        <v>10920</v>
      </c>
      <c r="E674" cm="1">
        <f t="array" ref="E674">SUM(INDEX(_xlfn._xlws.FILTER(OrderDetails!A674:E2828,OrderDetails!A674:A2828=A674), 0, 3) * INDEX(_xlfn._xlws.FILTER(OrderDetails!A674:E2828,OrderDetails!A674:A2828=A674), 0, 4))</f>
        <v>390</v>
      </c>
      <c r="F674">
        <v>390</v>
      </c>
    </row>
    <row r="675" spans="1:6" x14ac:dyDescent="0.2">
      <c r="A675">
        <v>10921</v>
      </c>
      <c r="E675" cm="1">
        <f t="array" ref="E675">SUM(INDEX(_xlfn._xlws.FILTER(OrderDetails!A675:E2829,OrderDetails!A675:A2829=A675), 0, 3) * INDEX(_xlfn._xlws.FILTER(OrderDetails!A675:E2829,OrderDetails!A675:A2829=A675), 0, 4))</f>
        <v>1936</v>
      </c>
      <c r="F675">
        <v>1936</v>
      </c>
    </row>
    <row r="676" spans="1:6" x14ac:dyDescent="0.2">
      <c r="A676">
        <v>10922</v>
      </c>
      <c r="E676" cm="1">
        <f t="array" ref="E676">SUM(INDEX(_xlfn._xlws.FILTER(OrderDetails!A676:E2830,OrderDetails!A676:A2830=A676), 0, 3) * INDEX(_xlfn._xlws.FILTER(OrderDetails!A676:E2830,OrderDetails!A676:A2830=A676), 0, 4))</f>
        <v>742.5</v>
      </c>
      <c r="F676">
        <v>742</v>
      </c>
    </row>
    <row r="677" spans="1:6" x14ac:dyDescent="0.2">
      <c r="A677">
        <v>10923</v>
      </c>
      <c r="E677" cm="1">
        <f t="array" ref="E677">SUM(INDEX(_xlfn._xlws.FILTER(OrderDetails!A677:E2831,OrderDetails!A677:A2831=A677), 0, 3) * INDEX(_xlfn._xlws.FILTER(OrderDetails!A677:E2831,OrderDetails!A677:A2831=A677), 0, 4))</f>
        <v>936</v>
      </c>
      <c r="F677">
        <v>936</v>
      </c>
    </row>
    <row r="678" spans="1:6" x14ac:dyDescent="0.2">
      <c r="A678">
        <v>10924</v>
      </c>
      <c r="E678" cm="1">
        <f t="array" ref="E678">SUM(INDEX(_xlfn._xlws.FILTER(OrderDetails!A678:E2832,OrderDetails!A678:A2832=A678), 0, 3) * INDEX(_xlfn._xlws.FILTER(OrderDetails!A678:E2832,OrderDetails!A678:A2832=A678), 0, 4))</f>
        <v>2034.5</v>
      </c>
      <c r="F678">
        <v>2034</v>
      </c>
    </row>
    <row r="679" spans="1:6" x14ac:dyDescent="0.2">
      <c r="A679">
        <v>10925</v>
      </c>
      <c r="E679" cm="1">
        <f t="array" ref="E679">SUM(INDEX(_xlfn._xlws.FILTER(OrderDetails!A679:E2833,OrderDetails!A679:A2833=A679), 0, 3) * INDEX(_xlfn._xlws.FILTER(OrderDetails!A679:E2833,OrderDetails!A679:A2833=A679), 0, 4))</f>
        <v>559</v>
      </c>
      <c r="F679">
        <v>559</v>
      </c>
    </row>
    <row r="680" spans="1:6" x14ac:dyDescent="0.2">
      <c r="A680">
        <v>10926</v>
      </c>
      <c r="E680" cm="1">
        <f t="array" ref="E680">SUM(INDEX(_xlfn._xlws.FILTER(OrderDetails!A680:E2834,OrderDetails!A680:A2834=A680), 0, 3) * INDEX(_xlfn._xlws.FILTER(OrderDetails!A680:E2834,OrderDetails!A680:A2834=A680), 0, 4))</f>
        <v>514.4</v>
      </c>
      <c r="F680">
        <v>514</v>
      </c>
    </row>
    <row r="681" spans="1:6" x14ac:dyDescent="0.2">
      <c r="A681">
        <v>10927</v>
      </c>
      <c r="E681" cm="1">
        <f t="array" ref="E681">SUM(INDEX(_xlfn._xlws.FILTER(OrderDetails!A681:E2835,OrderDetails!A681:A2835=A681), 0, 3) * INDEX(_xlfn._xlws.FILTER(OrderDetails!A681:E2835,OrderDetails!A681:A2835=A681), 0, 4))</f>
        <v>800</v>
      </c>
      <c r="F681">
        <v>800</v>
      </c>
    </row>
    <row r="682" spans="1:6" x14ac:dyDescent="0.2">
      <c r="A682">
        <v>10928</v>
      </c>
      <c r="E682" cm="1">
        <f t="array" ref="E682">SUM(INDEX(_xlfn._xlws.FILTER(OrderDetails!A682:E2836,OrderDetails!A682:A2836=A682), 0, 3) * INDEX(_xlfn._xlws.FILTER(OrderDetails!A682:E2836,OrderDetails!A682:A2836=A682), 0, 4))</f>
        <v>137.5</v>
      </c>
      <c r="F682">
        <v>138</v>
      </c>
    </row>
    <row r="683" spans="1:6" x14ac:dyDescent="0.2">
      <c r="A683">
        <v>10929</v>
      </c>
      <c r="E683" cm="1">
        <f t="array" ref="E683">SUM(INDEX(_xlfn._xlws.FILTER(OrderDetails!A683:E2837,OrderDetails!A683:A2837=A683), 0, 3) * INDEX(_xlfn._xlws.FILTER(OrderDetails!A683:E2837,OrderDetails!A683:A2837=A683), 0, 4))</f>
        <v>1174.75</v>
      </c>
      <c r="F683">
        <v>1175</v>
      </c>
    </row>
    <row r="684" spans="1:6" x14ac:dyDescent="0.2">
      <c r="A684">
        <v>10930</v>
      </c>
      <c r="E684" cm="1">
        <f t="array" ref="E684">SUM(INDEX(_xlfn._xlws.FILTER(OrderDetails!A684:E2838,OrderDetails!A684:A2838=A684), 0, 3) * INDEX(_xlfn._xlws.FILTER(OrderDetails!A684:E2838,OrderDetails!A684:A2838=A684), 0, 4))</f>
        <v>2455</v>
      </c>
      <c r="F684">
        <v>2456</v>
      </c>
    </row>
    <row r="685" spans="1:6" x14ac:dyDescent="0.2">
      <c r="A685">
        <v>10931</v>
      </c>
      <c r="E685" cm="1">
        <f t="array" ref="E685">SUM(INDEX(_xlfn._xlws.FILTER(OrderDetails!A685:E2839,OrderDetails!A685:A2839=A685), 0, 3) * INDEX(_xlfn._xlws.FILTER(OrderDetails!A685:E2839,OrderDetails!A685:A2839=A685), 0, 4))</f>
        <v>837</v>
      </c>
      <c r="F685">
        <v>837</v>
      </c>
    </row>
    <row r="686" spans="1:6" x14ac:dyDescent="0.2">
      <c r="A686">
        <v>10932</v>
      </c>
      <c r="E686" cm="1">
        <f t="array" ref="E686">SUM(INDEX(_xlfn._xlws.FILTER(OrderDetails!A686:E2840,OrderDetails!A686:A2840=A686), 0, 3) * INDEX(_xlfn._xlws.FILTER(OrderDetails!A686:E2840,OrderDetails!A686:A2840=A686), 0, 4))</f>
        <v>1925.4999999999998</v>
      </c>
      <c r="F686">
        <v>1926</v>
      </c>
    </row>
    <row r="687" spans="1:6" x14ac:dyDescent="0.2">
      <c r="A687">
        <v>10933</v>
      </c>
      <c r="E687" cm="1">
        <f t="array" ref="E687">SUM(INDEX(_xlfn._xlws.FILTER(OrderDetails!A687:E2841,OrderDetails!A687:A2841=A687), 0, 3) * INDEX(_xlfn._xlws.FILTER(OrderDetails!A687:E2841,OrderDetails!A687:A2841=A687), 0, 4))</f>
        <v>920.6</v>
      </c>
      <c r="F687">
        <v>921</v>
      </c>
    </row>
    <row r="688" spans="1:6" x14ac:dyDescent="0.2">
      <c r="A688">
        <v>10934</v>
      </c>
      <c r="E688" cm="1">
        <f t="array" ref="E688">SUM(INDEX(_xlfn._xlws.FILTER(OrderDetails!A688:E2842,OrderDetails!A688:A2842=A688), 0, 3) * INDEX(_xlfn._xlws.FILTER(OrderDetails!A688:E2842,OrderDetails!A688:A2842=A688), 0, 4))</f>
        <v>500</v>
      </c>
      <c r="F688">
        <v>500</v>
      </c>
    </row>
    <row r="689" spans="1:6" x14ac:dyDescent="0.2">
      <c r="A689">
        <v>10935</v>
      </c>
      <c r="E689" cm="1">
        <f t="array" ref="E689">SUM(INDEX(_xlfn._xlws.FILTER(OrderDetails!A689:E2843,OrderDetails!A689:A2843=A689), 0, 3) * INDEX(_xlfn._xlws.FILTER(OrderDetails!A689:E2843,OrderDetails!A689:A2843=A689), 0, 4))</f>
        <v>700</v>
      </c>
      <c r="F689">
        <v>700</v>
      </c>
    </row>
    <row r="690" spans="1:6" x14ac:dyDescent="0.2">
      <c r="A690">
        <v>10936</v>
      </c>
      <c r="E690" cm="1">
        <f t="array" ref="E690">SUM(INDEX(_xlfn._xlws.FILTER(OrderDetails!A690:E2844,OrderDetails!A690:A2844=A690), 0, 3) * INDEX(_xlfn._xlws.FILTER(OrderDetails!A690:E2844,OrderDetails!A690:A2844=A690), 0, 4))</f>
        <v>570</v>
      </c>
      <c r="F690">
        <v>570</v>
      </c>
    </row>
    <row r="691" spans="1:6" x14ac:dyDescent="0.2">
      <c r="A691">
        <v>10937</v>
      </c>
      <c r="E691" cm="1">
        <f t="array" ref="E691">SUM(INDEX(_xlfn._xlws.FILTER(OrderDetails!A691:E2845,OrderDetails!A691:A2845=A691), 0, 3) * INDEX(_xlfn._xlws.FILTER(OrderDetails!A691:E2845,OrderDetails!A691:A2845=A691), 0, 4))</f>
        <v>644.79999999999995</v>
      </c>
      <c r="F691">
        <v>645</v>
      </c>
    </row>
    <row r="692" spans="1:6" x14ac:dyDescent="0.2">
      <c r="A692">
        <v>10938</v>
      </c>
      <c r="E692" cm="1">
        <f t="array" ref="E692">SUM(INDEX(_xlfn._xlws.FILTER(OrderDetails!A692:E2846,OrderDetails!A692:A2846=A692), 0, 3) * INDEX(_xlfn._xlws.FILTER(OrderDetails!A692:E2846,OrderDetails!A692:A2846=A692), 0, 4))</f>
        <v>3642.5</v>
      </c>
      <c r="F692">
        <v>3642</v>
      </c>
    </row>
    <row r="693" spans="1:6" x14ac:dyDescent="0.2">
      <c r="A693">
        <v>10939</v>
      </c>
      <c r="E693" cm="1">
        <f t="array" ref="E693">SUM(INDEX(_xlfn._xlws.FILTER(OrderDetails!A693:E2847,OrderDetails!A693:A2847=A693), 0, 3) * INDEX(_xlfn._xlws.FILTER(OrderDetails!A693:E2847,OrderDetails!A693:A2847=A693), 0, 4))</f>
        <v>750</v>
      </c>
      <c r="F693">
        <v>750</v>
      </c>
    </row>
    <row r="694" spans="1:6" x14ac:dyDescent="0.2">
      <c r="A694">
        <v>10940</v>
      </c>
      <c r="E694" cm="1">
        <f t="array" ref="E694">SUM(INDEX(_xlfn._xlws.FILTER(OrderDetails!A694:E2848,OrderDetails!A694:A2848=A694), 0, 3) * INDEX(_xlfn._xlws.FILTER(OrderDetails!A694:E2848,OrderDetails!A694:A2848=A694), 0, 4))</f>
        <v>360</v>
      </c>
      <c r="F694">
        <v>360</v>
      </c>
    </row>
    <row r="695" spans="1:6" x14ac:dyDescent="0.2">
      <c r="A695">
        <v>10941</v>
      </c>
      <c r="E695" cm="1">
        <f t="array" ref="E695">SUM(INDEX(_xlfn._xlws.FILTER(OrderDetails!A695:E2849,OrderDetails!A695:A2849=A695), 0, 3) * INDEX(_xlfn._xlws.FILTER(OrderDetails!A695:E2849,OrderDetails!A695:A2849=A695), 0, 4))</f>
        <v>4769</v>
      </c>
      <c r="F695">
        <v>4769</v>
      </c>
    </row>
    <row r="696" spans="1:6" x14ac:dyDescent="0.2">
      <c r="A696">
        <v>10942</v>
      </c>
      <c r="E696" cm="1">
        <f t="array" ref="E696">SUM(INDEX(_xlfn._xlws.FILTER(OrderDetails!A696:E2850,OrderDetails!A696:A2850=A696), 0, 3) * INDEX(_xlfn._xlws.FILTER(OrderDetails!A696:E2850,OrderDetails!A696:A2850=A696), 0, 4))</f>
        <v>560</v>
      </c>
      <c r="F696">
        <v>560</v>
      </c>
    </row>
    <row r="697" spans="1:6" x14ac:dyDescent="0.2">
      <c r="A697">
        <v>10943</v>
      </c>
      <c r="E697" cm="1">
        <f t="array" ref="E697">SUM(INDEX(_xlfn._xlws.FILTER(OrderDetails!A697:E2851,OrderDetails!A697:A2851=A697), 0, 3) * INDEX(_xlfn._xlws.FILTER(OrderDetails!A697:E2851,OrderDetails!A697:A2851=A697), 0, 4))</f>
        <v>711</v>
      </c>
      <c r="F697">
        <v>711</v>
      </c>
    </row>
    <row r="698" spans="1:6" x14ac:dyDescent="0.2">
      <c r="A698">
        <v>10944</v>
      </c>
      <c r="E698" cm="1">
        <f t="array" ref="E698">SUM(INDEX(_xlfn._xlws.FILTER(OrderDetails!A698:E2852,OrderDetails!A698:A2852=A698), 0, 3) * INDEX(_xlfn._xlws.FILTER(OrderDetails!A698:E2852,OrderDetails!A698:A2852=A698), 0, 4))</f>
        <v>1139.0999999999999</v>
      </c>
      <c r="F698">
        <v>1139</v>
      </c>
    </row>
    <row r="699" spans="1:6" x14ac:dyDescent="0.2">
      <c r="A699">
        <v>10945</v>
      </c>
      <c r="E699" cm="1">
        <f t="array" ref="E699">SUM(INDEX(_xlfn._xlws.FILTER(OrderDetails!A699:E2853,OrderDetails!A699:A2853=A699), 0, 3) * INDEX(_xlfn._xlws.FILTER(OrderDetails!A699:E2853,OrderDetails!A699:A2853=A699), 0, 4))</f>
        <v>245</v>
      </c>
      <c r="F699">
        <v>245</v>
      </c>
    </row>
    <row r="700" spans="1:6" x14ac:dyDescent="0.2">
      <c r="A700">
        <v>10946</v>
      </c>
      <c r="E700" cm="1">
        <f t="array" ref="E700">SUM(INDEX(_xlfn._xlws.FILTER(OrderDetails!A700:E2854,OrderDetails!A700:A2854=A700), 0, 3) * INDEX(_xlfn._xlws.FILTER(OrderDetails!A700:E2854,OrderDetails!A700:A2854=A700), 0, 4))</f>
        <v>1407.5</v>
      </c>
      <c r="F700">
        <v>1408</v>
      </c>
    </row>
    <row r="701" spans="1:6" x14ac:dyDescent="0.2">
      <c r="A701">
        <v>10947</v>
      </c>
      <c r="E701" cm="1">
        <f t="array" ref="E701">SUM(INDEX(_xlfn._xlws.FILTER(OrderDetails!A701:E2855,OrderDetails!A701:A2855=A701), 0, 3) * INDEX(_xlfn._xlws.FILTER(OrderDetails!A701:E2855,OrderDetails!A701:A2855=A701), 0, 4))</f>
        <v>220</v>
      </c>
      <c r="F701">
        <v>220</v>
      </c>
    </row>
    <row r="702" spans="1:6" x14ac:dyDescent="0.2">
      <c r="A702">
        <v>10948</v>
      </c>
      <c r="E702" cm="1">
        <f t="array" ref="E702">SUM(INDEX(_xlfn._xlws.FILTER(OrderDetails!A702:E2856,OrderDetails!A702:A2856=A702), 0, 3) * INDEX(_xlfn._xlws.FILTER(OrderDetails!A702:E2856,OrderDetails!A702:A2856=A702), 0, 4))</f>
        <v>2362.25</v>
      </c>
      <c r="F702">
        <v>2362</v>
      </c>
    </row>
    <row r="703" spans="1:6" x14ac:dyDescent="0.2">
      <c r="A703">
        <v>10949</v>
      </c>
      <c r="E703" cm="1">
        <f t="array" ref="E703">SUM(INDEX(_xlfn._xlws.FILTER(OrderDetails!A703:E2857,OrderDetails!A703:A2857=A703), 0, 3) * INDEX(_xlfn._xlws.FILTER(OrderDetails!A703:E2857,OrderDetails!A703:A2857=A703), 0, 4))</f>
        <v>4422</v>
      </c>
      <c r="F703">
        <v>4422</v>
      </c>
    </row>
    <row r="704" spans="1:6" x14ac:dyDescent="0.2">
      <c r="A704">
        <v>10950</v>
      </c>
      <c r="E704" cm="1">
        <f t="array" ref="E704">SUM(INDEX(_xlfn._xlws.FILTER(OrderDetails!A704:E2858,OrderDetails!A704:A2858=A704), 0, 3) * INDEX(_xlfn._xlws.FILTER(OrderDetails!A704:E2858,OrderDetails!A704:A2858=A704), 0, 4))</f>
        <v>110</v>
      </c>
      <c r="F704">
        <v>110</v>
      </c>
    </row>
    <row r="705" spans="1:6" x14ac:dyDescent="0.2">
      <c r="A705">
        <v>10951</v>
      </c>
      <c r="E705" cm="1">
        <f t="array" ref="E705">SUM(INDEX(_xlfn._xlws.FILTER(OrderDetails!A705:E2859,OrderDetails!A705:A2859=A705), 0, 3) * INDEX(_xlfn._xlws.FILTER(OrderDetails!A705:E2859,OrderDetails!A705:A2859=A705), 0, 4))</f>
        <v>482.9</v>
      </c>
      <c r="F705">
        <v>484</v>
      </c>
    </row>
    <row r="706" spans="1:6" x14ac:dyDescent="0.2">
      <c r="A706">
        <v>10952</v>
      </c>
      <c r="E706" cm="1">
        <f t="array" ref="E706">SUM(INDEX(_xlfn._xlws.FILTER(OrderDetails!A706:E2860,OrderDetails!A706:A2860=A706), 0, 3) * INDEX(_xlfn._xlws.FILTER(OrderDetails!A706:E2860,OrderDetails!A706:A2860=A706), 0, 4))</f>
        <v>491.2</v>
      </c>
      <c r="F706">
        <v>491</v>
      </c>
    </row>
    <row r="707" spans="1:6" x14ac:dyDescent="0.2">
      <c r="A707">
        <v>10953</v>
      </c>
      <c r="E707" cm="1">
        <f t="array" ref="E707">SUM(INDEX(_xlfn._xlws.FILTER(OrderDetails!A707:E2861,OrderDetails!A707:A2861=A707), 0, 3) * INDEX(_xlfn._xlws.FILTER(OrderDetails!A707:E2861,OrderDetails!A707:A2861=A707), 0, 4))</f>
        <v>4675</v>
      </c>
      <c r="F707">
        <v>4675</v>
      </c>
    </row>
    <row r="708" spans="1:6" x14ac:dyDescent="0.2">
      <c r="A708">
        <v>10954</v>
      </c>
      <c r="E708" cm="1">
        <f t="array" ref="E708">SUM(INDEX(_xlfn._xlws.FILTER(OrderDetails!A708:E2862,OrderDetails!A708:A2862=A708), 0, 3) * INDEX(_xlfn._xlws.FILTER(OrderDetails!A708:E2862,OrderDetails!A708:A2862=A708), 0, 4))</f>
        <v>1902.1</v>
      </c>
      <c r="F708">
        <v>1903</v>
      </c>
    </row>
    <row r="709" spans="1:6" x14ac:dyDescent="0.2">
      <c r="A709">
        <v>10955</v>
      </c>
      <c r="E709" cm="1">
        <f t="array" ref="E709">SUM(INDEX(_xlfn._xlws.FILTER(OrderDetails!A709:E2863,OrderDetails!A709:A2863=A709), 0, 3) * INDEX(_xlfn._xlws.FILTER(OrderDetails!A709:E2863,OrderDetails!A709:A2863=A709), 0, 4))</f>
        <v>93</v>
      </c>
      <c r="F709">
        <v>93</v>
      </c>
    </row>
    <row r="710" spans="1:6" x14ac:dyDescent="0.2">
      <c r="A710">
        <v>10956</v>
      </c>
      <c r="E710" cm="1">
        <f t="array" ref="E710">SUM(INDEX(_xlfn._xlws.FILTER(OrderDetails!A710:E2864,OrderDetails!A710:A2864=A710), 0, 3) * INDEX(_xlfn._xlws.FILTER(OrderDetails!A710:E2864,OrderDetails!A710:A2864=A710), 0, 4))</f>
        <v>677</v>
      </c>
      <c r="F710">
        <v>677</v>
      </c>
    </row>
    <row r="711" spans="1:6" x14ac:dyDescent="0.2">
      <c r="A711">
        <v>10957</v>
      </c>
      <c r="E711" cm="1">
        <f t="array" ref="E711">SUM(INDEX(_xlfn._xlws.FILTER(OrderDetails!A711:E2865,OrderDetails!A711:A2865=A711), 0, 3) * INDEX(_xlfn._xlws.FILTER(OrderDetails!A711:E2865,OrderDetails!A711:A2865=A711), 0, 4))</f>
        <v>1762.7</v>
      </c>
      <c r="F711">
        <v>1763</v>
      </c>
    </row>
    <row r="712" spans="1:6" x14ac:dyDescent="0.2">
      <c r="A712">
        <v>10958</v>
      </c>
      <c r="E712" cm="1">
        <f t="array" ref="E712">SUM(INDEX(_xlfn._xlws.FILTER(OrderDetails!A712:E2866,OrderDetails!A712:A2866=A712), 0, 3) * INDEX(_xlfn._xlws.FILTER(OrderDetails!A712:E2866,OrderDetails!A712:A2866=A712), 0, 4))</f>
        <v>781</v>
      </c>
      <c r="F712">
        <v>781</v>
      </c>
    </row>
    <row r="713" spans="1:6" x14ac:dyDescent="0.2">
      <c r="A713">
        <v>10959</v>
      </c>
      <c r="E713" cm="1">
        <f t="array" ref="E713">SUM(INDEX(_xlfn._xlws.FILTER(OrderDetails!A713:E2867,OrderDetails!A713:A2867=A713), 0, 3) * INDEX(_xlfn._xlws.FILTER(OrderDetails!A713:E2867,OrderDetails!A713:A2867=A713), 0, 4))</f>
        <v>155</v>
      </c>
      <c r="F713">
        <v>155</v>
      </c>
    </row>
    <row r="714" spans="1:6" x14ac:dyDescent="0.2">
      <c r="A714">
        <v>10960</v>
      </c>
      <c r="E714" cm="1">
        <f t="array" ref="E714">SUM(INDEX(_xlfn._xlws.FILTER(OrderDetails!A714:E2868,OrderDetails!A714:A2868=A714), 0, 3) * INDEX(_xlfn._xlws.FILTER(OrderDetails!A714:E2868,OrderDetails!A714:A2868=A714), 0, 4))</f>
        <v>276.60000000000002</v>
      </c>
      <c r="F714">
        <v>277</v>
      </c>
    </row>
    <row r="715" spans="1:6" x14ac:dyDescent="0.2">
      <c r="A715">
        <v>10961</v>
      </c>
      <c r="E715" cm="1">
        <f t="array" ref="E715">SUM(INDEX(_xlfn._xlws.FILTER(OrderDetails!A715:E2869,OrderDetails!A715:A2869=A715), 0, 3) * INDEX(_xlfn._xlws.FILTER(OrderDetails!A715:E2869,OrderDetails!A715:A2869=A715), 0, 4))</f>
        <v>1122</v>
      </c>
      <c r="F715">
        <v>1122</v>
      </c>
    </row>
    <row r="716" spans="1:6" x14ac:dyDescent="0.2">
      <c r="A716">
        <v>10962</v>
      </c>
      <c r="E716" cm="1">
        <f t="array" ref="E716">SUM(INDEX(_xlfn._xlws.FILTER(OrderDetails!A716:E2870,OrderDetails!A716:A2870=A716), 0, 3) * INDEX(_xlfn._xlws.FILTER(OrderDetails!A716:E2870,OrderDetails!A716:A2870=A716), 0, 4))</f>
        <v>3584</v>
      </c>
      <c r="F716">
        <v>3584</v>
      </c>
    </row>
    <row r="717" spans="1:6" x14ac:dyDescent="0.2">
      <c r="A717">
        <v>10963</v>
      </c>
      <c r="E717" cm="1">
        <f t="array" ref="E717">SUM(INDEX(_xlfn._xlws.FILTER(OrderDetails!A717:E2871,OrderDetails!A717:A2871=A717), 0, 3) * INDEX(_xlfn._xlws.FILTER(OrderDetails!A717:E2871,OrderDetails!A717:A2871=A717), 0, 4))</f>
        <v>68</v>
      </c>
      <c r="F717">
        <v>68</v>
      </c>
    </row>
    <row r="718" spans="1:6" x14ac:dyDescent="0.2">
      <c r="A718">
        <v>10964</v>
      </c>
      <c r="E718" cm="1">
        <f t="array" ref="E718">SUM(INDEX(_xlfn._xlws.FILTER(OrderDetails!A718:E2872,OrderDetails!A718:A2872=A718), 0, 3) * INDEX(_xlfn._xlws.FILTER(OrderDetails!A718:E2872,OrderDetails!A718:A2872=A718), 0, 4))</f>
        <v>2052.5</v>
      </c>
      <c r="F718">
        <v>2052</v>
      </c>
    </row>
    <row r="719" spans="1:6" x14ac:dyDescent="0.2">
      <c r="A719">
        <v>10965</v>
      </c>
      <c r="E719" cm="1">
        <f t="array" ref="E719">SUM(INDEX(_xlfn._xlws.FILTER(OrderDetails!A719:E2873,OrderDetails!A719:A2873=A719), 0, 3) * INDEX(_xlfn._xlws.FILTER(OrderDetails!A719:E2873,OrderDetails!A719:A2873=A719), 0, 4))</f>
        <v>848</v>
      </c>
      <c r="F719">
        <v>848</v>
      </c>
    </row>
    <row r="720" spans="1:6" x14ac:dyDescent="0.2">
      <c r="A720">
        <v>10966</v>
      </c>
      <c r="E720" cm="1">
        <f t="array" ref="E720">SUM(INDEX(_xlfn._xlws.FILTER(OrderDetails!A720:E2874,OrderDetails!A720:A2874=A720), 0, 3) * INDEX(_xlfn._xlws.FILTER(OrderDetails!A720:E2874,OrderDetails!A720:A2874=A720), 0, 4))</f>
        <v>1255.5999999999999</v>
      </c>
      <c r="F720">
        <v>1256</v>
      </c>
    </row>
    <row r="721" spans="1:6" x14ac:dyDescent="0.2">
      <c r="A721">
        <v>10967</v>
      </c>
      <c r="E721" cm="1">
        <f t="array" ref="E721">SUM(INDEX(_xlfn._xlws.FILTER(OrderDetails!A721:E2875,OrderDetails!A721:A2875=A721), 0, 3) * INDEX(_xlfn._xlws.FILTER(OrderDetails!A721:E2875,OrderDetails!A721:A2875=A721), 0, 4))</f>
        <v>910.4</v>
      </c>
      <c r="F721">
        <v>910</v>
      </c>
    </row>
    <row r="722" spans="1:6" x14ac:dyDescent="0.2">
      <c r="A722">
        <v>10968</v>
      </c>
      <c r="E722" cm="1">
        <f t="array" ref="E722">SUM(INDEX(_xlfn._xlws.FILTER(OrderDetails!A722:E2876,OrderDetails!A722:A2876=A722), 0, 3) * INDEX(_xlfn._xlws.FILTER(OrderDetails!A722:E2876,OrderDetails!A722:A2876=A722), 0, 4))</f>
        <v>1408</v>
      </c>
      <c r="F722">
        <v>1408</v>
      </c>
    </row>
    <row r="723" spans="1:6" x14ac:dyDescent="0.2">
      <c r="A723">
        <v>10969</v>
      </c>
      <c r="E723" cm="1">
        <f t="array" ref="E723">SUM(INDEX(_xlfn._xlws.FILTER(OrderDetails!A723:E2877,OrderDetails!A723:A2877=A723), 0, 3) * INDEX(_xlfn._xlws.FILTER(OrderDetails!A723:E2877,OrderDetails!A723:A2877=A723), 0, 4))</f>
        <v>108</v>
      </c>
      <c r="F723">
        <v>108</v>
      </c>
    </row>
    <row r="724" spans="1:6" x14ac:dyDescent="0.2">
      <c r="A724">
        <v>10970</v>
      </c>
      <c r="E724" cm="1">
        <f t="array" ref="E724">SUM(INDEX(_xlfn._xlws.FILTER(OrderDetails!A724:E2878,OrderDetails!A724:A2878=A724), 0, 3) * INDEX(_xlfn._xlws.FILTER(OrderDetails!A724:E2878,OrderDetails!A724:A2878=A724), 0, 4))</f>
        <v>280</v>
      </c>
      <c r="F724">
        <v>280</v>
      </c>
    </row>
    <row r="725" spans="1:6" x14ac:dyDescent="0.2">
      <c r="A725">
        <v>10971</v>
      </c>
      <c r="E725" cm="1">
        <f t="array" ref="E725">SUM(INDEX(_xlfn._xlws.FILTER(OrderDetails!A725:E2879,OrderDetails!A725:A2879=A725), 0, 3) * INDEX(_xlfn._xlws.FILTER(OrderDetails!A725:E2879,OrderDetails!A725:A2879=A725), 0, 4))</f>
        <v>1733.0600000000002</v>
      </c>
      <c r="F725">
        <v>1733</v>
      </c>
    </row>
    <row r="726" spans="1:6" x14ac:dyDescent="0.2">
      <c r="A726">
        <v>10972</v>
      </c>
      <c r="E726" cm="1">
        <f t="array" ref="E726">SUM(INDEX(_xlfn._xlws.FILTER(OrderDetails!A726:E2880,OrderDetails!A726:A2880=A726), 0, 3) * INDEX(_xlfn._xlws.FILTER(OrderDetails!A726:E2880,OrderDetails!A726:A2880=A726), 0, 4))</f>
        <v>251.5</v>
      </c>
      <c r="F726">
        <v>252</v>
      </c>
    </row>
    <row r="727" spans="1:6" x14ac:dyDescent="0.2">
      <c r="A727">
        <v>10973</v>
      </c>
      <c r="E727" cm="1">
        <f t="array" ref="E727">SUM(INDEX(_xlfn._xlws.FILTER(OrderDetails!A727:E2881,OrderDetails!A727:A2881=A727), 0, 3) * INDEX(_xlfn._xlws.FILTER(OrderDetails!A727:E2881,OrderDetails!A727:A2881=A727), 0, 4))</f>
        <v>291.55</v>
      </c>
      <c r="F727">
        <v>292</v>
      </c>
    </row>
    <row r="728" spans="1:6" x14ac:dyDescent="0.2">
      <c r="A728">
        <v>10974</v>
      </c>
      <c r="E728" cm="1">
        <f t="array" ref="E728">SUM(INDEX(_xlfn._xlws.FILTER(OrderDetails!A728:E2882,OrderDetails!A728:A2882=A728), 0, 3) * INDEX(_xlfn._xlws.FILTER(OrderDetails!A728:E2882,OrderDetails!A728:A2882=A728), 0, 4))</f>
        <v>439</v>
      </c>
      <c r="F728">
        <v>439</v>
      </c>
    </row>
    <row r="729" spans="1:6" x14ac:dyDescent="0.2">
      <c r="A729">
        <v>10975</v>
      </c>
      <c r="E729" cm="1">
        <f t="array" ref="E729">SUM(INDEX(_xlfn._xlws.FILTER(OrderDetails!A729:E2883,OrderDetails!A729:A2883=A729), 0, 3) * INDEX(_xlfn._xlws.FILTER(OrderDetails!A729:E2883,OrderDetails!A729:A2883=A729), 0, 4))</f>
        <v>717.5</v>
      </c>
      <c r="F729">
        <v>718</v>
      </c>
    </row>
    <row r="730" spans="1:6" x14ac:dyDescent="0.2">
      <c r="A730">
        <v>10976</v>
      </c>
      <c r="E730" cm="1">
        <f t="array" ref="E730">SUM(INDEX(_xlfn._xlws.FILTER(OrderDetails!A730:E2884,OrderDetails!A730:A2884=A730), 0, 3) * INDEX(_xlfn._xlws.FILTER(OrderDetails!A730:E2884,OrderDetails!A730:A2884=A730), 0, 4))</f>
        <v>912</v>
      </c>
      <c r="F730">
        <v>912</v>
      </c>
    </row>
    <row r="731" spans="1:6" x14ac:dyDescent="0.2">
      <c r="A731">
        <v>10977</v>
      </c>
      <c r="E731" cm="1">
        <f t="array" ref="E731">SUM(INDEX(_xlfn._xlws.FILTER(OrderDetails!A731:E2885,OrderDetails!A731:A2885=A731), 0, 3) * INDEX(_xlfn._xlws.FILTER(OrderDetails!A731:E2885,OrderDetails!A731:A2885=A731), 0, 4))</f>
        <v>2233</v>
      </c>
      <c r="F731">
        <v>2233</v>
      </c>
    </row>
    <row r="732" spans="1:6" x14ac:dyDescent="0.2">
      <c r="A732">
        <v>10978</v>
      </c>
      <c r="E732" cm="1">
        <f t="array" ref="E732">SUM(INDEX(_xlfn._xlws.FILTER(OrderDetails!A732:E2886,OrderDetails!A732:A2886=A732), 0, 3) * INDEX(_xlfn._xlws.FILTER(OrderDetails!A732:E2886,OrderDetails!A732:A2886=A732), 0, 4))</f>
        <v>1500.7</v>
      </c>
      <c r="F732">
        <v>1501</v>
      </c>
    </row>
    <row r="733" spans="1:6" x14ac:dyDescent="0.2">
      <c r="A733">
        <v>10979</v>
      </c>
      <c r="E733" cm="1">
        <f t="array" ref="E733">SUM(INDEX(_xlfn._xlws.FILTER(OrderDetails!A733:E2887,OrderDetails!A733:A2887=A733), 0, 3) * INDEX(_xlfn._xlws.FILTER(OrderDetails!A733:E2887,OrderDetails!A733:A2887=A733), 0, 4))</f>
        <v>4813.5</v>
      </c>
      <c r="F733">
        <v>4814</v>
      </c>
    </row>
    <row r="734" spans="1:6" x14ac:dyDescent="0.2">
      <c r="A734">
        <v>10980</v>
      </c>
      <c r="E734" cm="1">
        <f t="array" ref="E734">SUM(INDEX(_xlfn._xlws.FILTER(OrderDetails!A734:E2888,OrderDetails!A734:A2888=A734), 0, 3) * INDEX(_xlfn._xlws.FILTER(OrderDetails!A734:E2888,OrderDetails!A734:A2888=A734), 0, 4))</f>
        <v>310</v>
      </c>
      <c r="F734">
        <v>310</v>
      </c>
    </row>
    <row r="735" spans="1:6" x14ac:dyDescent="0.2">
      <c r="A735">
        <v>10981</v>
      </c>
      <c r="E735" cm="1">
        <f t="array" ref="E735">SUM(INDEX(_xlfn._xlws.FILTER(OrderDetails!A735:E2889,OrderDetails!A735:A2889=A735), 0, 3) * INDEX(_xlfn._xlws.FILTER(OrderDetails!A735:E2889,OrderDetails!A735:A2889=A735), 0, 4))</f>
        <v>15810</v>
      </c>
      <c r="F735">
        <v>15810</v>
      </c>
    </row>
    <row r="736" spans="1:6" x14ac:dyDescent="0.2">
      <c r="A736">
        <v>10982</v>
      </c>
      <c r="E736" cm="1">
        <f t="array" ref="E736">SUM(INDEX(_xlfn._xlws.FILTER(OrderDetails!A736:E2890,OrderDetails!A736:A2890=A736), 0, 3) * INDEX(_xlfn._xlws.FILTER(OrderDetails!A736:E2890,OrderDetails!A736:A2890=A736), 0, 4))</f>
        <v>1014</v>
      </c>
      <c r="F736">
        <v>1014</v>
      </c>
    </row>
    <row r="737" spans="1:6" x14ac:dyDescent="0.2">
      <c r="A737">
        <v>10983</v>
      </c>
      <c r="E737" cm="1">
        <f t="array" ref="E737">SUM(INDEX(_xlfn._xlws.FILTER(OrderDetails!A737:E2891,OrderDetails!A737:A2891=A737), 0, 3) * INDEX(_xlfn._xlws.FILTER(OrderDetails!A737:E2891,OrderDetails!A737:A2891=A737), 0, 4))</f>
        <v>796.5</v>
      </c>
      <c r="F737">
        <v>796</v>
      </c>
    </row>
    <row r="738" spans="1:6" x14ac:dyDescent="0.2">
      <c r="A738">
        <v>10984</v>
      </c>
      <c r="E738" cm="1">
        <f t="array" ref="E738">SUM(INDEX(_xlfn._xlws.FILTER(OrderDetails!A738:E2892,OrderDetails!A738:A2892=A738), 0, 3) * INDEX(_xlfn._xlws.FILTER(OrderDetails!A738:E2892,OrderDetails!A738:A2892=A738), 0, 4))</f>
        <v>1809.75</v>
      </c>
      <c r="F738">
        <v>1810</v>
      </c>
    </row>
    <row r="739" spans="1:6" x14ac:dyDescent="0.2">
      <c r="A739">
        <v>10985</v>
      </c>
      <c r="E739" cm="1">
        <f t="array" ref="E739">SUM(INDEX(_xlfn._xlws.FILTER(OrderDetails!A739:E2893,OrderDetails!A739:A2893=A739), 0, 3) * INDEX(_xlfn._xlws.FILTER(OrderDetails!A739:E2893,OrderDetails!A739:A2893=A739), 0, 4))</f>
        <v>2248.1999999999998</v>
      </c>
      <c r="F739">
        <v>2248</v>
      </c>
    </row>
    <row r="740" spans="1:6" x14ac:dyDescent="0.2">
      <c r="A740">
        <v>10986</v>
      </c>
      <c r="E740" cm="1">
        <f t="array" ref="E740">SUM(INDEX(_xlfn._xlws.FILTER(OrderDetails!A740:E2894,OrderDetails!A740:A2894=A740), 0, 3) * INDEX(_xlfn._xlws.FILTER(OrderDetails!A740:E2894,OrderDetails!A740:A2894=A740), 0, 4))</f>
        <v>2220</v>
      </c>
      <c r="F740">
        <v>2220</v>
      </c>
    </row>
    <row r="741" spans="1:6" x14ac:dyDescent="0.2">
      <c r="A741">
        <v>10987</v>
      </c>
      <c r="E741" cm="1">
        <f t="array" ref="E741">SUM(INDEX(_xlfn._xlws.FILTER(OrderDetails!A741:E2895,OrderDetails!A741:A2895=A741), 0, 3) * INDEX(_xlfn._xlws.FILTER(OrderDetails!A741:E2895,OrderDetails!A741:A2895=A741), 0, 4))</f>
        <v>2772</v>
      </c>
      <c r="F741">
        <v>2772</v>
      </c>
    </row>
    <row r="742" spans="1:6" x14ac:dyDescent="0.2">
      <c r="A742">
        <v>10988</v>
      </c>
      <c r="E742" cm="1">
        <f t="array" ref="E742">SUM(INDEX(_xlfn._xlws.FILTER(OrderDetails!A742:E2896,OrderDetails!A742:A2896=A742), 0, 3) * INDEX(_xlfn._xlws.FILTER(OrderDetails!A742:E2896,OrderDetails!A742:A2896=A742), 0, 4))</f>
        <v>3772</v>
      </c>
      <c r="F742">
        <v>3772</v>
      </c>
    </row>
    <row r="743" spans="1:6" x14ac:dyDescent="0.2">
      <c r="A743">
        <v>10989</v>
      </c>
      <c r="E743" cm="1">
        <f t="array" ref="E743">SUM(INDEX(_xlfn._xlws.FILTER(OrderDetails!A743:E2897,OrderDetails!A743:A2897=A743), 0, 3) * INDEX(_xlfn._xlws.FILTER(OrderDetails!A743:E2897,OrderDetails!A743:A2897=A743), 0, 4))</f>
        <v>1353.6</v>
      </c>
      <c r="F743">
        <v>1354</v>
      </c>
    </row>
    <row r="744" spans="1:6" x14ac:dyDescent="0.2">
      <c r="A744">
        <v>10990</v>
      </c>
      <c r="E744" cm="1">
        <f t="array" ref="E744">SUM(INDEX(_xlfn._xlws.FILTER(OrderDetails!A744:E2898,OrderDetails!A744:A2898=A744), 0, 3) * INDEX(_xlfn._xlws.FILTER(OrderDetails!A744:E2898,OrderDetails!A744:A2898=A744), 0, 4))</f>
        <v>4931</v>
      </c>
      <c r="F744">
        <v>4931</v>
      </c>
    </row>
    <row r="745" spans="1:6" x14ac:dyDescent="0.2">
      <c r="A745">
        <v>10991</v>
      </c>
      <c r="E745" cm="1">
        <f t="array" ref="E745">SUM(INDEX(_xlfn._xlws.FILTER(OrderDetails!A745:E2899,OrderDetails!A745:A2899=A745), 0, 3) * INDEX(_xlfn._xlws.FILTER(OrderDetails!A745:E2899,OrderDetails!A745:A2899=A745), 0, 4))</f>
        <v>2870</v>
      </c>
      <c r="F745">
        <v>2870</v>
      </c>
    </row>
    <row r="746" spans="1:6" x14ac:dyDescent="0.2">
      <c r="A746">
        <v>10992</v>
      </c>
      <c r="E746" cm="1">
        <f t="array" ref="E746">SUM(INDEX(_xlfn._xlws.FILTER(OrderDetails!A746:E2900,OrderDetails!A746:A2900=A746), 0, 3) * INDEX(_xlfn._xlws.FILTER(OrderDetails!A746:E2900,OrderDetails!A746:A2900=A746), 0, 4))</f>
        <v>69.599999999999994</v>
      </c>
      <c r="F746">
        <v>70</v>
      </c>
    </row>
    <row r="747" spans="1:6" x14ac:dyDescent="0.2">
      <c r="A747">
        <v>10993</v>
      </c>
      <c r="E747" cm="1">
        <f t="array" ref="E747">SUM(INDEX(_xlfn._xlws.FILTER(OrderDetails!A747:E2901,OrderDetails!A747:A2901=A747), 0, 3) * INDEX(_xlfn._xlws.FILTER(OrderDetails!A747:E2901,OrderDetails!A747:A2901=A747), 0, 4))</f>
        <v>6527.25</v>
      </c>
      <c r="F747">
        <v>6528</v>
      </c>
    </row>
    <row r="748" spans="1:6" x14ac:dyDescent="0.2">
      <c r="A748">
        <v>10994</v>
      </c>
      <c r="E748" cm="1">
        <f t="array" ref="E748">SUM(INDEX(_xlfn._xlws.FILTER(OrderDetails!A748:E2902,OrderDetails!A748:A2902=A748), 0, 3) * INDEX(_xlfn._xlws.FILTER(OrderDetails!A748:E2902,OrderDetails!A748:A2902=A748), 0, 4))</f>
        <v>990</v>
      </c>
      <c r="F748">
        <v>990</v>
      </c>
    </row>
    <row r="749" spans="1:6" x14ac:dyDescent="0.2">
      <c r="A749">
        <v>10995</v>
      </c>
      <c r="E749" cm="1">
        <f t="array" ref="E749">SUM(INDEX(_xlfn._xlws.FILTER(OrderDetails!A749:E2903,OrderDetails!A749:A2903=A749), 0, 3) * INDEX(_xlfn._xlws.FILTER(OrderDetails!A749:E2903,OrderDetails!A749:A2903=A749), 0, 4))</f>
        <v>1196</v>
      </c>
      <c r="F749">
        <v>1196</v>
      </c>
    </row>
    <row r="750" spans="1:6" x14ac:dyDescent="0.2">
      <c r="A750">
        <v>10996</v>
      </c>
      <c r="E750" cm="1">
        <f t="array" ref="E750">SUM(INDEX(_xlfn._xlws.FILTER(OrderDetails!A750:E2904,OrderDetails!A750:A2904=A750), 0, 3) * INDEX(_xlfn._xlws.FILTER(OrderDetails!A750:E2904,OrderDetails!A750:A2904=A750), 0, 4))</f>
        <v>560</v>
      </c>
      <c r="F750">
        <v>560</v>
      </c>
    </row>
    <row r="751" spans="1:6" x14ac:dyDescent="0.2">
      <c r="A751">
        <v>10997</v>
      </c>
      <c r="E751" cm="1">
        <f t="array" ref="E751">SUM(INDEX(_xlfn._xlws.FILTER(OrderDetails!A751:E2905,OrderDetails!A751:A2905=A751), 0, 3) * INDEX(_xlfn._xlws.FILTER(OrderDetails!A751:E2905,OrderDetails!A751:A2905=A751), 0, 4))</f>
        <v>1980</v>
      </c>
      <c r="F751">
        <v>1980</v>
      </c>
    </row>
    <row r="752" spans="1:6" x14ac:dyDescent="0.2">
      <c r="A752">
        <v>10998</v>
      </c>
      <c r="E752" cm="1">
        <f t="array" ref="E752">SUM(INDEX(_xlfn._xlws.FILTER(OrderDetails!A752:E2906,OrderDetails!A752:A2906=A752), 0, 3) * INDEX(_xlfn._xlws.FILTER(OrderDetails!A752:E2906,OrderDetails!A752:A2906=A752), 0, 4))</f>
        <v>686</v>
      </c>
      <c r="F752">
        <v>686</v>
      </c>
    </row>
    <row r="753" spans="1:6" x14ac:dyDescent="0.2">
      <c r="A753">
        <v>10999</v>
      </c>
      <c r="E753" cm="1">
        <f t="array" ref="E753">SUM(INDEX(_xlfn._xlws.FILTER(OrderDetails!A753:E2907,OrderDetails!A753:A2907=A753), 0, 3) * INDEX(_xlfn._xlws.FILTER(OrderDetails!A753:E2907,OrderDetails!A753:A2907=A753), 0, 4))</f>
        <v>1261</v>
      </c>
      <c r="F753">
        <v>1261</v>
      </c>
    </row>
    <row r="754" spans="1:6" x14ac:dyDescent="0.2">
      <c r="A754">
        <v>11000</v>
      </c>
      <c r="E754" cm="1">
        <f t="array" ref="E754">SUM(INDEX(_xlfn._xlws.FILTER(OrderDetails!A754:E2908,OrderDetails!A754:A2908=A754), 0, 3) * INDEX(_xlfn._xlws.FILTER(OrderDetails!A754:E2908,OrderDetails!A754:A2908=A754), 0, 4))</f>
        <v>1075</v>
      </c>
      <c r="F754">
        <v>1075</v>
      </c>
    </row>
    <row r="755" spans="1:6" x14ac:dyDescent="0.2">
      <c r="A755">
        <v>11001</v>
      </c>
      <c r="E755" cm="1">
        <f t="array" ref="E755">SUM(INDEX(_xlfn._xlws.FILTER(OrderDetails!A755:E2909,OrderDetails!A755:A2909=A755), 0, 3) * INDEX(_xlfn._xlws.FILTER(OrderDetails!A755:E2909,OrderDetails!A755:A2909=A755), 0, 4))</f>
        <v>2769</v>
      </c>
      <c r="F755">
        <v>2769</v>
      </c>
    </row>
    <row r="756" spans="1:6" x14ac:dyDescent="0.2">
      <c r="A756">
        <v>11002</v>
      </c>
      <c r="E756" cm="1">
        <f t="array" ref="E756">SUM(INDEX(_xlfn._xlws.FILTER(OrderDetails!A756:E2910,OrderDetails!A756:A2910=A756), 0, 3) * INDEX(_xlfn._xlws.FILTER(OrderDetails!A756:E2910,OrderDetails!A756:A2910=A756), 0, 4))</f>
        <v>1902</v>
      </c>
      <c r="F756">
        <v>1902</v>
      </c>
    </row>
    <row r="757" spans="1:6" x14ac:dyDescent="0.2">
      <c r="A757">
        <v>11003</v>
      </c>
      <c r="E757" cm="1">
        <f t="array" ref="E757">SUM(INDEX(_xlfn._xlws.FILTER(OrderDetails!A757:E2911,OrderDetails!A757:A2911=A757), 0, 3) * INDEX(_xlfn._xlws.FILTER(OrderDetails!A757:E2911,OrderDetails!A757:A2911=A757), 0, 4))</f>
        <v>326</v>
      </c>
      <c r="F757">
        <v>326</v>
      </c>
    </row>
    <row r="758" spans="1:6" x14ac:dyDescent="0.2">
      <c r="A758">
        <v>11004</v>
      </c>
      <c r="E758" cm="1">
        <f t="array" ref="E758">SUM(INDEX(_xlfn._xlws.FILTER(OrderDetails!A758:E2912,OrderDetails!A758:A2912=A758), 0, 3) * INDEX(_xlfn._xlws.FILTER(OrderDetails!A758:E2912,OrderDetails!A758:A2912=A758), 0, 4))</f>
        <v>295.38</v>
      </c>
      <c r="F758">
        <v>295</v>
      </c>
    </row>
    <row r="759" spans="1:6" x14ac:dyDescent="0.2">
      <c r="A759">
        <v>11005</v>
      </c>
      <c r="E759" cm="1">
        <f t="array" ref="E759">SUM(INDEX(_xlfn._xlws.FILTER(OrderDetails!A759:E2913,OrderDetails!A759:A2913=A759), 0, 3) * INDEX(_xlfn._xlws.FILTER(OrderDetails!A759:E2913,OrderDetails!A759:A2913=A759), 0, 4))</f>
        <v>586</v>
      </c>
      <c r="F759">
        <v>586</v>
      </c>
    </row>
    <row r="760" spans="1:6" x14ac:dyDescent="0.2">
      <c r="A760">
        <v>11006</v>
      </c>
      <c r="E760" cm="1">
        <f t="array" ref="E760">SUM(INDEX(_xlfn._xlws.FILTER(OrderDetails!A760:E2914,OrderDetails!A760:A2914=A760), 0, 3) * INDEX(_xlfn._xlws.FILTER(OrderDetails!A760:E2914,OrderDetails!A760:A2914=A760), 0, 4))</f>
        <v>391.58000000000004</v>
      </c>
      <c r="F760">
        <v>392</v>
      </c>
    </row>
    <row r="761" spans="1:6" x14ac:dyDescent="0.2">
      <c r="A761">
        <v>11007</v>
      </c>
      <c r="E761" cm="1">
        <f t="array" ref="E761">SUM(INDEX(_xlfn._xlws.FILTER(OrderDetails!A761:E2915,OrderDetails!A761:A2915=A761), 0, 3) * INDEX(_xlfn._xlws.FILTER(OrderDetails!A761:E2915,OrderDetails!A761:A2915=A761), 0, 4))</f>
        <v>2633.9</v>
      </c>
      <c r="F761">
        <v>2634</v>
      </c>
    </row>
    <row r="762" spans="1:6" x14ac:dyDescent="0.2">
      <c r="A762">
        <v>11008</v>
      </c>
      <c r="E762" cm="1">
        <f t="array" ref="E762">SUM(INDEX(_xlfn._xlws.FILTER(OrderDetails!A762:E2916,OrderDetails!A762:A2916=A762), 0, 3) * INDEX(_xlfn._xlws.FILTER(OrderDetails!A762:E2916,OrderDetails!A762:A2916=A762), 0, 4))</f>
        <v>4903.5</v>
      </c>
      <c r="F762">
        <v>4904</v>
      </c>
    </row>
    <row r="763" spans="1:6" x14ac:dyDescent="0.2">
      <c r="A763">
        <v>11009</v>
      </c>
      <c r="E763" cm="1">
        <f t="array" ref="E763">SUM(INDEX(_xlfn._xlws.FILTER(OrderDetails!A763:E2917,OrderDetails!A763:A2917=A763), 0, 3) * INDEX(_xlfn._xlws.FILTER(OrderDetails!A763:E2917,OrderDetails!A763:A2917=A763), 0, 4))</f>
        <v>702</v>
      </c>
      <c r="F763">
        <v>702</v>
      </c>
    </row>
    <row r="764" spans="1:6" x14ac:dyDescent="0.2">
      <c r="A764">
        <v>11010</v>
      </c>
      <c r="E764" cm="1">
        <f t="array" ref="E764">SUM(INDEX(_xlfn._xlws.FILTER(OrderDetails!A764:E2918,OrderDetails!A764:A2918=A764), 0, 3) * INDEX(_xlfn._xlws.FILTER(OrderDetails!A764:E2918,OrderDetails!A764:A2918=A764), 0, 4))</f>
        <v>645</v>
      </c>
      <c r="F764">
        <v>645</v>
      </c>
    </row>
    <row r="765" spans="1:6" x14ac:dyDescent="0.2">
      <c r="A765">
        <v>11011</v>
      </c>
      <c r="E765" cm="1">
        <f t="array" ref="E765">SUM(INDEX(_xlfn._xlws.FILTER(OrderDetails!A765:E2919,OrderDetails!A765:A2919=A765), 0, 3) * INDEX(_xlfn._xlws.FILTER(OrderDetails!A765:E2919,OrderDetails!A765:A2919=A765), 0, 4))</f>
        <v>960</v>
      </c>
      <c r="F765">
        <v>960</v>
      </c>
    </row>
    <row r="766" spans="1:6" x14ac:dyDescent="0.2">
      <c r="A766">
        <v>11012</v>
      </c>
      <c r="E766" cm="1">
        <f t="array" ref="E766">SUM(INDEX(_xlfn._xlws.FILTER(OrderDetails!A766:E2920,OrderDetails!A766:A2920=A766), 0, 3) * INDEX(_xlfn._xlws.FILTER(OrderDetails!A766:E2920,OrderDetails!A766:A2920=A766), 0, 4))</f>
        <v>2974</v>
      </c>
      <c r="F766">
        <v>2974</v>
      </c>
    </row>
    <row r="767" spans="1:6" x14ac:dyDescent="0.2">
      <c r="A767">
        <v>11013</v>
      </c>
      <c r="E767" cm="1">
        <f t="array" ref="E767">SUM(INDEX(_xlfn._xlws.FILTER(OrderDetails!A767:E2921,OrderDetails!A767:A2921=A767), 0, 3) * INDEX(_xlfn._xlws.FILTER(OrderDetails!A767:E2921,OrderDetails!A767:A2921=A767), 0, 4))</f>
        <v>361</v>
      </c>
      <c r="F767">
        <v>361</v>
      </c>
    </row>
    <row r="768" spans="1:6" x14ac:dyDescent="0.2">
      <c r="A768">
        <v>11014</v>
      </c>
      <c r="E768" cm="1">
        <f t="array" ref="E768">SUM(INDEX(_xlfn._xlws.FILTER(OrderDetails!A768:E2922,OrderDetails!A768:A2922=A768), 0, 3) * INDEX(_xlfn._xlws.FILTER(OrderDetails!A768:E2922,OrderDetails!A768:A2922=A768), 0, 4))</f>
        <v>270.2</v>
      </c>
      <c r="F768">
        <v>270</v>
      </c>
    </row>
    <row r="769" spans="1:6" x14ac:dyDescent="0.2">
      <c r="A769">
        <v>11015</v>
      </c>
      <c r="E769" cm="1">
        <f t="array" ref="E769">SUM(INDEX(_xlfn._xlws.FILTER(OrderDetails!A769:E2923,OrderDetails!A769:A2923=A769), 0, 3) * INDEX(_xlfn._xlws.FILTER(OrderDetails!A769:E2923,OrderDetails!A769:A2923=A769), 0, 4))</f>
        <v>622.35</v>
      </c>
      <c r="F769">
        <v>622</v>
      </c>
    </row>
    <row r="770" spans="1:6" x14ac:dyDescent="0.2">
      <c r="A770">
        <v>11016</v>
      </c>
      <c r="E770" cm="1">
        <f t="array" ref="E770">SUM(INDEX(_xlfn._xlws.FILTER(OrderDetails!A770:E2924,OrderDetails!A770:A2924=A770), 0, 3) * INDEX(_xlfn._xlws.FILTER(OrderDetails!A770:E2924,OrderDetails!A770:A2924=A770), 0, 4))</f>
        <v>491.5</v>
      </c>
      <c r="F770">
        <v>492</v>
      </c>
    </row>
    <row r="771" spans="1:6" x14ac:dyDescent="0.2">
      <c r="A771">
        <v>11017</v>
      </c>
      <c r="E771" cm="1">
        <f t="array" ref="E771">SUM(INDEX(_xlfn._xlws.FILTER(OrderDetails!A771:E2925,OrderDetails!A771:A2925=A771), 0, 3) * INDEX(_xlfn._xlws.FILTER(OrderDetails!A771:E2925,OrderDetails!A771:A2925=A771), 0, 4))</f>
        <v>6750</v>
      </c>
      <c r="F771">
        <v>6750</v>
      </c>
    </row>
    <row r="772" spans="1:6" x14ac:dyDescent="0.2">
      <c r="A772">
        <v>11018</v>
      </c>
      <c r="E772" cm="1">
        <f t="array" ref="E772">SUM(INDEX(_xlfn._xlws.FILTER(OrderDetails!A772:E2926,OrderDetails!A772:A2926=A772), 0, 3) * INDEX(_xlfn._xlws.FILTER(OrderDetails!A772:E2926,OrderDetails!A772:A2926=A772), 0, 4))</f>
        <v>1575</v>
      </c>
      <c r="F772">
        <v>1575</v>
      </c>
    </row>
    <row r="773" spans="1:6" x14ac:dyDescent="0.2">
      <c r="A773">
        <v>11019</v>
      </c>
      <c r="E773" cm="1">
        <f t="array" ref="E773">SUM(INDEX(_xlfn._xlws.FILTER(OrderDetails!A773:E2927,OrderDetails!A773:A2927=A773), 0, 3) * INDEX(_xlfn._xlws.FILTER(OrderDetails!A773:E2927,OrderDetails!A773:A2927=A773), 0, 4))</f>
        <v>76</v>
      </c>
      <c r="F773">
        <v>76</v>
      </c>
    </row>
    <row r="774" spans="1:6" x14ac:dyDescent="0.2">
      <c r="A774">
        <v>11020</v>
      </c>
      <c r="E774" cm="1">
        <f t="array" ref="E774">SUM(INDEX(_xlfn._xlws.FILTER(OrderDetails!A774:E2928,OrderDetails!A774:A2928=A774), 0, 3) * INDEX(_xlfn._xlws.FILTER(OrderDetails!A774:E2928,OrderDetails!A774:A2928=A774), 0, 4))</f>
        <v>744</v>
      </c>
      <c r="F774">
        <v>744</v>
      </c>
    </row>
    <row r="775" spans="1:6" x14ac:dyDescent="0.2">
      <c r="A775">
        <v>11021</v>
      </c>
      <c r="E775" cm="1">
        <f t="array" ref="E775">SUM(INDEX(_xlfn._xlws.FILTER(OrderDetails!A775:E2929,OrderDetails!A775:A2929=A775), 0, 3) * INDEX(_xlfn._xlws.FILTER(OrderDetails!A775:E2929,OrderDetails!A775:A2929=A775), 0, 4))</f>
        <v>6941.49</v>
      </c>
      <c r="F775">
        <v>6941</v>
      </c>
    </row>
    <row r="776" spans="1:6" x14ac:dyDescent="0.2">
      <c r="A776">
        <v>11022</v>
      </c>
      <c r="E776" cm="1">
        <f t="array" ref="E776">SUM(INDEX(_xlfn._xlws.FILTER(OrderDetails!A776:E2930,OrderDetails!A776:A2930=A776), 0, 3) * INDEX(_xlfn._xlws.FILTER(OrderDetails!A776:E2930,OrderDetails!A776:A2930=A776), 0, 4))</f>
        <v>1402</v>
      </c>
      <c r="F776">
        <v>1402</v>
      </c>
    </row>
    <row r="777" spans="1:6" x14ac:dyDescent="0.2">
      <c r="A777">
        <v>11023</v>
      </c>
      <c r="E777" cm="1">
        <f t="array" ref="E777">SUM(INDEX(_xlfn._xlws.FILTER(OrderDetails!A777:E2931,OrderDetails!A777:A2931=A777), 0, 3) * INDEX(_xlfn._xlws.FILTER(OrderDetails!A777:E2931,OrderDetails!A777:A2931=A777), 0, 4))</f>
        <v>1500</v>
      </c>
      <c r="F777">
        <v>1500</v>
      </c>
    </row>
    <row r="778" spans="1:6" x14ac:dyDescent="0.2">
      <c r="A778">
        <v>11024</v>
      </c>
      <c r="E778" cm="1">
        <f t="array" ref="E778">SUM(INDEX(_xlfn._xlws.FILTER(OrderDetails!A778:E2932,OrderDetails!A778:A2932=A778), 0, 3) * INDEX(_xlfn._xlws.FILTER(OrderDetails!A778:E2932,OrderDetails!A778:A2932=A778), 0, 4))</f>
        <v>1966.81</v>
      </c>
      <c r="F778">
        <v>1967</v>
      </c>
    </row>
    <row r="779" spans="1:6" x14ac:dyDescent="0.2">
      <c r="A779">
        <v>11025</v>
      </c>
      <c r="E779" cm="1">
        <f t="array" ref="E779">SUM(INDEX(_xlfn._xlws.FILTER(OrderDetails!A779:E2933,OrderDetails!A779:A2933=A779), 0, 3) * INDEX(_xlfn._xlws.FILTER(OrderDetails!A779:E2933,OrderDetails!A779:A2933=A779), 0, 4))</f>
        <v>300</v>
      </c>
      <c r="F779">
        <v>300</v>
      </c>
    </row>
    <row r="780" spans="1:6" x14ac:dyDescent="0.2">
      <c r="A780">
        <v>11026</v>
      </c>
      <c r="E780" cm="1">
        <f t="array" ref="E780">SUM(INDEX(_xlfn._xlws.FILTER(OrderDetails!A780:E2934,OrderDetails!A780:A2934=A780), 0, 3) * INDEX(_xlfn._xlws.FILTER(OrderDetails!A780:E2934,OrderDetails!A780:A2934=A780), 0, 4))</f>
        <v>1030</v>
      </c>
      <c r="F780">
        <v>1030</v>
      </c>
    </row>
    <row r="781" spans="1:6" x14ac:dyDescent="0.2">
      <c r="A781">
        <v>11027</v>
      </c>
      <c r="E781" cm="1">
        <f t="array" ref="E781">SUM(INDEX(_xlfn._xlws.FILTER(OrderDetails!A781:E2935,OrderDetails!A781:A2935=A781), 0, 3) * INDEX(_xlfn._xlws.FILTER(OrderDetails!A781:E2935,OrderDetails!A781:A2935=A781), 0, 4))</f>
        <v>1170.3</v>
      </c>
      <c r="F781">
        <v>1170</v>
      </c>
    </row>
    <row r="782" spans="1:6" x14ac:dyDescent="0.2">
      <c r="A782">
        <v>11028</v>
      </c>
      <c r="E782" cm="1">
        <f t="array" ref="E782">SUM(INDEX(_xlfn._xlws.FILTER(OrderDetails!A782:E2936,OrderDetails!A782:A2936=A782), 0, 3) * INDEX(_xlfn._xlws.FILTER(OrderDetails!A782:E2936,OrderDetails!A782:A2936=A782), 0, 4))</f>
        <v>2160</v>
      </c>
      <c r="F782">
        <v>2160</v>
      </c>
    </row>
    <row r="783" spans="1:6" x14ac:dyDescent="0.2">
      <c r="A783">
        <v>11029</v>
      </c>
      <c r="E783" cm="1">
        <f t="array" ref="E783">SUM(INDEX(_xlfn._xlws.FILTER(OrderDetails!A783:E2937,OrderDetails!A783:A2937=A783), 0, 3) * INDEX(_xlfn._xlws.FILTER(OrderDetails!A783:E2937,OrderDetails!A783:A2937=A783), 0, 4))</f>
        <v>1286.8</v>
      </c>
      <c r="F783">
        <v>1287</v>
      </c>
    </row>
    <row r="784" spans="1:6" x14ac:dyDescent="0.2">
      <c r="A784">
        <v>11030</v>
      </c>
      <c r="E784" cm="1">
        <f t="array" ref="E784">SUM(INDEX(_xlfn._xlws.FILTER(OrderDetails!A784:E2938,OrderDetails!A784:A2938=A784), 0, 3) * INDEX(_xlfn._xlws.FILTER(OrderDetails!A784:E2938,OrderDetails!A784:A2938=A784), 0, 4))</f>
        <v>16321.900000000001</v>
      </c>
      <c r="F784">
        <v>16321</v>
      </c>
    </row>
    <row r="785" spans="1:6" x14ac:dyDescent="0.2">
      <c r="A785">
        <v>11031</v>
      </c>
      <c r="E785" cm="1">
        <f t="array" ref="E785">SUM(INDEX(_xlfn._xlws.FILTER(OrderDetails!A785:E2939,OrderDetails!A785:A2939=A785), 0, 3) * INDEX(_xlfn._xlws.FILTER(OrderDetails!A785:E2939,OrderDetails!A785:A2939=A785), 0, 4))</f>
        <v>2393.5</v>
      </c>
      <c r="F785">
        <v>2393</v>
      </c>
    </row>
    <row r="786" spans="1:6" x14ac:dyDescent="0.2">
      <c r="A786">
        <v>11032</v>
      </c>
      <c r="E786" cm="1">
        <f t="array" ref="E786">SUM(INDEX(_xlfn._xlws.FILTER(OrderDetails!A786:E2940,OrderDetails!A786:A2940=A786), 0, 3) * INDEX(_xlfn._xlws.FILTER(OrderDetails!A786:E2940,OrderDetails!A786:A2940=A786), 0, 4))</f>
        <v>8902.5</v>
      </c>
      <c r="F786">
        <v>8902</v>
      </c>
    </row>
    <row r="787" spans="1:6" x14ac:dyDescent="0.2">
      <c r="A787">
        <v>11033</v>
      </c>
      <c r="E787" cm="1">
        <f t="array" ref="E787">SUM(INDEX(_xlfn._xlws.FILTER(OrderDetails!A787:E2941,OrderDetails!A787:A2941=A787), 0, 3) * INDEX(_xlfn._xlws.FILTER(OrderDetails!A787:E2941,OrderDetails!A787:A2941=A787), 0, 4))</f>
        <v>3592</v>
      </c>
      <c r="F787">
        <v>3592</v>
      </c>
    </row>
    <row r="788" spans="1:6" x14ac:dyDescent="0.2">
      <c r="A788">
        <v>11034</v>
      </c>
      <c r="E788" cm="1">
        <f t="array" ref="E788">SUM(INDEX(_xlfn._xlws.FILTER(OrderDetails!A788:E2942,OrderDetails!A788:A2942=A788), 0, 3) * INDEX(_xlfn._xlws.FILTER(OrderDetails!A788:E2942,OrderDetails!A788:A2942=A788), 0, 4))</f>
        <v>554.4</v>
      </c>
      <c r="F788">
        <v>554</v>
      </c>
    </row>
    <row r="789" spans="1:6" x14ac:dyDescent="0.2">
      <c r="A789">
        <v>11035</v>
      </c>
      <c r="E789" cm="1">
        <f t="array" ref="E789">SUM(INDEX(_xlfn._xlws.FILTER(OrderDetails!A789:E2943,OrderDetails!A789:A2943=A789), 0, 3) * INDEX(_xlfn._xlws.FILTER(OrderDetails!A789:E2943,OrderDetails!A789:A2943=A789), 0, 4))</f>
        <v>1754.5</v>
      </c>
      <c r="F789">
        <v>1754</v>
      </c>
    </row>
    <row r="790" spans="1:6" x14ac:dyDescent="0.2">
      <c r="A790">
        <v>11036</v>
      </c>
      <c r="E790" cm="1">
        <f t="array" ref="E790">SUM(INDEX(_xlfn._xlws.FILTER(OrderDetails!A790:E2944,OrderDetails!A790:A2944=A790), 0, 3) * INDEX(_xlfn._xlws.FILTER(OrderDetails!A790:E2944,OrderDetails!A790:A2944=A790), 0, 4))</f>
        <v>1692</v>
      </c>
      <c r="F790">
        <v>1692</v>
      </c>
    </row>
    <row r="791" spans="1:6" x14ac:dyDescent="0.2">
      <c r="A791">
        <v>11037</v>
      </c>
      <c r="E791" cm="1">
        <f t="array" ref="E791">SUM(INDEX(_xlfn._xlws.FILTER(OrderDetails!A791:E2945,OrderDetails!A791:A2945=A791), 0, 3) * INDEX(_xlfn._xlws.FILTER(OrderDetails!A791:E2945,OrderDetails!A791:A2945=A791), 0, 4))</f>
        <v>60</v>
      </c>
      <c r="F791">
        <v>60</v>
      </c>
    </row>
    <row r="792" spans="1:6" x14ac:dyDescent="0.2">
      <c r="A792">
        <v>11038</v>
      </c>
      <c r="E792" cm="1">
        <f t="array" ref="E792">SUM(INDEX(_xlfn._xlws.FILTER(OrderDetails!A792:E2946,OrderDetails!A792:A2946=A792), 0, 3) * INDEX(_xlfn._xlws.FILTER(OrderDetails!A792:E2946,OrderDetails!A792:A2946=A792), 0, 4))</f>
        <v>751</v>
      </c>
      <c r="F792">
        <v>751</v>
      </c>
    </row>
    <row r="793" spans="1:6" x14ac:dyDescent="0.2">
      <c r="A793">
        <v>11039</v>
      </c>
      <c r="E793" cm="1">
        <f t="array" ref="E793">SUM(INDEX(_xlfn._xlws.FILTER(OrderDetails!A793:E2947,OrderDetails!A793:A2947=A793), 0, 3) * INDEX(_xlfn._xlws.FILTER(OrderDetails!A793:E2947,OrderDetails!A793:A2947=A793), 0, 4))</f>
        <v>3090</v>
      </c>
      <c r="F793">
        <v>3090</v>
      </c>
    </row>
    <row r="794" spans="1:6" x14ac:dyDescent="0.2">
      <c r="A794">
        <v>11040</v>
      </c>
      <c r="E794" cm="1">
        <f t="array" ref="E794">SUM(INDEX(_xlfn._xlws.FILTER(OrderDetails!A794:E2948,OrderDetails!A794:A2948=A794), 0, 3) * INDEX(_xlfn._xlws.FILTER(OrderDetails!A794:E2948,OrderDetails!A794:A2948=A794), 0, 4))</f>
        <v>200</v>
      </c>
      <c r="F794">
        <v>200</v>
      </c>
    </row>
    <row r="795" spans="1:6" x14ac:dyDescent="0.2">
      <c r="A795">
        <v>11041</v>
      </c>
      <c r="E795" cm="1">
        <f t="array" ref="E795">SUM(INDEX(_xlfn._xlws.FILTER(OrderDetails!A795:E2949,OrderDetails!A795:A2949=A795), 0, 3) * INDEX(_xlfn._xlws.FILTER(OrderDetails!A795:E2949,OrderDetails!A795:A2949=A795), 0, 4))</f>
        <v>1887</v>
      </c>
      <c r="F795">
        <v>1887</v>
      </c>
    </row>
    <row r="796" spans="1:6" x14ac:dyDescent="0.2">
      <c r="A796">
        <v>11042</v>
      </c>
      <c r="E796" cm="1">
        <f t="array" ref="E796">SUM(INDEX(_xlfn._xlws.FILTER(OrderDetails!A796:E2950,OrderDetails!A796:A2950=A796), 0, 3) * INDEX(_xlfn._xlws.FILTER(OrderDetails!A796:E2950,OrderDetails!A796:A2950=A796), 0, 4))</f>
        <v>405.75</v>
      </c>
      <c r="F796">
        <v>406</v>
      </c>
    </row>
    <row r="797" spans="1:6" x14ac:dyDescent="0.2">
      <c r="A797">
        <v>11043</v>
      </c>
      <c r="E797" cm="1">
        <f t="array" ref="E797">SUM(INDEX(_xlfn._xlws.FILTER(OrderDetails!A797:E2951,OrderDetails!A797:A2951=A797), 0, 3) * INDEX(_xlfn._xlws.FILTER(OrderDetails!A797:E2951,OrderDetails!A797:A2951=A797), 0, 4))</f>
        <v>210</v>
      </c>
      <c r="F797">
        <v>210</v>
      </c>
    </row>
    <row r="798" spans="1:6" x14ac:dyDescent="0.2">
      <c r="A798">
        <v>11044</v>
      </c>
      <c r="E798" cm="1">
        <f t="array" ref="E798">SUM(INDEX(_xlfn._xlws.FILTER(OrderDetails!A798:E2952,OrderDetails!A798:A2952=A798), 0, 3) * INDEX(_xlfn._xlws.FILTER(OrderDetails!A798:E2952,OrderDetails!A798:A2952=A798), 0, 4))</f>
        <v>591.59999999999991</v>
      </c>
      <c r="F798">
        <v>592</v>
      </c>
    </row>
    <row r="799" spans="1:6" x14ac:dyDescent="0.2">
      <c r="A799">
        <v>11045</v>
      </c>
      <c r="E799" cm="1">
        <f t="array" ref="E799">SUM(INDEX(_xlfn._xlws.FILTER(OrderDetails!A799:E2953,OrderDetails!A799:A2953=A799), 0, 3) * INDEX(_xlfn._xlws.FILTER(OrderDetails!A799:E2953,OrderDetails!A799:A2953=A799), 0, 4))</f>
        <v>1309.5</v>
      </c>
      <c r="F799">
        <v>1310</v>
      </c>
    </row>
    <row r="800" spans="1:6" x14ac:dyDescent="0.2">
      <c r="A800">
        <v>11046</v>
      </c>
      <c r="E800" cm="1">
        <f t="array" ref="E800">SUM(INDEX(_xlfn._xlws.FILTER(OrderDetails!A800:E2954,OrderDetails!A800:A2954=A800), 0, 3) * INDEX(_xlfn._xlws.FILTER(OrderDetails!A800:E2954,OrderDetails!A800:A2954=A800), 0, 4))</f>
        <v>1564</v>
      </c>
      <c r="F800">
        <v>1564</v>
      </c>
    </row>
    <row r="801" spans="1:6" x14ac:dyDescent="0.2">
      <c r="A801">
        <v>11047</v>
      </c>
      <c r="E801" cm="1">
        <f t="array" ref="E801">SUM(INDEX(_xlfn._xlws.FILTER(OrderDetails!A801:E2955,OrderDetails!A801:A2955=A801), 0, 3) * INDEX(_xlfn._xlws.FILTER(OrderDetails!A801:E2955,OrderDetails!A801:A2955=A801), 0, 4))</f>
        <v>1090.5</v>
      </c>
      <c r="F801">
        <v>1090</v>
      </c>
    </row>
    <row r="802" spans="1:6" x14ac:dyDescent="0.2">
      <c r="A802">
        <v>11048</v>
      </c>
      <c r="E802" cm="1">
        <f t="array" ref="E802">SUM(INDEX(_xlfn._xlws.FILTER(OrderDetails!A802:E2956,OrderDetails!A802:A2956=A802), 0, 3) * INDEX(_xlfn._xlws.FILTER(OrderDetails!A802:E2956,OrderDetails!A802:A2956=A802), 0, 4))</f>
        <v>525</v>
      </c>
      <c r="F802">
        <v>525</v>
      </c>
    </row>
    <row r="803" spans="1:6" x14ac:dyDescent="0.2">
      <c r="A803">
        <v>11049</v>
      </c>
      <c r="E803" cm="1">
        <f t="array" ref="E803">SUM(INDEX(_xlfn._xlws.FILTER(OrderDetails!A803:E2957,OrderDetails!A803:A2957=A803), 0, 3) * INDEX(_xlfn._xlws.FILTER(OrderDetails!A803:E2957,OrderDetails!A803:A2957=A803), 0, 4))</f>
        <v>342</v>
      </c>
      <c r="F803">
        <v>342</v>
      </c>
    </row>
    <row r="804" spans="1:6" x14ac:dyDescent="0.2">
      <c r="A804">
        <v>11050</v>
      </c>
      <c r="E804" cm="1">
        <f t="array" ref="E804">SUM(INDEX(_xlfn._xlws.FILTER(OrderDetails!A804:E2958,OrderDetails!A804:A2958=A804), 0, 3) * INDEX(_xlfn._xlws.FILTER(OrderDetails!A804:E2958,OrderDetails!A804:A2958=A804), 0, 4))</f>
        <v>900</v>
      </c>
      <c r="F804">
        <v>900</v>
      </c>
    </row>
    <row r="805" spans="1:6" x14ac:dyDescent="0.2">
      <c r="A805">
        <v>11051</v>
      </c>
      <c r="E805" cm="1">
        <f t="array" ref="E805">SUM(INDEX(_xlfn._xlws.FILTER(OrderDetails!A805:E2959,OrderDetails!A805:A2959=A805), 0, 3) * INDEX(_xlfn._xlws.FILTER(OrderDetails!A805:E2959,OrderDetails!A805:A2959=A805), 0, 4))</f>
        <v>45</v>
      </c>
      <c r="F805">
        <v>45</v>
      </c>
    </row>
    <row r="806" spans="1:6" x14ac:dyDescent="0.2">
      <c r="A806">
        <v>11052</v>
      </c>
      <c r="E806" cm="1">
        <f t="array" ref="E806">SUM(INDEX(_xlfn._xlws.FILTER(OrderDetails!A806:E2960,OrderDetails!A806:A2960=A806), 0, 3) * INDEX(_xlfn._xlws.FILTER(OrderDetails!A806:E2960,OrderDetails!A806:A2960=A806), 0, 4))</f>
        <v>1665</v>
      </c>
      <c r="F806">
        <v>1665</v>
      </c>
    </row>
    <row r="807" spans="1:6" x14ac:dyDescent="0.2">
      <c r="A807">
        <v>11053</v>
      </c>
      <c r="E807" cm="1">
        <f t="array" ref="E807">SUM(INDEX(_xlfn._xlws.FILTER(OrderDetails!A807:E2961,OrderDetails!A807:A2961=A807), 0, 3) * INDEX(_xlfn._xlws.FILTER(OrderDetails!A807:E2961,OrderDetails!A807:A2961=A807), 0, 4))</f>
        <v>3658.75</v>
      </c>
      <c r="F807">
        <v>3659</v>
      </c>
    </row>
    <row r="808" spans="1:6" x14ac:dyDescent="0.2">
      <c r="A808">
        <v>11054</v>
      </c>
      <c r="E808" cm="1">
        <f t="array" ref="E808">SUM(INDEX(_xlfn._xlws.FILTER(OrderDetails!A808:E2962,OrderDetails!A808:A2962=A808), 0, 3) * INDEX(_xlfn._xlws.FILTER(OrderDetails!A808:E2962,OrderDetails!A808:A2962=A808), 0, 4))</f>
        <v>305</v>
      </c>
      <c r="F808">
        <v>305</v>
      </c>
    </row>
    <row r="809" spans="1:6" x14ac:dyDescent="0.2">
      <c r="A809">
        <v>11055</v>
      </c>
      <c r="E809" cm="1">
        <f t="array" ref="E809">SUM(INDEX(_xlfn._xlws.FILTER(OrderDetails!A809:E2963,OrderDetails!A809:A2963=A809), 0, 3) * INDEX(_xlfn._xlws.FILTER(OrderDetails!A809:E2963,OrderDetails!A809:A2963=A809), 0, 4))</f>
        <v>1727.5</v>
      </c>
      <c r="F809">
        <v>1728</v>
      </c>
    </row>
    <row r="810" spans="1:6" x14ac:dyDescent="0.2">
      <c r="A810">
        <v>11056</v>
      </c>
      <c r="E810" cm="1">
        <f t="array" ref="E810">SUM(INDEX(_xlfn._xlws.FILTER(OrderDetails!A810:E2964,OrderDetails!A810:A2964=A810), 0, 3) * INDEX(_xlfn._xlws.FILTER(OrderDetails!A810:E2964,OrderDetails!A810:A2964=A810), 0, 4))</f>
        <v>3740</v>
      </c>
      <c r="F810">
        <v>3740</v>
      </c>
    </row>
    <row r="811" spans="1:6" x14ac:dyDescent="0.2">
      <c r="A811">
        <v>11057</v>
      </c>
      <c r="E811" cm="1">
        <f t="array" ref="E811">SUM(INDEX(_xlfn._xlws.FILTER(OrderDetails!A811:E2965,OrderDetails!A811:A2965=A811), 0, 3) * INDEX(_xlfn._xlws.FILTER(OrderDetails!A811:E2965,OrderDetails!A811:A2965=A811), 0, 4))</f>
        <v>45</v>
      </c>
      <c r="F811">
        <v>45</v>
      </c>
    </row>
    <row r="812" spans="1:6" x14ac:dyDescent="0.2">
      <c r="A812">
        <v>11058</v>
      </c>
      <c r="E812" cm="1">
        <f t="array" ref="E812">SUM(INDEX(_xlfn._xlws.FILTER(OrderDetails!A812:E2966,OrderDetails!A812:A2966=A812), 0, 3) * INDEX(_xlfn._xlws.FILTER(OrderDetails!A812:E2966,OrderDetails!A812:A2966=A812), 0, 4))</f>
        <v>858</v>
      </c>
      <c r="F812">
        <v>858</v>
      </c>
    </row>
    <row r="813" spans="1:6" x14ac:dyDescent="0.2">
      <c r="A813">
        <v>11059</v>
      </c>
      <c r="E813" cm="1">
        <f t="array" ref="E813">SUM(INDEX(_xlfn._xlws.FILTER(OrderDetails!A813:E2967,OrderDetails!A813:A2967=A813), 0, 3) * INDEX(_xlfn._xlws.FILTER(OrderDetails!A813:E2967,OrderDetails!A813:A2967=A813), 0, 4))</f>
        <v>1838</v>
      </c>
      <c r="F813">
        <v>1838</v>
      </c>
    </row>
    <row r="814" spans="1:6" x14ac:dyDescent="0.2">
      <c r="A814">
        <v>11060</v>
      </c>
      <c r="E814" cm="1">
        <f t="array" ref="E814">SUM(INDEX(_xlfn._xlws.FILTER(OrderDetails!A814:E2968,OrderDetails!A814:A2968=A814), 0, 3) * INDEX(_xlfn._xlws.FILTER(OrderDetails!A814:E2968,OrderDetails!A814:A2968=A814), 0, 4))</f>
        <v>266</v>
      </c>
      <c r="F814">
        <v>266</v>
      </c>
    </row>
    <row r="815" spans="1:6" x14ac:dyDescent="0.2">
      <c r="A815">
        <v>11061</v>
      </c>
      <c r="E815" cm="1">
        <f t="array" ref="E815">SUM(INDEX(_xlfn._xlws.FILTER(OrderDetails!A815:E2969,OrderDetails!A815:A2969=A815), 0, 3) * INDEX(_xlfn._xlws.FILTER(OrderDetails!A815:E2969,OrderDetails!A815:A2969=A815), 0, 4))</f>
        <v>510</v>
      </c>
      <c r="F815">
        <v>510</v>
      </c>
    </row>
    <row r="816" spans="1:6" x14ac:dyDescent="0.2">
      <c r="A816">
        <v>11062</v>
      </c>
      <c r="E816" cm="1">
        <f t="array" ref="E816">SUM(INDEX(_xlfn._xlws.FILTER(OrderDetails!A816:E2970,OrderDetails!A816:A2970=A816), 0, 3) * INDEX(_xlfn._xlws.FILTER(OrderDetails!A816:E2970,OrderDetails!A816:A2970=A816), 0, 4))</f>
        <v>508</v>
      </c>
      <c r="F816">
        <v>508</v>
      </c>
    </row>
    <row r="817" spans="1:6" x14ac:dyDescent="0.2">
      <c r="A817">
        <v>11063</v>
      </c>
      <c r="E817" cm="1">
        <f t="array" ref="E817">SUM(INDEX(_xlfn._xlws.FILTER(OrderDetails!A817:E2971,OrderDetails!A817:A2971=A817), 0, 3) * INDEX(_xlfn._xlws.FILTER(OrderDetails!A817:E2971,OrderDetails!A817:A2971=A817), 0, 4))</f>
        <v>1445.5</v>
      </c>
      <c r="F817">
        <v>1446</v>
      </c>
    </row>
    <row r="818" spans="1:6" x14ac:dyDescent="0.2">
      <c r="A818">
        <v>11064</v>
      </c>
      <c r="E818" cm="1">
        <f t="array" ref="E818">SUM(INDEX(_xlfn._xlws.FILTER(OrderDetails!A818:E2972,OrderDetails!A818:A2972=A818), 0, 3) * INDEX(_xlfn._xlws.FILTER(OrderDetails!A818:E2972,OrderDetails!A818:A2972=A818), 0, 4))</f>
        <v>4722.3</v>
      </c>
      <c r="F818">
        <v>4722</v>
      </c>
    </row>
    <row r="819" spans="1:6" x14ac:dyDescent="0.2">
      <c r="A819">
        <v>11065</v>
      </c>
      <c r="E819" cm="1">
        <f t="array" ref="E819">SUM(INDEX(_xlfn._xlws.FILTER(OrderDetails!A819:E2973,OrderDetails!A819:A2973=A819), 0, 3) * INDEX(_xlfn._xlws.FILTER(OrderDetails!A819:E2973,OrderDetails!A819:A2973=A819), 0, 4))</f>
        <v>252.56</v>
      </c>
      <c r="F819">
        <v>253</v>
      </c>
    </row>
    <row r="820" spans="1:6" x14ac:dyDescent="0.2">
      <c r="A820">
        <v>11066</v>
      </c>
      <c r="E820" cm="1">
        <f t="array" ref="E820">SUM(INDEX(_xlfn._xlws.FILTER(OrderDetails!A820:E2974,OrderDetails!A820:A2974=A820), 0, 3) * INDEX(_xlfn._xlws.FILTER(OrderDetails!A820:E2974,OrderDetails!A820:A2974=A820), 0, 4))</f>
        <v>928.75</v>
      </c>
      <c r="F820">
        <v>928</v>
      </c>
    </row>
    <row r="821" spans="1:6" x14ac:dyDescent="0.2">
      <c r="A821">
        <v>11067</v>
      </c>
      <c r="E821" cm="1">
        <f t="array" ref="E821">SUM(INDEX(_xlfn._xlws.FILTER(OrderDetails!A821:E2975,OrderDetails!A821:A2975=A821), 0, 3) * INDEX(_xlfn._xlws.FILTER(OrderDetails!A821:E2975,OrderDetails!A821:A2975=A821), 0, 4))</f>
        <v>86.850000000000009</v>
      </c>
      <c r="F821">
        <v>87</v>
      </c>
    </row>
    <row r="822" spans="1:6" x14ac:dyDescent="0.2">
      <c r="A822">
        <v>11068</v>
      </c>
      <c r="E822" cm="1">
        <f t="array" ref="E822">SUM(INDEX(_xlfn._xlws.FILTER(OrderDetails!A822:E2976,OrderDetails!A822:A2976=A822), 0, 3) * INDEX(_xlfn._xlws.FILTER(OrderDetails!A822:E2976,OrderDetails!A822:A2976=A822), 0, 4))</f>
        <v>2384.8000000000002</v>
      </c>
      <c r="F822">
        <v>2385</v>
      </c>
    </row>
    <row r="823" spans="1:6" x14ac:dyDescent="0.2">
      <c r="A823">
        <v>11069</v>
      </c>
      <c r="E823" cm="1">
        <f t="array" ref="E823">SUM(INDEX(_xlfn._xlws.FILTER(OrderDetails!A823:E2977,OrderDetails!A823:A2977=A823), 0, 3) * INDEX(_xlfn._xlws.FILTER(OrderDetails!A823:E2977,OrderDetails!A823:A2977=A823), 0, 4))</f>
        <v>360</v>
      </c>
      <c r="F823">
        <v>360</v>
      </c>
    </row>
    <row r="824" spans="1:6" x14ac:dyDescent="0.2">
      <c r="A824">
        <v>11070</v>
      </c>
      <c r="E824" cm="1">
        <f t="array" ref="E824">SUM(INDEX(_xlfn._xlws.FILTER(OrderDetails!A824:E2978,OrderDetails!A824:A2978=A824), 0, 3) * INDEX(_xlfn._xlws.FILTER(OrderDetails!A824:E2978,OrderDetails!A824:A2978=A824), 0, 4))</f>
        <v>1873.5</v>
      </c>
      <c r="F824">
        <v>1874</v>
      </c>
    </row>
    <row r="825" spans="1:6" x14ac:dyDescent="0.2">
      <c r="A825">
        <v>11071</v>
      </c>
      <c r="E825" cm="1">
        <f t="array" ref="E825">SUM(INDEX(_xlfn._xlws.FILTER(OrderDetails!A825:E2979,OrderDetails!A825:A2979=A825), 0, 3) * INDEX(_xlfn._xlws.FILTER(OrderDetails!A825:E2979,OrderDetails!A825:A2979=A825), 0, 4))</f>
        <v>510</v>
      </c>
      <c r="F825">
        <v>510</v>
      </c>
    </row>
    <row r="826" spans="1:6" x14ac:dyDescent="0.2">
      <c r="A826">
        <v>11072</v>
      </c>
      <c r="E826" cm="1">
        <f t="array" ref="E826">SUM(INDEX(_xlfn._xlws.FILTER(OrderDetails!A826:E2980,OrderDetails!A826:A2980=A826), 0, 3) * INDEX(_xlfn._xlws.FILTER(OrderDetails!A826:E2980,OrderDetails!A826:A2980=A826), 0, 4))</f>
        <v>5218</v>
      </c>
      <c r="F826">
        <v>5218</v>
      </c>
    </row>
    <row r="827" spans="1:6" x14ac:dyDescent="0.2">
      <c r="A827">
        <v>11073</v>
      </c>
      <c r="E827" cm="1">
        <f t="array" ref="E827">SUM(INDEX(_xlfn._xlws.FILTER(OrderDetails!A827:E2981,OrderDetails!A827:A2981=A827), 0, 3) * INDEX(_xlfn._xlws.FILTER(OrderDetails!A827:E2981,OrderDetails!A827:A2981=A827), 0, 4))</f>
        <v>300</v>
      </c>
      <c r="F827">
        <v>300</v>
      </c>
    </row>
    <row r="828" spans="1:6" x14ac:dyDescent="0.2">
      <c r="A828">
        <v>11074</v>
      </c>
      <c r="E828" cm="1">
        <f t="array" ref="E828">SUM(INDEX(_xlfn._xlws.FILTER(OrderDetails!A828:E2982,OrderDetails!A828:A2982=A828), 0, 3) * INDEX(_xlfn._xlws.FILTER(OrderDetails!A828:E2982,OrderDetails!A828:A2982=A828), 0, 4))</f>
        <v>244.29999999999998</v>
      </c>
      <c r="F828">
        <v>244</v>
      </c>
    </row>
    <row r="829" spans="1:6" x14ac:dyDescent="0.2">
      <c r="A829">
        <v>11075</v>
      </c>
      <c r="E829" cm="1">
        <f t="array" ref="E829">SUM(INDEX(_xlfn._xlws.FILTER(OrderDetails!A829:E2983,OrderDetails!A829:A2983=A829), 0, 3) * INDEX(_xlfn._xlws.FILTER(OrderDetails!A829:E2983,OrderDetails!A829:A2983=A829), 0, 4))</f>
        <v>586</v>
      </c>
      <c r="F829">
        <v>586</v>
      </c>
    </row>
    <row r="830" spans="1:6" x14ac:dyDescent="0.2">
      <c r="A830">
        <v>11076</v>
      </c>
      <c r="E830" cm="1">
        <f t="array" ref="E830">SUM(INDEX(_xlfn._xlws.FILTER(OrderDetails!A830:E2984,OrderDetails!A830:A2984=A830), 0, 3) * INDEX(_xlfn._xlws.FILTER(OrderDetails!A830:E2984,OrderDetails!A830:A2984=A830), 0, 4))</f>
        <v>1057</v>
      </c>
      <c r="F830">
        <v>1057</v>
      </c>
    </row>
    <row r="831" spans="1:6" x14ac:dyDescent="0.2">
      <c r="A831">
        <v>11077</v>
      </c>
      <c r="E831" cm="1">
        <f t="array" ref="E831">SUM(INDEX(_xlfn._xlws.FILTER(OrderDetails!A831:E2985,OrderDetails!A831:A2985=A831), 0, 3) * INDEX(_xlfn._xlws.FILTER(OrderDetails!A831:E2985,OrderDetails!A831:A2985=A831), 0, 4))</f>
        <v>1374.6</v>
      </c>
      <c r="F831">
        <v>1374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E377C-EAD7-E04F-A911-0D1589D3A384}">
  <sheetPr codeName="Hoja4"/>
  <dimension ref="A1"/>
  <sheetViews>
    <sheetView workbookViewId="0">
      <selection activeCell="C4" sqref="C4"/>
    </sheetView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368CC-143D-D343-B7B6-8207EE758DE5}">
  <sheetPr codeName="Hoja3"/>
  <dimension ref="A1:B38"/>
  <sheetViews>
    <sheetView topLeftCell="A15" zoomScale="150" workbookViewId="0">
      <selection activeCell="I26" sqref="I26"/>
    </sheetView>
  </sheetViews>
  <sheetFormatPr baseColWidth="10" defaultRowHeight="16" x14ac:dyDescent="0.2"/>
  <cols>
    <col min="1" max="1" width="16.83203125" bestFit="1" customWidth="1"/>
    <col min="2" max="2" width="16" bestFit="1" customWidth="1"/>
  </cols>
  <sheetData>
    <row r="1" spans="1:2" x14ac:dyDescent="0.2">
      <c r="A1" s="3" t="s">
        <v>423</v>
      </c>
      <c r="B1" t="s">
        <v>425</v>
      </c>
    </row>
    <row r="2" spans="1:2" x14ac:dyDescent="0.2">
      <c r="A2" s="4">
        <v>1</v>
      </c>
      <c r="B2" s="5">
        <v>123</v>
      </c>
    </row>
    <row r="3" spans="1:2" x14ac:dyDescent="0.2">
      <c r="A3" s="4">
        <v>2</v>
      </c>
      <c r="B3" s="5">
        <v>192</v>
      </c>
    </row>
    <row r="4" spans="1:2" x14ac:dyDescent="0.2">
      <c r="A4" s="4">
        <v>3</v>
      </c>
      <c r="B4" s="5">
        <v>381</v>
      </c>
    </row>
    <row r="5" spans="1:2" x14ac:dyDescent="0.2">
      <c r="A5" s="4">
        <v>4</v>
      </c>
      <c r="B5" s="5">
        <v>624</v>
      </c>
    </row>
    <row r="6" spans="1:2" x14ac:dyDescent="0.2">
      <c r="A6" s="4">
        <v>5</v>
      </c>
      <c r="B6" s="5">
        <v>210</v>
      </c>
    </row>
    <row r="7" spans="1:2" x14ac:dyDescent="0.2">
      <c r="A7" s="4">
        <v>6</v>
      </c>
      <c r="B7" s="5">
        <v>402</v>
      </c>
    </row>
    <row r="8" spans="1:2" x14ac:dyDescent="0.2">
      <c r="A8" s="4">
        <v>7</v>
      </c>
      <c r="B8" s="5">
        <v>504</v>
      </c>
    </row>
    <row r="9" spans="1:2" x14ac:dyDescent="0.2">
      <c r="A9" s="4">
        <v>8</v>
      </c>
      <c r="B9" s="5">
        <v>832</v>
      </c>
    </row>
    <row r="10" spans="1:2" x14ac:dyDescent="0.2">
      <c r="A10" s="4">
        <v>9</v>
      </c>
      <c r="B10" s="5">
        <v>387</v>
      </c>
    </row>
    <row r="11" spans="1:2" x14ac:dyDescent="0.2">
      <c r="A11" s="4" t="s">
        <v>424</v>
      </c>
      <c r="B11" s="5">
        <v>3655</v>
      </c>
    </row>
    <row r="16" spans="1:2" x14ac:dyDescent="0.2">
      <c r="A16" s="3" t="s">
        <v>423</v>
      </c>
      <c r="B16" t="s">
        <v>426</v>
      </c>
    </row>
    <row r="17" spans="1:2" x14ac:dyDescent="0.2">
      <c r="A17" s="4" t="s">
        <v>343</v>
      </c>
      <c r="B17" s="5">
        <v>6</v>
      </c>
    </row>
    <row r="18" spans="1:2" x14ac:dyDescent="0.2">
      <c r="A18" s="4" t="s">
        <v>67</v>
      </c>
      <c r="B18" s="5">
        <v>29</v>
      </c>
    </row>
    <row r="19" spans="1:2" x14ac:dyDescent="0.2">
      <c r="A19" s="4" t="s">
        <v>41</v>
      </c>
      <c r="B19" s="5">
        <v>9</v>
      </c>
    </row>
    <row r="20" spans="1:2" x14ac:dyDescent="0.2">
      <c r="A20" s="4" t="s">
        <v>31</v>
      </c>
      <c r="B20" s="5">
        <v>55</v>
      </c>
    </row>
    <row r="21" spans="1:2" x14ac:dyDescent="0.2">
      <c r="A21" s="4" t="s">
        <v>254</v>
      </c>
      <c r="B21" s="5">
        <v>21</v>
      </c>
    </row>
    <row r="22" spans="1:2" x14ac:dyDescent="0.2">
      <c r="A22" s="4" t="s">
        <v>262</v>
      </c>
      <c r="B22" s="5">
        <v>14</v>
      </c>
    </row>
    <row r="23" spans="1:2" x14ac:dyDescent="0.2">
      <c r="A23" s="4" t="s">
        <v>102</v>
      </c>
      <c r="B23" s="5">
        <v>17</v>
      </c>
    </row>
    <row r="24" spans="1:2" x14ac:dyDescent="0.2">
      <c r="A24" s="4" t="s">
        <v>19</v>
      </c>
      <c r="B24" s="5">
        <v>54</v>
      </c>
    </row>
    <row r="25" spans="1:2" x14ac:dyDescent="0.2">
      <c r="A25" s="4" t="s">
        <v>24</v>
      </c>
      <c r="B25" s="5">
        <v>88</v>
      </c>
    </row>
    <row r="26" spans="1:2" x14ac:dyDescent="0.2">
      <c r="A26" s="4" t="s">
        <v>188</v>
      </c>
      <c r="B26" s="5">
        <v>15</v>
      </c>
    </row>
    <row r="27" spans="1:2" x14ac:dyDescent="0.2">
      <c r="A27" s="4" t="s">
        <v>131</v>
      </c>
      <c r="B27" s="5">
        <v>18</v>
      </c>
    </row>
    <row r="28" spans="1:2" x14ac:dyDescent="0.2">
      <c r="A28" s="4" t="s">
        <v>73</v>
      </c>
      <c r="B28" s="5">
        <v>21</v>
      </c>
    </row>
    <row r="29" spans="1:2" x14ac:dyDescent="0.2">
      <c r="A29" s="4" t="s">
        <v>323</v>
      </c>
      <c r="B29" s="5">
        <v>3</v>
      </c>
    </row>
    <row r="30" spans="1:2" x14ac:dyDescent="0.2">
      <c r="A30" s="4" t="s">
        <v>314</v>
      </c>
      <c r="B30" s="5">
        <v>3</v>
      </c>
    </row>
    <row r="31" spans="1:2" x14ac:dyDescent="0.2">
      <c r="A31" s="4" t="s">
        <v>243</v>
      </c>
      <c r="B31" s="5">
        <v>11</v>
      </c>
    </row>
    <row r="32" spans="1:2" x14ac:dyDescent="0.2">
      <c r="A32" s="4" t="s">
        <v>154</v>
      </c>
      <c r="B32" s="5">
        <v>11</v>
      </c>
    </row>
    <row r="33" spans="1:2" x14ac:dyDescent="0.2">
      <c r="A33" s="4" t="s">
        <v>93</v>
      </c>
      <c r="B33" s="5">
        <v>23</v>
      </c>
    </row>
    <row r="34" spans="1:2" x14ac:dyDescent="0.2">
      <c r="A34" s="4" t="s">
        <v>46</v>
      </c>
      <c r="B34" s="5">
        <v>11</v>
      </c>
    </row>
    <row r="35" spans="1:2" x14ac:dyDescent="0.2">
      <c r="A35" s="4" t="s">
        <v>173</v>
      </c>
      <c r="B35" s="5">
        <v>40</v>
      </c>
    </row>
    <row r="36" spans="1:2" x14ac:dyDescent="0.2">
      <c r="A36" s="4" t="s">
        <v>87</v>
      </c>
      <c r="B36" s="5">
        <v>83</v>
      </c>
    </row>
    <row r="37" spans="1:2" x14ac:dyDescent="0.2">
      <c r="A37" s="4" t="s">
        <v>62</v>
      </c>
      <c r="B37" s="5">
        <v>28</v>
      </c>
    </row>
    <row r="38" spans="1:2" x14ac:dyDescent="0.2">
      <c r="A38" s="4" t="s">
        <v>424</v>
      </c>
      <c r="B38" s="5">
        <v>560</v>
      </c>
    </row>
  </sheetData>
  <pageMargins left="0.7" right="0.7" top="0.75" bottom="0.75" header="0.3" footer="0.3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Orders</vt:lpstr>
      <vt:lpstr>OrderDetails</vt:lpstr>
      <vt:lpstr>AnalisMacro1</vt:lpstr>
      <vt:lpstr>Hoja4</vt:lpstr>
      <vt:lpstr>Reporte1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2025-08-14T23:06:53Z</dcterms:created>
  <dcterms:modified xsi:type="dcterms:W3CDTF">2025-08-15T14:55:02Z</dcterms:modified>
</cp:coreProperties>
</file>