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workbookPr defaultThemeVersion="202300"/>
  <mc:AlternateContent xmlns:mc="http://schemas.openxmlformats.org/markup-compatibility/2006">
    <mc:Choice Requires="x15">
      <x15ac:absPath xmlns:x15ac="http://schemas.microsoft.com/office/spreadsheetml/2010/11/ac" url="/Users/dragonnomada/Documents/Cursos 2025/BELATRIX-EXCEL/curso/laboratorio/"/>
    </mc:Choice>
  </mc:AlternateContent>
  <xr:revisionPtr revIDLastSave="0" documentId="13_ncr:1_{ED6F6371-07A0-B44A-87DD-F07DAC176BDC}" xr6:coauthVersionLast="47" xr6:coauthVersionMax="47" xr10:uidLastSave="{00000000-0000-0000-0000-000000000000}"/>
  <bookViews>
    <workbookView xWindow="380" yWindow="500" windowWidth="28040" windowHeight="16100" activeTab="10" xr2:uid="{259BB946-5E55-7246-93C2-942402811700}"/>
  </bookViews>
  <sheets>
    <sheet name="Orders (Original)" sheetId="1" state="hidden" r:id="rId1"/>
    <sheet name="Orders" sheetId="2" r:id="rId2"/>
    <sheet name="OrderDetails" sheetId="3" r:id="rId3"/>
    <sheet name="Customers (Original)" sheetId="4" state="hidden" r:id="rId4"/>
    <sheet name="Customers" sheetId="5" r:id="rId5"/>
    <sheet name="Employees" sheetId="6" r:id="rId6"/>
    <sheet name="Shippers" sheetId="7" r:id="rId7"/>
    <sheet name="Products" sheetId="8" r:id="rId8"/>
    <sheet name="Suppliers (Original)" sheetId="9" state="hidden" r:id="rId9"/>
    <sheet name="Suppliers" sheetId="10" r:id="rId10"/>
    <sheet name="Categories" sheetId="11"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9" l="1"/>
  <c r="Q2" i="9"/>
  <c r="R2" i="9"/>
  <c r="S2" i="9"/>
  <c r="T2" i="9"/>
  <c r="U2" i="9"/>
  <c r="P3" i="9"/>
  <c r="Q3" i="9"/>
  <c r="R3" i="9"/>
  <c r="S3" i="9"/>
  <c r="T3" i="9"/>
  <c r="U3" i="9"/>
  <c r="P4" i="9"/>
  <c r="Q4" i="9"/>
  <c r="R4" i="9"/>
  <c r="S4" i="9"/>
  <c r="T4" i="9"/>
  <c r="U4" i="9"/>
  <c r="P5" i="9"/>
  <c r="Q5" i="9"/>
  <c r="R5" i="9"/>
  <c r="S5" i="9"/>
  <c r="T5" i="9"/>
  <c r="U5" i="9"/>
  <c r="P6" i="9"/>
  <c r="Q6" i="9"/>
  <c r="R6" i="9"/>
  <c r="S6" i="9"/>
  <c r="T6" i="9"/>
  <c r="U6" i="9"/>
  <c r="P7" i="9"/>
  <c r="Q7" i="9"/>
  <c r="R7" i="9"/>
  <c r="S7" i="9"/>
  <c r="T7" i="9"/>
  <c r="U7" i="9"/>
  <c r="P8" i="9"/>
  <c r="Q8" i="9"/>
  <c r="R8" i="9"/>
  <c r="S8" i="9"/>
  <c r="T8" i="9"/>
  <c r="U8" i="9"/>
  <c r="P9" i="9"/>
  <c r="Q9" i="9"/>
  <c r="R9" i="9"/>
  <c r="S9" i="9"/>
  <c r="T9" i="9"/>
  <c r="U9" i="9"/>
  <c r="P10" i="9"/>
  <c r="Q10" i="9"/>
  <c r="R10" i="9"/>
  <c r="S10" i="9"/>
  <c r="T10" i="9"/>
  <c r="U10" i="9"/>
  <c r="P11" i="9"/>
  <c r="Q11" i="9"/>
  <c r="R11" i="9"/>
  <c r="S11" i="9"/>
  <c r="T11" i="9"/>
  <c r="U11" i="9"/>
  <c r="P12" i="9"/>
  <c r="Q12" i="9"/>
  <c r="R12" i="9"/>
  <c r="S12" i="9"/>
  <c r="T12" i="9"/>
  <c r="U12" i="9"/>
  <c r="P13" i="9"/>
  <c r="Q13" i="9"/>
  <c r="R13" i="9"/>
  <c r="S13" i="9"/>
  <c r="T13" i="9"/>
  <c r="U13" i="9"/>
  <c r="P14" i="9"/>
  <c r="Q14" i="9"/>
  <c r="R14" i="9"/>
  <c r="S14" i="9"/>
  <c r="T14" i="9"/>
  <c r="U14" i="9"/>
  <c r="P15" i="9"/>
  <c r="Q15" i="9"/>
  <c r="R15" i="9"/>
  <c r="S15" i="9"/>
  <c r="T15" i="9"/>
  <c r="U15" i="9"/>
  <c r="P16" i="9"/>
  <c r="Q16" i="9"/>
  <c r="R16" i="9"/>
  <c r="S16" i="9"/>
  <c r="T16" i="9"/>
  <c r="U16" i="9"/>
  <c r="P17" i="9"/>
  <c r="Q17" i="9"/>
  <c r="R17" i="9"/>
  <c r="S17" i="9"/>
  <c r="T17" i="9"/>
  <c r="U17" i="9"/>
  <c r="P18" i="9"/>
  <c r="Q18" i="9"/>
  <c r="R18" i="9"/>
  <c r="S18" i="9"/>
  <c r="T18" i="9"/>
  <c r="U18" i="9"/>
  <c r="P19" i="9"/>
  <c r="Q19" i="9"/>
  <c r="R19" i="9"/>
  <c r="S19" i="9"/>
  <c r="T19" i="9"/>
  <c r="U19" i="9"/>
  <c r="P20" i="9"/>
  <c r="Q20" i="9"/>
  <c r="R20" i="9"/>
  <c r="S20" i="9"/>
  <c r="T20" i="9"/>
  <c r="U20" i="9"/>
  <c r="P21" i="9"/>
  <c r="Q21" i="9"/>
  <c r="R21" i="9"/>
  <c r="S21" i="9"/>
  <c r="T21" i="9"/>
  <c r="U21" i="9"/>
  <c r="P22" i="9"/>
  <c r="Q22" i="9"/>
  <c r="R22" i="9"/>
  <c r="S22" i="9"/>
  <c r="T22" i="9"/>
  <c r="U22" i="9"/>
  <c r="P23" i="9"/>
  <c r="Q23" i="9"/>
  <c r="R23" i="9"/>
  <c r="S23" i="9"/>
  <c r="T23" i="9"/>
  <c r="U23" i="9"/>
  <c r="P24" i="9"/>
  <c r="Q24" i="9"/>
  <c r="R24" i="9"/>
  <c r="S24" i="9"/>
  <c r="T24" i="9"/>
  <c r="U24" i="9"/>
  <c r="P25" i="9"/>
  <c r="Q25" i="9"/>
  <c r="R25" i="9"/>
  <c r="S25" i="9"/>
  <c r="T25" i="9"/>
  <c r="U25" i="9"/>
  <c r="P26" i="9"/>
  <c r="Q26" i="9"/>
  <c r="R26" i="9"/>
  <c r="S26" i="9"/>
  <c r="T26" i="9"/>
  <c r="U26" i="9"/>
  <c r="P27" i="9"/>
  <c r="Q27" i="9"/>
  <c r="R27" i="9"/>
  <c r="S27" i="9"/>
  <c r="T27" i="9"/>
  <c r="U27" i="9"/>
  <c r="P28" i="9"/>
  <c r="Q28" i="9"/>
  <c r="R28" i="9"/>
  <c r="S28" i="9"/>
  <c r="T28" i="9"/>
  <c r="U28" i="9"/>
  <c r="P29" i="9"/>
  <c r="Q29" i="9"/>
  <c r="R29" i="9"/>
  <c r="S29" i="9"/>
  <c r="T29" i="9"/>
  <c r="U29" i="9"/>
  <c r="P30" i="9"/>
  <c r="Q30" i="9"/>
  <c r="R30" i="9"/>
  <c r="S30" i="9"/>
  <c r="T30" i="9"/>
  <c r="U30"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2" i="9"/>
  <c r="P3" i="4"/>
  <c r="Q3" i="4"/>
  <c r="R3" i="4"/>
  <c r="S3" i="4"/>
  <c r="T3" i="4"/>
  <c r="P4" i="4"/>
  <c r="Q4" i="4"/>
  <c r="R4" i="4"/>
  <c r="S4" i="4"/>
  <c r="T4" i="4"/>
  <c r="P5" i="4"/>
  <c r="Q5" i="4"/>
  <c r="R5" i="4"/>
  <c r="S5" i="4"/>
  <c r="T5" i="4"/>
  <c r="P6" i="4"/>
  <c r="Q6" i="4"/>
  <c r="R6" i="4"/>
  <c r="S6" i="4"/>
  <c r="T6" i="4"/>
  <c r="P7" i="4"/>
  <c r="Q7" i="4"/>
  <c r="R7" i="4"/>
  <c r="S7" i="4"/>
  <c r="T7" i="4"/>
  <c r="P8" i="4"/>
  <c r="Q8" i="4"/>
  <c r="R8" i="4"/>
  <c r="S8" i="4"/>
  <c r="T8" i="4"/>
  <c r="P9" i="4"/>
  <c r="Q9" i="4"/>
  <c r="R9" i="4"/>
  <c r="S9" i="4"/>
  <c r="T9" i="4"/>
  <c r="P10" i="4"/>
  <c r="Q10" i="4"/>
  <c r="R10" i="4"/>
  <c r="S10" i="4"/>
  <c r="T10" i="4"/>
  <c r="P11" i="4"/>
  <c r="Q11" i="4"/>
  <c r="R11" i="4"/>
  <c r="S11" i="4"/>
  <c r="T11" i="4"/>
  <c r="P12" i="4"/>
  <c r="Q12" i="4"/>
  <c r="R12" i="4"/>
  <c r="S12" i="4"/>
  <c r="T12" i="4"/>
  <c r="P13" i="4"/>
  <c r="Q13" i="4"/>
  <c r="R13" i="4"/>
  <c r="S13" i="4"/>
  <c r="T13" i="4"/>
  <c r="P14" i="4"/>
  <c r="Q14" i="4"/>
  <c r="R14" i="4"/>
  <c r="S14" i="4"/>
  <c r="T14" i="4"/>
  <c r="P15" i="4"/>
  <c r="Q15" i="4"/>
  <c r="R15" i="4"/>
  <c r="S15" i="4"/>
  <c r="T15" i="4"/>
  <c r="P16" i="4"/>
  <c r="Q16" i="4"/>
  <c r="R16" i="4"/>
  <c r="S16" i="4"/>
  <c r="T16" i="4"/>
  <c r="P17" i="4"/>
  <c r="Q17" i="4"/>
  <c r="R17" i="4"/>
  <c r="S17" i="4"/>
  <c r="T17" i="4"/>
  <c r="P18" i="4"/>
  <c r="Q18" i="4"/>
  <c r="R18" i="4"/>
  <c r="S18" i="4"/>
  <c r="T18" i="4"/>
  <c r="P19" i="4"/>
  <c r="Q19" i="4"/>
  <c r="R19" i="4"/>
  <c r="S19" i="4"/>
  <c r="T19" i="4"/>
  <c r="P20" i="4"/>
  <c r="Q20" i="4"/>
  <c r="R20" i="4"/>
  <c r="S20" i="4"/>
  <c r="T20" i="4"/>
  <c r="P21" i="4"/>
  <c r="Q21" i="4"/>
  <c r="R21" i="4"/>
  <c r="S21" i="4"/>
  <c r="T21" i="4"/>
  <c r="P22" i="4"/>
  <c r="Q22" i="4"/>
  <c r="R22" i="4"/>
  <c r="S22" i="4"/>
  <c r="T22" i="4"/>
  <c r="P23" i="4"/>
  <c r="Q23" i="4"/>
  <c r="R23" i="4"/>
  <c r="S23" i="4"/>
  <c r="T23" i="4"/>
  <c r="P24" i="4"/>
  <c r="Q24" i="4"/>
  <c r="R24" i="4"/>
  <c r="S24" i="4"/>
  <c r="T24" i="4"/>
  <c r="P25" i="4"/>
  <c r="Q25" i="4"/>
  <c r="R25" i="4"/>
  <c r="S25" i="4"/>
  <c r="T25" i="4"/>
  <c r="P26" i="4"/>
  <c r="Q26" i="4"/>
  <c r="R26" i="4"/>
  <c r="S26" i="4"/>
  <c r="T26" i="4"/>
  <c r="P27" i="4"/>
  <c r="Q27" i="4"/>
  <c r="R27" i="4"/>
  <c r="S27" i="4"/>
  <c r="T27" i="4"/>
  <c r="P28" i="4"/>
  <c r="Q28" i="4"/>
  <c r="R28" i="4"/>
  <c r="S28" i="4"/>
  <c r="T28" i="4"/>
  <c r="P29" i="4"/>
  <c r="Q29" i="4"/>
  <c r="R29" i="4"/>
  <c r="S29" i="4"/>
  <c r="T29" i="4"/>
  <c r="P30" i="4"/>
  <c r="Q30" i="4"/>
  <c r="R30" i="4"/>
  <c r="S30" i="4"/>
  <c r="T30" i="4"/>
  <c r="P31" i="4"/>
  <c r="Q31" i="4"/>
  <c r="R31" i="4"/>
  <c r="S31" i="4"/>
  <c r="T31" i="4"/>
  <c r="P32" i="4"/>
  <c r="Q32" i="4"/>
  <c r="R32" i="4"/>
  <c r="S32" i="4"/>
  <c r="T32" i="4"/>
  <c r="P33" i="4"/>
  <c r="Q33" i="4"/>
  <c r="R33" i="4"/>
  <c r="S33" i="4"/>
  <c r="T33" i="4"/>
  <c r="P34" i="4"/>
  <c r="Q34" i="4"/>
  <c r="R34" i="4"/>
  <c r="S34" i="4"/>
  <c r="T34" i="4"/>
  <c r="P35" i="4"/>
  <c r="Q35" i="4"/>
  <c r="R35" i="4"/>
  <c r="S35" i="4"/>
  <c r="T35" i="4"/>
  <c r="P36" i="4"/>
  <c r="Q36" i="4"/>
  <c r="R36" i="4"/>
  <c r="S36" i="4"/>
  <c r="T36" i="4"/>
  <c r="P37" i="4"/>
  <c r="Q37" i="4"/>
  <c r="R37" i="4"/>
  <c r="S37" i="4"/>
  <c r="T37" i="4"/>
  <c r="P38" i="4"/>
  <c r="Q38" i="4"/>
  <c r="R38" i="4"/>
  <c r="S38" i="4"/>
  <c r="T38" i="4"/>
  <c r="P39" i="4"/>
  <c r="Q39" i="4"/>
  <c r="R39" i="4"/>
  <c r="S39" i="4"/>
  <c r="T39" i="4"/>
  <c r="P40" i="4"/>
  <c r="Q40" i="4"/>
  <c r="R40" i="4"/>
  <c r="S40" i="4"/>
  <c r="T40" i="4"/>
  <c r="P41" i="4"/>
  <c r="Q41" i="4"/>
  <c r="R41" i="4"/>
  <c r="S41" i="4"/>
  <c r="T41" i="4"/>
  <c r="P42" i="4"/>
  <c r="Q42" i="4"/>
  <c r="R42" i="4"/>
  <c r="S42" i="4"/>
  <c r="T42" i="4"/>
  <c r="P43" i="4"/>
  <c r="Q43" i="4"/>
  <c r="R43" i="4"/>
  <c r="S43" i="4"/>
  <c r="T43" i="4"/>
  <c r="P44" i="4"/>
  <c r="Q44" i="4"/>
  <c r="R44" i="4"/>
  <c r="S44" i="4"/>
  <c r="T44" i="4"/>
  <c r="P45" i="4"/>
  <c r="Q45" i="4"/>
  <c r="R45" i="4"/>
  <c r="S45" i="4"/>
  <c r="T45" i="4"/>
  <c r="P46" i="4"/>
  <c r="Q46" i="4"/>
  <c r="R46" i="4"/>
  <c r="S46" i="4"/>
  <c r="T46" i="4"/>
  <c r="P47" i="4"/>
  <c r="Q47" i="4"/>
  <c r="R47" i="4"/>
  <c r="S47" i="4"/>
  <c r="T47" i="4"/>
  <c r="P48" i="4"/>
  <c r="Q48" i="4"/>
  <c r="R48" i="4"/>
  <c r="S48" i="4"/>
  <c r="T48" i="4"/>
  <c r="P49" i="4"/>
  <c r="Q49" i="4"/>
  <c r="R49" i="4"/>
  <c r="S49" i="4"/>
  <c r="T49" i="4"/>
  <c r="P50" i="4"/>
  <c r="Q50" i="4"/>
  <c r="R50" i="4"/>
  <c r="S50" i="4"/>
  <c r="T50" i="4"/>
  <c r="P51" i="4"/>
  <c r="Q51" i="4"/>
  <c r="R51" i="4"/>
  <c r="S51" i="4"/>
  <c r="T51" i="4"/>
  <c r="P52" i="4"/>
  <c r="Q52" i="4"/>
  <c r="R52" i="4"/>
  <c r="S52" i="4"/>
  <c r="T52" i="4"/>
  <c r="P53" i="4"/>
  <c r="Q53" i="4"/>
  <c r="R53" i="4"/>
  <c r="S53" i="4"/>
  <c r="T53" i="4"/>
  <c r="P54" i="4"/>
  <c r="Q54" i="4"/>
  <c r="R54" i="4"/>
  <c r="S54" i="4"/>
  <c r="T54" i="4"/>
  <c r="P55" i="4"/>
  <c r="Q55" i="4"/>
  <c r="R55" i="4"/>
  <c r="S55" i="4"/>
  <c r="T55" i="4"/>
  <c r="P56" i="4"/>
  <c r="Q56" i="4"/>
  <c r="R56" i="4"/>
  <c r="S56" i="4"/>
  <c r="T56" i="4"/>
  <c r="P57" i="4"/>
  <c r="Q57" i="4"/>
  <c r="R57" i="4"/>
  <c r="S57" i="4"/>
  <c r="T57" i="4"/>
  <c r="P58" i="4"/>
  <c r="Q58" i="4"/>
  <c r="R58" i="4"/>
  <c r="S58" i="4"/>
  <c r="T58" i="4"/>
  <c r="P59" i="4"/>
  <c r="Q59" i="4"/>
  <c r="R59" i="4"/>
  <c r="S59" i="4"/>
  <c r="T59" i="4"/>
  <c r="P60" i="4"/>
  <c r="Q60" i="4"/>
  <c r="R60" i="4"/>
  <c r="S60" i="4"/>
  <c r="T60" i="4"/>
  <c r="P61" i="4"/>
  <c r="Q61" i="4"/>
  <c r="R61" i="4"/>
  <c r="S61" i="4"/>
  <c r="T61" i="4"/>
  <c r="P62" i="4"/>
  <c r="Q62" i="4"/>
  <c r="R62" i="4"/>
  <c r="S62" i="4"/>
  <c r="T62" i="4"/>
  <c r="P63" i="4"/>
  <c r="Q63" i="4"/>
  <c r="R63" i="4"/>
  <c r="S63" i="4"/>
  <c r="T63" i="4"/>
  <c r="P64" i="4"/>
  <c r="Q64" i="4"/>
  <c r="R64" i="4"/>
  <c r="S64" i="4"/>
  <c r="T64" i="4"/>
  <c r="P65" i="4"/>
  <c r="Q65" i="4"/>
  <c r="R65" i="4"/>
  <c r="S65" i="4"/>
  <c r="T65" i="4"/>
  <c r="P66" i="4"/>
  <c r="Q66" i="4"/>
  <c r="R66" i="4"/>
  <c r="S66" i="4"/>
  <c r="T66" i="4"/>
  <c r="P67" i="4"/>
  <c r="Q67" i="4"/>
  <c r="R67" i="4"/>
  <c r="S67" i="4"/>
  <c r="T67" i="4"/>
  <c r="P68" i="4"/>
  <c r="Q68" i="4"/>
  <c r="R68" i="4"/>
  <c r="S68" i="4"/>
  <c r="T68" i="4"/>
  <c r="P69" i="4"/>
  <c r="Q69" i="4"/>
  <c r="R69" i="4"/>
  <c r="S69" i="4"/>
  <c r="T69" i="4"/>
  <c r="P70" i="4"/>
  <c r="Q70" i="4"/>
  <c r="R70" i="4"/>
  <c r="S70" i="4"/>
  <c r="T70" i="4"/>
  <c r="P71" i="4"/>
  <c r="Q71" i="4"/>
  <c r="R71" i="4"/>
  <c r="S71" i="4"/>
  <c r="T71" i="4"/>
  <c r="P72" i="4"/>
  <c r="Q72" i="4"/>
  <c r="R72" i="4"/>
  <c r="S72" i="4"/>
  <c r="T72" i="4"/>
  <c r="P73" i="4"/>
  <c r="Q73" i="4"/>
  <c r="R73" i="4"/>
  <c r="S73" i="4"/>
  <c r="T73" i="4"/>
  <c r="P74" i="4"/>
  <c r="Q74" i="4"/>
  <c r="R74" i="4"/>
  <c r="S74" i="4"/>
  <c r="T74" i="4"/>
  <c r="P75" i="4"/>
  <c r="Q75" i="4"/>
  <c r="R75" i="4"/>
  <c r="S75" i="4"/>
  <c r="T75" i="4"/>
  <c r="P76" i="4"/>
  <c r="Q76" i="4"/>
  <c r="R76" i="4"/>
  <c r="S76" i="4"/>
  <c r="T76" i="4"/>
  <c r="P77" i="4"/>
  <c r="Q77" i="4"/>
  <c r="R77" i="4"/>
  <c r="S77" i="4"/>
  <c r="T77" i="4"/>
  <c r="P78" i="4"/>
  <c r="Q78" i="4"/>
  <c r="R78" i="4"/>
  <c r="S78" i="4"/>
  <c r="T78" i="4"/>
  <c r="P79" i="4"/>
  <c r="Q79" i="4"/>
  <c r="R79" i="4"/>
  <c r="S79" i="4"/>
  <c r="T79" i="4"/>
  <c r="P80" i="4"/>
  <c r="Q80" i="4"/>
  <c r="R80" i="4"/>
  <c r="S80" i="4"/>
  <c r="T80" i="4"/>
  <c r="P81" i="4"/>
  <c r="Q81" i="4"/>
  <c r="R81" i="4"/>
  <c r="S81" i="4"/>
  <c r="T81" i="4"/>
  <c r="P82" i="4"/>
  <c r="Q82" i="4"/>
  <c r="R82" i="4"/>
  <c r="S82" i="4"/>
  <c r="T82" i="4"/>
  <c r="P83" i="4"/>
  <c r="Q83" i="4"/>
  <c r="R83" i="4"/>
  <c r="S83" i="4"/>
  <c r="T83" i="4"/>
  <c r="P84" i="4"/>
  <c r="Q84" i="4"/>
  <c r="R84" i="4"/>
  <c r="S84" i="4"/>
  <c r="T84" i="4"/>
  <c r="P85" i="4"/>
  <c r="Q85" i="4"/>
  <c r="R85" i="4"/>
  <c r="S85" i="4"/>
  <c r="T85" i="4"/>
  <c r="P86" i="4"/>
  <c r="Q86" i="4"/>
  <c r="R86" i="4"/>
  <c r="S86" i="4"/>
  <c r="T86" i="4"/>
  <c r="P87" i="4"/>
  <c r="Q87" i="4"/>
  <c r="R87" i="4"/>
  <c r="S87" i="4"/>
  <c r="T87" i="4"/>
  <c r="P88" i="4"/>
  <c r="Q88" i="4"/>
  <c r="R88" i="4"/>
  <c r="S88" i="4"/>
  <c r="T88" i="4"/>
  <c r="P89" i="4"/>
  <c r="Q89" i="4"/>
  <c r="R89" i="4"/>
  <c r="S89" i="4"/>
  <c r="T89" i="4"/>
  <c r="P90" i="4"/>
  <c r="Q90" i="4"/>
  <c r="R90" i="4"/>
  <c r="S90" i="4"/>
  <c r="T90" i="4"/>
  <c r="P91" i="4"/>
  <c r="Q91" i="4"/>
  <c r="R91" i="4"/>
  <c r="S91" i="4"/>
  <c r="T91" i="4"/>
  <c r="P92" i="4"/>
  <c r="Q92" i="4"/>
  <c r="R92" i="4"/>
  <c r="S92" i="4"/>
  <c r="T92" i="4"/>
  <c r="P2" i="4"/>
  <c r="Q2" i="4"/>
  <c r="R2" i="4"/>
  <c r="S2" i="4"/>
  <c r="T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2" i="4"/>
  <c r="T1" i="4"/>
  <c r="S1" i="4"/>
  <c r="P1" i="4"/>
  <c r="Q1" i="4"/>
  <c r="R1" i="4"/>
  <c r="O1" i="4"/>
  <c r="N1"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2" i="4"/>
  <c r="P1"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2" i="1"/>
  <c r="Q3" i="1"/>
  <c r="Q4" i="1"/>
  <c r="Q5" i="1"/>
  <c r="Q6"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2" i="1"/>
  <c r="P3" i="1"/>
  <c r="P4"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1" i="1"/>
  <c r="T2" i="1"/>
  <c r="S1"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1" i="1"/>
  <c r="R2" i="1"/>
  <c r="Q1" i="1"/>
</calcChain>
</file>

<file path=xl/sharedStrings.xml><?xml version="1.0" encoding="utf-8"?>
<sst xmlns="http://schemas.openxmlformats.org/spreadsheetml/2006/main" count="13385" uniqueCount="1203">
  <si>
    <t>orderID</t>
  </si>
  <si>
    <t>customerID</t>
  </si>
  <si>
    <t>employeeID</t>
  </si>
  <si>
    <t>orderDate</t>
  </si>
  <si>
    <t>requiredDate</t>
  </si>
  <si>
    <t>shippedDate</t>
  </si>
  <si>
    <t>shipVia</t>
  </si>
  <si>
    <t>freight</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</si>
  <si>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</si>
  <si>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</si>
  <si>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</si>
  <si>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</si>
  <si>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</si>
  <si>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</si>
  <si>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</si>
  <si>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</si>
  <si>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</si>
  <si>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</si>
  <si>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</si>
  <si>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</si>
  <si>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</si>
  <si>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</si>
  <si>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</si>
  <si>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</si>
  <si>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</si>
  <si>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</si>
  <si>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</si>
  <si>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t>
  </si>
  <si>
    <t>Rio de Janeiro</t>
  </si>
  <si>
    <t>RJ</t>
  </si>
  <si>
    <t>05454-876</t>
  </si>
  <si>
    <t>Brazil</t>
  </si>
  <si>
    <t>VICTE</t>
  </si>
  <si>
    <t>Victuailles en stock</t>
  </si>
  <si>
    <t> rue du Commerce</t>
  </si>
  <si>
    <t>Lyon</t>
  </si>
  <si>
    <t>SUPRD</t>
  </si>
  <si>
    <t>Suprêmes délices</t>
  </si>
  <si>
    <t>Boulevard Tirou</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</si>
  <si>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</si>
  <si>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</si>
  <si>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</si>
  <si>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</si>
  <si>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</si>
  <si>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</si>
  <si>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</si>
  <si>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</si>
  <si>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</si>
  <si>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</si>
  <si>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</si>
  <si>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</si>
  <si>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</si>
  <si>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</si>
  <si>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</si>
  <si>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</si>
  <si>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</si>
  <si>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</si>
  <si>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</si>
  <si>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</si>
  <si>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</si>
  <si>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</si>
  <si>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</si>
  <si>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</si>
  <si>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</si>
  <si>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</si>
  <si>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</si>
  <si>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</si>
  <si>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</si>
  <si>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</si>
  <si>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</si>
  <si>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</si>
  <si>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</si>
  <si>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</si>
  <si>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</si>
  <si>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</si>
  <si>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</si>
  <si>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</si>
  <si>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</si>
  <si>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</si>
  <si>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</si>
  <si>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</si>
  <si>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</si>
  <si>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</si>
  <si>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</si>
  <si>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</si>
  <si>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</si>
  <si>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</si>
  <si>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</si>
  <si>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</si>
  <si>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</si>
  <si>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</si>
  <si>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</si>
  <si>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</si>
  <si>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</si>
  <si>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</si>
  <si>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</si>
  <si>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</si>
  <si>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</si>
  <si>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</si>
  <si>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</si>
  <si>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</si>
  <si>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</si>
  <si>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</si>
  <si>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</si>
  <si>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</si>
  <si>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</si>
  <si>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</si>
  <si>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</si>
  <si>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</si>
  <si>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</si>
  <si>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</si>
  <si>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</si>
  <si>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</si>
  <si>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</si>
  <si>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</si>
  <si>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</si>
  <si>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</si>
  <si>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</si>
  <si>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</si>
  <si>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</si>
  <si>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</si>
  <si>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</si>
  <si>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</si>
  <si>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</si>
  <si>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</si>
  <si>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</si>
  <si>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</si>
  <si>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</si>
  <si>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</si>
  <si>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</si>
  <si>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</si>
  <si>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</si>
  <si>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</si>
  <si>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</si>
  <si>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</si>
  <si>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</si>
  <si>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</si>
  <si>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</si>
  <si>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</si>
  <si>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</si>
  <si>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</si>
  <si>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</si>
  <si>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</si>
  <si>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</si>
  <si>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</si>
  <si>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</si>
  <si>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</si>
  <si>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</si>
  <si>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t>
  </si>
  <si>
    <t>Madrid</t>
  </si>
  <si>
    <t>Spain</t>
  </si>
  <si>
    <t>LILAS</t>
  </si>
  <si>
    <t>LILA-Supermercado</t>
  </si>
  <si>
    <t>Carrera 52 con Ave. Bolívar #65-98 Llano Largo</t>
  </si>
  <si>
    <t>Barquisimeto</t>
  </si>
  <si>
    <t>Lara</t>
  </si>
  <si>
    <t>RICAR</t>
  </si>
  <si>
    <t>Ricardo Adocicados</t>
  </si>
  <si>
    <t>Av. Copacabana</t>
  </si>
  <si>
    <t>02389-890</t>
  </si>
  <si>
    <t>REGGC</t>
  </si>
  <si>
    <t>Reggiani Caseifici</t>
  </si>
  <si>
    <t>Strada Provinciale 124</t>
  </si>
  <si>
    <t>Reggio Emilia</t>
  </si>
  <si>
    <t>BSBEV</t>
  </si>
  <si>
    <t>B's Beverages</t>
  </si>
  <si>
    <t>Fauntleroy Circus</t>
  </si>
  <si>
    <t>London</t>
  </si>
  <si>
    <t>EC2 5NT</t>
  </si>
  <si>
    <t>UK</t>
  </si>
  <si>
    <t>COMMI</t>
  </si>
  <si>
    <t>Comércio Mineiro</t>
  </si>
  <si>
    <t>Av. dos Lusíadas</t>
  </si>
  <si>
    <t>Sao Paulo</t>
  </si>
  <si>
    <t>05432-043</t>
  </si>
  <si>
    <t>TRADH</t>
  </si>
  <si>
    <t>Tradiçao Hipermercados</t>
  </si>
  <si>
    <t>Av. Inês de Castro</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</si>
  <si>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</si>
  <si>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</si>
  <si>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</si>
  <si>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</si>
  <si>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</si>
  <si>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</si>
  <si>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</si>
  <si>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</si>
  <si>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</si>
  <si>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</si>
  <si>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</si>
  <si>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</si>
  <si>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</si>
  <si>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</si>
  <si>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</si>
  <si>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</si>
  <si>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</si>
  <si>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</si>
  <si>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</si>
  <si>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</si>
  <si>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</si>
  <si>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</si>
  <si>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</si>
  <si>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</si>
  <si>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</si>
  <si>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</si>
  <si>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</si>
  <si>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</si>
  <si>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</si>
  <si>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</si>
  <si>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</si>
  <si>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</si>
  <si>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</si>
  <si>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</si>
  <si>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</si>
  <si>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</si>
  <si>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</si>
  <si>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</si>
  <si>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</si>
  <si>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</si>
  <si>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</si>
  <si>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</si>
  <si>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</si>
  <si>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</si>
  <si>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</si>
  <si>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</si>
  <si>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</si>
  <si>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</si>
  <si>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</si>
  <si>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</si>
  <si>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</si>
  <si>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</si>
  <si>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</si>
  <si>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</si>
  <si>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</si>
  <si>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t>
  </si>
  <si>
    <t>FURIB</t>
  </si>
  <si>
    <t>Furia Bacalhau e Frutos do Mar</t>
  </si>
  <si>
    <t>Jardim das rosas n. 32</t>
  </si>
  <si>
    <t>Lisboa</t>
  </si>
  <si>
    <t>Portugal</t>
  </si>
  <si>
    <t>BONAP</t>
  </si>
  <si>
    <t>Bon app'</t>
  </si>
  <si>
    <t>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</si>
  <si>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</si>
  <si>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</si>
  <si>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</si>
  <si>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</si>
  <si>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</si>
  <si>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</si>
  <si>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</si>
  <si>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</si>
  <si>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</si>
  <si>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</si>
  <si>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</si>
  <si>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</si>
  <si>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</si>
  <si>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</si>
  <si>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</si>
  <si>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</si>
  <si>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</si>
  <si>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</si>
  <si>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</si>
  <si>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</si>
  <si>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</si>
  <si>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</si>
  <si>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</si>
  <si>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</si>
  <si>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</si>
  <si>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</si>
  <si>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</si>
  <si>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</si>
  <si>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</si>
  <si>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</si>
  <si>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</si>
  <si>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</si>
  <si>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</si>
  <si>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</si>
  <si>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</si>
  <si>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</si>
  <si>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</si>
  <si>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</si>
  <si>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</si>
  <si>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</si>
  <si>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</si>
  <si>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</si>
  <si>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</si>
  <si>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</si>
  <si>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</si>
  <si>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</si>
  <si>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</si>
  <si>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</si>
  <si>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</si>
  <si>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</si>
  <si>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</si>
  <si>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t>
  </si>
  <si>
    <t>Barcelona</t>
  </si>
  <si>
    <t>VAFFE</t>
  </si>
  <si>
    <t>Vaffeljernet</t>
  </si>
  <si>
    <t>Smagsloget 45</t>
  </si>
  <si>
    <t>Århus</t>
  </si>
  <si>
    <t>QUEEN</t>
  </si>
  <si>
    <t>Queen Cozinha</t>
  </si>
  <si>
    <t>Alameda dos Canàrios</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</si>
  <si>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</si>
  <si>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</si>
  <si>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</si>
  <si>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</si>
  <si>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</si>
  <si>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</si>
  <si>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</si>
  <si>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</si>
  <si>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</si>
  <si>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</si>
  <si>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</si>
  <si>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</si>
  <si>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</si>
  <si>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</si>
  <si>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</si>
  <si>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</si>
  <si>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</si>
  <si>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</si>
  <si>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</si>
  <si>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</si>
  <si>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</si>
  <si>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</si>
  <si>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</si>
  <si>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</si>
  <si>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</si>
  <si>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</si>
  <si>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</si>
  <si>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</si>
  <si>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</si>
  <si>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</si>
  <si>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</si>
  <si>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</si>
  <si>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</si>
  <si>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</si>
  <si>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</si>
  <si>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</si>
  <si>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</si>
  <si>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</si>
  <si>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</si>
  <si>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</si>
  <si>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</si>
  <si>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</si>
  <si>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</si>
  <si>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</si>
  <si>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</si>
  <si>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</si>
  <si>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</si>
  <si>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</si>
  <si>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</si>
  <si>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</si>
  <si>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</si>
  <si>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</si>
  <si>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</si>
  <si>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</si>
  <si>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</si>
  <si>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</si>
  <si>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</si>
  <si>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</si>
  <si>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</si>
  <si>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</si>
  <si>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</si>
  <si>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</si>
  <si>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</si>
  <si>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</si>
  <si>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</si>
  <si>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</si>
  <si>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</si>
  <si>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</si>
  <si>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</si>
  <si>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</si>
  <si>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</si>
  <si>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</si>
  <si>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</si>
  <si>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</si>
  <si>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</si>
  <si>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</si>
  <si>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</si>
  <si>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</si>
  <si>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</si>
  <si>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</si>
  <si>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</si>
  <si>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</si>
  <si>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</si>
  <si>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</si>
  <si>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</si>
  <si>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</si>
  <si>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</si>
  <si>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</si>
  <si>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</si>
  <si>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</si>
  <si>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</si>
  <si>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</si>
  <si>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</si>
  <si>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</si>
  <si>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</si>
  <si>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</si>
  <si>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</si>
  <si>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</si>
  <si>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</si>
  <si>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</si>
  <si>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</si>
  <si>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</si>
  <si>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</si>
  <si>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</si>
  <si>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</si>
  <si>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 rue Royale</t>
  </si>
  <si>
    <t>Alfred's Futterkiste</t>
  </si>
  <si>
    <t>SPECD</t>
  </si>
  <si>
    <t>Spécialités du monde</t>
  </si>
  <si>
    <t> rue Lauriston</t>
  </si>
  <si>
    <t>Paris</t>
  </si>
  <si>
    <t>LACOR</t>
  </si>
  <si>
    <t>La corne d'abondance</t>
  </si>
  <si>
    <t> avenue de l'Europe</t>
  </si>
  <si>
    <t>Versailles</t>
  </si>
  <si>
    <t>Rua do Paço 67</t>
  </si>
  <si>
    <t>2  rue du Commerce</t>
  </si>
  <si>
    <t>Boulevard Tirou 255</t>
  </si>
  <si>
    <t>Rua do Mercado 12</t>
  </si>
  <si>
    <t>Rua da Panificadora 12</t>
  </si>
  <si>
    <t>24  place Kléber</t>
  </si>
  <si>
    <t>Gran Vía 1</t>
  </si>
  <si>
    <t>Av. Copacabana 267</t>
  </si>
  <si>
    <t>Av. dos Lusíadas 23</t>
  </si>
  <si>
    <t>Av. Inês de Castro 414</t>
  </si>
  <si>
    <t>C/ Romero 33</t>
  </si>
  <si>
    <t>67  rue des Cinquante Otages</t>
  </si>
  <si>
    <t>C/ Araquil 67</t>
  </si>
  <si>
    <t>12  rue des Bouchers</t>
  </si>
  <si>
    <t>Rua Orós 92</t>
  </si>
  <si>
    <t>Rambla de Cataluña 23</t>
  </si>
  <si>
    <t>Alameda dos Canàrios 891</t>
  </si>
  <si>
    <t>184  chaussée de Tournai</t>
  </si>
  <si>
    <t>Av. Brasil 442</t>
  </si>
  <si>
    <t>54  rue Royale</t>
  </si>
  <si>
    <t>25  rue Lauriston</t>
  </si>
  <si>
    <t>67  avenue de l'Europe</t>
  </si>
  <si>
    <t>productID</t>
  </si>
  <si>
    <t>unitPrice</t>
  </si>
  <si>
    <t>quantity</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</si>
  <si>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</si>
  <si>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</si>
  <si>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</si>
  <si>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</si>
  <si>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</si>
  <si>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</si>
  <si>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</si>
  <si>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</si>
  <si>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</si>
  <si>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</si>
  <si>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</si>
  <si>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</si>
  <si>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</si>
  <si>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</si>
  <si>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</si>
  <si>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</si>
  <si>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</si>
  <si>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</si>
  <si>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</si>
  <si>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</si>
  <si>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</si>
  <si>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</si>
  <si>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</si>
  <si>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</si>
  <si>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</si>
  <si>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</si>
  <si>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</si>
  <si>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</si>
  <si>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</si>
  <si>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</si>
  <si>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</si>
  <si>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</si>
  <si>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</si>
  <si>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</si>
  <si>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</si>
  <si>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</si>
  <si>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</si>
  <si>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</si>
  <si>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</si>
  <si>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</si>
  <si>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</si>
  <si>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</si>
  <si>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</si>
  <si>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</si>
  <si>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</si>
  <si>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</si>
  <si>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</si>
  <si>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</si>
  <si>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</si>
  <si>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</si>
  <si>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</si>
  <si>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</si>
  <si>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</si>
  <si>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</si>
  <si>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</si>
  <si>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</si>
  <si>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</si>
  <si>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</si>
  <si>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</si>
  <si>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</si>
  <si>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</si>
  <si>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</si>
  <si>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</si>
  <si>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</si>
  <si>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</si>
  <si>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</si>
  <si>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</si>
  <si>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</si>
  <si>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</si>
  <si>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</si>
  <si>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</si>
  <si>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</si>
  <si>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</si>
  <si>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</si>
  <si>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</si>
  <si>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</si>
  <si>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</si>
  <si>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</si>
  <si>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</si>
  <si>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</si>
  <si>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</si>
  <si>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</si>
  <si>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</si>
  <si>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</si>
  <si>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</si>
  <si>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</si>
  <si>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</si>
  <si>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</si>
  <si>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</si>
  <si>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</si>
  <si>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</si>
  <si>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</si>
  <si>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</si>
  <si>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</si>
  <si>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</si>
  <si>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</si>
  <si>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</si>
  <si>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</si>
  <si>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</si>
  <si>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</si>
  <si>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</si>
  <si>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</si>
  <si>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</si>
  <si>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</si>
  <si>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</si>
  <si>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</si>
  <si>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</si>
  <si>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</si>
  <si>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</si>
  <si>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</si>
  <si>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</si>
  <si>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</si>
  <si>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</si>
  <si>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</si>
  <si>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</si>
  <si>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</si>
  <si>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</si>
  <si>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</si>
  <si>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</si>
  <si>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</si>
  <si>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</si>
  <si>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</si>
  <si>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</si>
  <si>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</si>
  <si>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</si>
  <si>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</si>
  <si>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</si>
  <si>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</si>
  <si>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</si>
  <si>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</si>
  <si>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</si>
  <si>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</si>
  <si>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</si>
  <si>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</si>
  <si>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</si>
  <si>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</si>
  <si>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</si>
  <si>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</si>
  <si>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</si>
  <si>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</si>
  <si>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</si>
  <si>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</si>
  <si>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</si>
  <si>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</si>
  <si>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</si>
  <si>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</si>
  <si>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</si>
  <si>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</si>
  <si>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</si>
  <si>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</si>
  <si>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</si>
  <si>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</si>
  <si>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</si>
  <si>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</si>
  <si>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</si>
  <si>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</si>
  <si>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</si>
  <si>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</si>
  <si>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</si>
  <si>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</si>
  <si>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</si>
  <si>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</si>
  <si>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</si>
  <si>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</si>
  <si>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</si>
  <si>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</si>
  <si>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</si>
  <si>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</si>
  <si>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</si>
  <si>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</si>
  <si>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</si>
  <si>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</si>
  <si>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</si>
  <si>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</si>
  <si>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</si>
  <si>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</si>
  <si>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</si>
  <si>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</si>
  <si>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</si>
  <si>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</si>
  <si>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</si>
  <si>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</si>
  <si>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</si>
  <si>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</si>
  <si>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</si>
  <si>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</si>
  <si>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</si>
  <si>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</si>
  <si>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</si>
  <si>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</si>
  <si>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</si>
  <si>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</si>
  <si>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</si>
  <si>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</si>
  <si>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</si>
  <si>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</si>
  <si>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</si>
  <si>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</si>
  <si>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</si>
  <si>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</si>
  <si>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</si>
  <si>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</si>
  <si>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</si>
  <si>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</si>
  <si>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</si>
  <si>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</si>
  <si>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</si>
  <si>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</si>
  <si>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</si>
  <si>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</si>
  <si>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</si>
  <si>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</si>
  <si>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</si>
  <si>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</si>
  <si>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</si>
  <si>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</si>
  <si>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</si>
  <si>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</si>
  <si>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</si>
  <si>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</si>
  <si>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</si>
  <si>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</si>
  <si>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</si>
  <si>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</si>
  <si>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</si>
  <si>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</si>
  <si>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</si>
  <si>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</si>
  <si>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</si>
  <si>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</si>
  <si>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</si>
  <si>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</si>
  <si>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</si>
  <si>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</si>
  <si>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</si>
  <si>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</si>
  <si>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</si>
  <si>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</si>
  <si>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</si>
  <si>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</si>
  <si>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</si>
  <si>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</si>
  <si>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</si>
  <si>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</si>
  <si>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</si>
  <si>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</si>
  <si>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</si>
  <si>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</si>
  <si>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</si>
  <si>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</si>
  <si>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</si>
  <si>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</si>
  <si>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</si>
  <si>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</si>
  <si>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</si>
  <si>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</si>
  <si>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</si>
  <si>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</si>
  <si>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</si>
  <si>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</si>
  <si>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</si>
  <si>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</si>
  <si>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</si>
  <si>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</si>
  <si>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</si>
  <si>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</si>
  <si>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</si>
  <si>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</si>
  <si>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</si>
  <si>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</si>
  <si>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</si>
  <si>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</si>
  <si>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</si>
  <si>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</si>
  <si>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</si>
  <si>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</si>
  <si>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</si>
  <si>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</si>
  <si>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</si>
  <si>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</si>
  <si>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</si>
  <si>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</si>
  <si>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</si>
  <si>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</si>
  <si>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</si>
  <si>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</si>
  <si>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</si>
  <si>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C/ Moralzarzal 86</t>
  </si>
  <si>
    <t>265  boulevard Charonne</t>
  </si>
  <si>
    <t>lastName</t>
  </si>
  <si>
    <t>firstName</t>
  </si>
  <si>
    <t>title</t>
  </si>
  <si>
    <t>titleOfCourtesy</t>
  </si>
  <si>
    <t>birthDate</t>
  </si>
  <si>
    <t>hireDate</t>
  </si>
  <si>
    <t>homePhone</t>
  </si>
  <si>
    <t>extension</t>
  </si>
  <si>
    <t>notes</t>
  </si>
  <si>
    <t>reportsTo</t>
  </si>
  <si>
    <t>photoPath</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</si>
  <si>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</si>
  <si>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</si>
  <si>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</si>
  <si>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</si>
  <si>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</si>
  <si>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</si>
  <si>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</si>
  <si>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</si>
  <si>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</si>
  <si>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</si>
  <si>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</si>
  <si>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</si>
  <si>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</si>
  <si>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</si>
  <si>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</si>
  <si>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</si>
  <si>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</si>
  <si>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</si>
  <si>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</si>
  <si>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</si>
  <si>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</si>
  <si>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</si>
  <si>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</si>
  <si>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</si>
  <si>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</si>
  <si>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</si>
  <si>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</si>
  <si>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</si>
  <si>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</si>
  <si>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</si>
  <si>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</si>
  <si>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</si>
  <si>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</si>
  <si>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</si>
  <si>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</si>
  <si>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</si>
  <si>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</si>
  <si>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</si>
  <si>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</si>
  <si>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</si>
  <si>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</si>
  <si>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</si>
  <si>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</si>
  <si>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</si>
  <si>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</si>
  <si>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</si>
  <si>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</si>
  <si>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</si>
  <si>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</si>
  <si>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</si>
  <si>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</si>
  <si>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</si>
  <si>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</si>
  <si>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</si>
  <si>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</si>
  <si>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</si>
  <si>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</si>
  <si>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</si>
  <si>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</si>
  <si>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</si>
  <si>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</si>
  <si>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</si>
  <si>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BA</t>
  </si>
  <si>
    <t>BTS, PhD</t>
  </si>
  <si>
    <t>BS</t>
  </si>
  <si>
    <t>BA, MA</t>
  </si>
  <si>
    <t>BSc</t>
  </si>
  <si>
    <t>MA, MBA</t>
  </si>
  <si>
    <t>Psychology</t>
  </si>
  <si>
    <t>International Marketing</t>
  </si>
  <si>
    <t>Chemistry</t>
  </si>
  <si>
    <t>English Literature</t>
  </si>
  <si>
    <t>Economics / Marketing</t>
  </si>
  <si>
    <t>education</t>
  </si>
  <si>
    <t>arts</t>
  </si>
  <si>
    <t>educationMode</t>
  </si>
  <si>
    <t>specialization</t>
  </si>
  <si>
    <t>science</t>
  </si>
  <si>
    <t>administration</t>
  </si>
  <si>
    <t>educationType</t>
  </si>
  <si>
    <t>Marketing</t>
  </si>
  <si>
    <t>Engineer</t>
  </si>
  <si>
    <t>Literature</t>
  </si>
  <si>
    <t>Business</t>
  </si>
  <si>
    <t>educationExtra</t>
  </si>
  <si>
    <t>french</t>
  </si>
  <si>
    <t>german</t>
  </si>
  <si>
    <t>international</t>
  </si>
  <si>
    <t>languageDomain</t>
  </si>
  <si>
    <t>educationDegree</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</si>
  <si>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</si>
  <si>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</si>
  <si>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</si>
  <si>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</si>
  <si>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</si>
  <si>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</si>
  <si>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</si>
  <si>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</si>
  <si>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</si>
  <si>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</si>
  <si>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</si>
  <si>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</si>
  <si>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</si>
  <si>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</si>
  <si>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</si>
  <si>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</si>
  <si>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</si>
  <si>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</si>
  <si>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</si>
  <si>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</si>
  <si>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</si>
  <si>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</si>
  <si>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</si>
  <si>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</si>
  <si>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</si>
  <si>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</si>
  <si>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</si>
  <si>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</si>
  <si>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</si>
  <si>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</si>
  <si>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</si>
  <si>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</si>
  <si>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</si>
  <si>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</si>
  <si>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</si>
  <si>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</si>
  <si>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</si>
  <si>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</si>
  <si>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</si>
  <si>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</si>
  <si>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</si>
  <si>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</si>
  <si>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</si>
  <si>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</si>
  <si>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</si>
  <si>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</si>
  <si>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</si>
  <si>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</si>
  <si>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</si>
  <si>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</si>
  <si>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</si>
  <si>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</si>
  <si>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</si>
  <si>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</si>
  <si>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</si>
  <si>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</si>
  <si>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</si>
  <si>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</si>
  <si>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</si>
  <si>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</si>
  <si>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</si>
  <si>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</si>
  <si>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</si>
  <si>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</si>
  <si>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</si>
  <si>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</si>
  <si>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</si>
  <si>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</si>
  <si>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</si>
  <si>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</si>
  <si>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</si>
  <si>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</si>
  <si>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</si>
  <si>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</si>
  <si>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</si>
  <si>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</si>
  <si>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</si>
  <si>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</si>
  <si>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</si>
  <si>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</si>
  <si>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</si>
  <si>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</si>
  <si>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</si>
  <si>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</si>
  <si>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</si>
  <si>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</si>
  <si>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</si>
  <si>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</si>
  <si>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</si>
  <si>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</si>
  <si>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</si>
  <si>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</si>
  <si>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</si>
  <si>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</si>
  <si>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</si>
  <si>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</si>
  <si>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</si>
  <si>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</si>
  <si>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</si>
  <si>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</si>
  <si>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</si>
  <si>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</si>
  <si>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</si>
  <si>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</si>
  <si>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</si>
  <si>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</si>
  <si>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</si>
  <si>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</si>
  <si>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</si>
  <si>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</si>
  <si>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</si>
  <si>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</si>
  <si>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</si>
  <si>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</si>
  <si>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</si>
  <si>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</si>
  <si>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</si>
  <si>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</si>
  <si>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</si>
  <si>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</si>
  <si>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</si>
  <si>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</si>
  <si>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</si>
  <si>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</si>
  <si>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</si>
  <si>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</si>
  <si>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</si>
  <si>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</si>
  <si>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</si>
  <si>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</si>
  <si>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</si>
  <si>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</si>
  <si>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</si>
  <si>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</si>
  <si>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</si>
  <si>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</si>
  <si>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</si>
  <si>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</si>
  <si>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</si>
  <si>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</si>
  <si>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</si>
  <si>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</si>
  <si>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</si>
  <si>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</si>
  <si>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</si>
  <si>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</si>
  <si>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</si>
  <si>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</si>
  <si>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</si>
  <si>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</si>
  <si>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</si>
  <si>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</si>
  <si>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</si>
  <si>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</si>
  <si>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</si>
  <si>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</si>
  <si>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</si>
  <si>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</si>
  <si>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</si>
  <si>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</si>
  <si>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</si>
  <si>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</si>
  <si>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homePage</t>
  </si>
  <si>
    <t>Exotic Liquids</t>
  </si>
  <si>
    <t>Charlotte Cooper</t>
  </si>
  <si>
    <t>Purchasing Manager</t>
  </si>
  <si>
    <t>49 Gilbert St.</t>
  </si>
  <si>
    <t>EC1 4SD</t>
  </si>
  <si>
    <t>(171) 555-2222</t>
  </si>
  <si>
    <t>New Orleans Cajun Delights</t>
  </si>
  <si>
    <t>Shelley Burke</t>
  </si>
  <si>
    <t>P.O. Box 78934</t>
  </si>
  <si>
    <t>New Orleans</t>
  </si>
  <si>
    <t>LA</t>
  </si>
  <si>
    <t>(100) 555-4822</t>
  </si>
  <si>
    <t>#CAJUN.HTM#</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</si>
  <si>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</si>
  <si>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</si>
  <si>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</si>
  <si>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</si>
  <si>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</si>
  <si>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</si>
  <si>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</si>
  <si>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</si>
  <si>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</si>
  <si>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</si>
  <si>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</si>
  <si>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</si>
  <si>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</si>
  <si>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</si>
  <si>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</si>
  <si>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</si>
  <si>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</si>
  <si>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</si>
  <si>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</si>
  <si>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</si>
  <si>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</si>
  <si>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</si>
  <si>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</si>
  <si>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</si>
  <si>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</si>
  <si>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</si>
  <si>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Mayumi's (on the World Wide Web)#http://www.microsoft.com/accessdev/sampleapps/mayumi.htm#</t>
  </si>
  <si>
    <t> Ltd.</t>
  </si>
  <si>
    <t>Ian Devling</t>
  </si>
  <si>
    <t>74 Rose St. Moonie Ponds</t>
  </si>
  <si>
    <t>Melbourne</t>
  </si>
  <si>
    <t>Victoria</t>
  </si>
  <si>
    <t>Australia</t>
  </si>
  <si>
    <t>(03) 444-2343</t>
  </si>
  <si>
    <t>(03) 444-6588</t>
  </si>
  <si>
    <t>Specialty Biscuits</t>
  </si>
  <si>
    <t>Peter Wilson</t>
  </si>
  <si>
    <t>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</si>
  <si>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</si>
  <si>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</si>
  <si>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</si>
  <si>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</si>
  <si>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</si>
  <si>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</si>
  <si>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</si>
  <si>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</si>
  <si>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</si>
  <si>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</si>
  <si>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</si>
  <si>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</si>
  <si>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</si>
  <si>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</si>
  <si>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</si>
  <si>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</si>
  <si>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</si>
  <si>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</si>
  <si>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</si>
  <si>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</si>
  <si>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</si>
  <si>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</si>
  <si>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</si>
  <si>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</si>
  <si>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Plutzer (on the World Wide Web)#http://www.microsoft.com/accessdev/sampleapps/plutzer.htm#</t>
  </si>
  <si>
    <t>Nord-Ost-Fisch Handelsgesellschaft mbH</t>
  </si>
  <si>
    <t>Sven Petersen</t>
  </si>
  <si>
    <t>Coordinator Foreign Markets</t>
  </si>
  <si>
    <t>Frahmredder 112a</t>
  </si>
  <si>
    <t>Cuxhaven</t>
  </si>
  <si>
    <t>(04721) 8713</t>
  </si>
  <si>
    <t>(04721) 8714</t>
  </si>
  <si>
    <t>Formaggi Fortini s.r.l.</t>
  </si>
  <si>
    <t>Elio Rossi</t>
  </si>
  <si>
    <t>Viale Dante</t>
  </si>
  <si>
    <t>Ravenna</t>
  </si>
  <si>
    <t>(0544) 60323</t>
  </si>
  <si>
    <t>(0544) 60603</t>
  </si>
  <si>
    <t>#FORMAGGI.HTM#</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</si>
  <si>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</si>
  <si>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</si>
  <si>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</si>
  <si>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</si>
  <si>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</si>
  <si>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</si>
  <si>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</si>
  <si>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</si>
  <si>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</si>
  <si>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</si>
  <si>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</si>
  <si>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</si>
  <si>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</si>
  <si>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</si>
  <si>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</si>
  <si>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</si>
  <si>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</si>
  <si>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</si>
  <si>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</si>
  <si>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</si>
  <si>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</si>
  <si>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</si>
  <si>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</si>
  <si>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</si>
  <si>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</si>
  <si>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</si>
  <si>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</si>
  <si>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</si>
  <si>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</si>
  <si>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</si>
  <si>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</si>
  <si>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t>
  </si>
  <si>
    <t>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</si>
  <si>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</si>
  <si>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</si>
  <si>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</si>
  <si>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</si>
  <si>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</si>
  <si>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</si>
  <si>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</si>
  <si>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</si>
  <si>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</si>
  <si>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</si>
  <si>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</si>
  <si>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</si>
  <si>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</si>
  <si>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</si>
  <si>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</si>
  <si>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</si>
  <si>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</si>
  <si>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</si>
  <si>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</si>
  <si>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</si>
  <si>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</si>
  <si>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</si>
  <si>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</si>
  <si>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170 Prince Edward Parade Hunter's Hill</t>
  </si>
  <si>
    <t>Sydney</t>
  </si>
  <si>
    <t>NSW</t>
  </si>
  <si>
    <t>(02) 555-5914</t>
  </si>
  <si>
    <t>(02) 555-4873</t>
  </si>
  <si>
    <t>G'day Mate (on the World Wide Web)#http://www.microsoft.com/accessdev/sampleapps/gdaymate.htm#</t>
  </si>
  <si>
    <t>Ma Maison</t>
  </si>
  <si>
    <t>Jean-Guy Lauzon</t>
  </si>
  <si>
    <t>2960 Rue St. Laurent</t>
  </si>
  <si>
    <t>(514) 555-9022</t>
  </si>
  <si>
    <t>Pasta Buttini s.r.l.</t>
  </si>
  <si>
    <t>Giovanni Giudici</t>
  </si>
  <si>
    <t>Via dei Gelsomini</t>
  </si>
  <si>
    <t>Salerno</t>
  </si>
  <si>
    <t>(089) 6547665</t>
  </si>
  <si>
    <t>(089) 6547667</t>
  </si>
  <si>
    <t>Escargots Nouveaux</t>
  </si>
  <si>
    <t>Marie Delamare</t>
  </si>
  <si>
    <t> rue H. Voiron</t>
  </si>
  <si>
    <t>Montceau</t>
  </si>
  <si>
    <t>85.57.00.07</t>
  </si>
  <si>
    <t>Gai pâturage</t>
  </si>
  <si>
    <t>Eliane Noz</t>
  </si>
  <si>
    <t>Bat. B 3</t>
  </si>
  <si>
    <t> rue des Alpes</t>
  </si>
  <si>
    <t>Annecy</t>
  </si>
  <si>
    <t>38.76.98.06</t>
  </si>
  <si>
    <t>38.76.98.58</t>
  </si>
  <si>
    <t>Forêts d'érables</t>
  </si>
  <si>
    <t>Chantal Goulet</t>
  </si>
  <si>
    <t>148 rue Chasseur</t>
  </si>
  <si>
    <t>Ste-Hyacinthe</t>
  </si>
  <si>
    <t>J2S 7S8</t>
  </si>
  <si>
    <t>(514) 555-2955</t>
  </si>
  <si>
    <t>(514) 555-2921</t>
  </si>
  <si>
    <t>Marketing Manager 74 Rose St. Moonie Ponds</t>
  </si>
  <si>
    <t>Sales Representative 29 King's Way</t>
  </si>
  <si>
    <t>Viale Dante 75</t>
  </si>
  <si>
    <t>203  Rue des Francs-Bourgeois</t>
  </si>
  <si>
    <t>471 Serangoon Loop Suite #402</t>
  </si>
  <si>
    <t>Sales Representative 170 Prince Edward Parade Hunter's Hill</t>
  </si>
  <si>
    <t>Via dei Gelsomini 153</t>
  </si>
  <si>
    <t>22  rue H. Voiron</t>
  </si>
  <si>
    <t>Bat. B 3  rue des Alpes</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</si>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</sst>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6" x14ac:knownFonts="1">
    <font>
      <sz val="12"/>
      <color theme="1"/>
      <name val="Aptos Narrow"/>
      <family val="2"/>
      <scheme val="minor"/>
    </font>
    <font>
      <sz val="10"/>
      <color rgb="FF000000"/>
      <name val="Helvetica Neue"/>
      <family val="2"/>
    </font>
    <font>
      <b/>
      <sz val="10"/>
      <color rgb="FF000000"/>
      <name val="Helvetica Neue"/>
      <family val="2"/>
    </font>
    <font>
      <sz val="12"/>
      <color theme="1"/>
      <name val="Helvetica"/>
      <family val="2"/>
    </font>
    <font>
      <sz val="12"/>
      <color theme="1"/>
      <name val="Aptos Narrow"/>
      <family val="2"/>
      <scheme val="minor"/>
    </font>
    <font>
      <u/>
      <sz val="12"/>
      <color theme="10"/>
      <name val="Aptos Narrow"/>
      <family val="2"/>
      <scheme val="minor"/>
    </font>
  </fonts>
  <fills count="2">
    <fill>
      <patternFill patternType="none"/>
    </fill>
    <fill>
      <patternFill patternType="gray125"/>
    </fill>
  </fills>
  <borders count="1">
    <border>
      <left/>
      <right/>
      <top/>
      <bottom/>
      <diagonal/>
    </border>
  </borders>
  <cellStyleXfs count="4">
    <xf numFmtId="0" fontId="0" fillId="0" borderId="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cellStyleXfs>
  <cellXfs count="13">
    <xf numFmtId="0" fontId="0" fillId="0" borderId="0" xfId="0"/>
    <xf numFmtId="0" fontId="2" fillId="0" borderId="0" xfId="0" applyFont="1"/>
    <xf numFmtId="0" fontId="3" fillId="0" borderId="0" xfId="0" applyFont="1"/>
    <xf numFmtId="0" fontId="1" fillId="0" borderId="0" xfId="0" applyFont="1"/>
    <xf numFmtId="47" fontId="1" fillId="0" borderId="0" xfId="0" applyNumberFormat="1" applyFont="1"/>
    <xf numFmtId="14" fontId="0" fillId="0" borderId="0" xfId="0" applyNumberFormat="1"/>
    <xf numFmtId="44" fontId="0" fillId="0" borderId="0" xfId="1" applyFont="1"/>
    <xf numFmtId="0" fontId="0" fillId="0" borderId="0" xfId="0" applyAlignment="1">
      <alignment horizontal="left"/>
    </xf>
    <xf numFmtId="9" fontId="0" fillId="0" borderId="0" xfId="2" applyFont="1"/>
    <xf numFmtId="0" fontId="5" fillId="0" borderId="0" xfId="3"/>
    <xf numFmtId="14" fontId="0" fillId="0" borderId="0" xfId="0" applyNumberFormat="1" applyAlignment="1">
      <alignment horizontal="left"/>
    </xf>
    <xf numFmtId="0" fontId="0" fillId="0" borderId="0" xfId="0" applyAlignment="1">
      <alignment horizontal="left" wrapText="1"/>
    </xf>
    <xf numFmtId="44" fontId="0" fillId="0" borderId="0" xfId="1" applyFont="1" applyAlignment="1">
      <alignment horizontal="left"/>
    </xf>
  </cellXfs>
  <cellStyles count="4">
    <cellStyle name="Hipervínculo" xfId="3" builtinId="8"/>
    <cellStyle name="Moneda" xfId="1" builtinId="4"/>
    <cellStyle name="Normal" xfId="0" builtinId="0"/>
    <cellStyle name="Porcentaje"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9.xml.rels><?xml version="1.0" encoding="UTF-8" standalone="yes"?>
<Relationships xmlns="http://schemas.openxmlformats.org/package/2006/relationships"><Relationship Id="rId3" Type="http://schemas.openxmlformats.org/officeDocument/2006/relationships/hyperlink" Target="http://www.microsoft.com/accessdev/sampleapps/gdaymate.htm" TargetMode="External"/><Relationship Id="rId2" Type="http://schemas.openxmlformats.org/officeDocument/2006/relationships/hyperlink" Target="http://www.microsoft.com/accessdev/sampleapps/plutzer.htm" TargetMode="External"/><Relationship Id="rId1" Type="http://schemas.openxmlformats.org/officeDocument/2006/relationships/hyperlink" Target="http://www.microsoft.com/accessdev/sampleapps/mayumi.ht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C6A1-2584-2646-813B-62D125858FEE}">
  <dimension ref="A1:T831"/>
  <sheetViews>
    <sheetView zoomScale="116" workbookViewId="0">
      <selection activeCell="I18" sqref="I18"/>
    </sheetView>
  </sheetViews>
  <sheetFormatPr baseColWidth="10" defaultRowHeight="16" x14ac:dyDescent="0.2"/>
  <cols>
    <col min="10" max="11" width="13" customWidth="1"/>
    <col min="13" max="13" width="21.83203125" customWidth="1"/>
    <col min="16" max="16" width="39" bestFit="1" customWidth="1"/>
    <col min="17" max="17" width="12.6640625" bestFit="1" customWidth="1"/>
    <col min="18" max="18" width="12.83203125" bestFit="1" customWidth="1"/>
    <col min="19" max="19" width="13.83203125" bestFit="1" customWidth="1"/>
    <col min="20" max="20" width="11" bestFit="1" customWidth="1"/>
  </cols>
  <sheetData>
    <row r="1" spans="1:20"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2"/>
      <c r="P1" t="str">
        <f>J1</f>
        <v>shipAddress</v>
      </c>
      <c r="Q1" t="str">
        <f>IF(O1&lt;&gt;"",O1,K1)</f>
        <v>shipCity</v>
      </c>
      <c r="R1" t="str">
        <f>IF(O1&lt;&gt;"",M1,L1)</f>
        <v>shipRegion</v>
      </c>
      <c r="S1" t="str">
        <f>IF(O1&lt;&gt;"",N1,M1)</f>
        <v>shipPostalCode</v>
      </c>
      <c r="T1" t="str">
        <f>IF(O1&lt;&gt;"",O1,N1)</f>
        <v>shipCountry</v>
      </c>
    </row>
    <row r="2" spans="1:20" x14ac:dyDescent="0.2">
      <c r="A2" s="1">
        <v>10248</v>
      </c>
      <c r="B2" s="3" t="s">
        <v>14</v>
      </c>
      <c r="C2" s="3">
        <v>5</v>
      </c>
      <c r="D2" s="4">
        <v>35250</v>
      </c>
      <c r="E2" s="4">
        <v>35278</v>
      </c>
      <c r="F2" s="4">
        <v>35262</v>
      </c>
      <c r="G2" s="3">
        <v>3</v>
      </c>
      <c r="H2" s="3">
        <v>32.380000000000003</v>
      </c>
      <c r="I2" s="3" t="s">
        <v>15</v>
      </c>
      <c r="J2" s="3" t="s">
        <v>16</v>
      </c>
      <c r="K2" s="3" t="s">
        <v>17</v>
      </c>
      <c r="L2" s="3" t="s">
        <v>18</v>
      </c>
      <c r="M2" s="3">
        <v>51100</v>
      </c>
      <c r="N2" s="3" t="s">
        <v>19</v>
      </c>
      <c r="O2" s="2"/>
      <c r="P2" t="str">
        <f t="shared" ref="P2:P65" si="0">IF(O2&lt;&gt;"",J2&amp;" "&amp;K2,J2)</f>
        <v>59 rue de l'Abbaye</v>
      </c>
      <c r="Q2" t="str">
        <f t="shared" ref="Q2:Q5" si="1">IF(O2&lt;&gt;"",L2,K2)</f>
        <v>Reims</v>
      </c>
      <c r="R2" t="str">
        <f>IF(O2&lt;&gt;"",M2,L2)</f>
        <v>NULL</v>
      </c>
      <c r="S2">
        <f>IF(O2&lt;&gt;"",N2,M2)</f>
        <v>51100</v>
      </c>
      <c r="T2" t="str">
        <f>IF(O2&lt;&gt;"",O2,N2)</f>
        <v>France</v>
      </c>
    </row>
    <row r="3" spans="1:20" x14ac:dyDescent="0.2">
      <c r="A3" s="1">
        <v>10249</v>
      </c>
      <c r="B3" s="3" t="s">
        <v>20</v>
      </c>
      <c r="C3" s="3">
        <v>6</v>
      </c>
      <c r="D3" s="4">
        <v>35251</v>
      </c>
      <c r="E3" s="4">
        <v>35293</v>
      </c>
      <c r="F3" s="4">
        <v>35256</v>
      </c>
      <c r="G3" s="3">
        <v>1</v>
      </c>
      <c r="H3" s="3">
        <v>11.61</v>
      </c>
      <c r="I3" s="3" t="s">
        <v>21</v>
      </c>
      <c r="J3" s="3" t="s">
        <v>22</v>
      </c>
      <c r="K3" s="3" t="s">
        <v>23</v>
      </c>
      <c r="L3" s="3" t="s">
        <v>18</v>
      </c>
      <c r="M3" s="3">
        <v>44087</v>
      </c>
      <c r="N3" s="3" t="s">
        <v>24</v>
      </c>
      <c r="O3" s="2"/>
      <c r="P3" t="str">
        <f t="shared" si="0"/>
        <v>Luisenstr. 48</v>
      </c>
      <c r="Q3" t="str">
        <f t="shared" si="1"/>
        <v>Münster</v>
      </c>
      <c r="R3" t="str">
        <f t="shared" ref="R3:R66" si="2">IF(O3&lt;&gt;"",M3,L3)</f>
        <v>NULL</v>
      </c>
      <c r="S3">
        <f t="shared" ref="S3:S66" si="3">IF(O3&lt;&gt;"",N3,M3)</f>
        <v>44087</v>
      </c>
      <c r="T3" t="str">
        <f t="shared" ref="T3:T66" si="4">IF(O3&lt;&gt;"",O3,N3)</f>
        <v>Germany</v>
      </c>
    </row>
    <row r="4" spans="1:20" x14ac:dyDescent="0.2">
      <c r="A4" s="1">
        <v>10250</v>
      </c>
      <c r="B4" s="3" t="s">
        <v>25</v>
      </c>
      <c r="C4" s="3">
        <v>4</v>
      </c>
      <c r="D4" s="4">
        <v>35254</v>
      </c>
      <c r="E4" s="4">
        <v>35282</v>
      </c>
      <c r="F4" s="4">
        <v>35258</v>
      </c>
      <c r="G4" s="3">
        <v>2</v>
      </c>
      <c r="H4" s="3">
        <v>65.83</v>
      </c>
      <c r="I4" s="3" t="s">
        <v>26</v>
      </c>
      <c r="J4" s="3" t="s">
        <v>27</v>
      </c>
      <c r="K4" s="3">
        <v>67</v>
      </c>
      <c r="L4" s="3" t="s">
        <v>28</v>
      </c>
      <c r="M4" s="3" t="s">
        <v>29</v>
      </c>
      <c r="N4" s="3" t="s">
        <v>30</v>
      </c>
      <c r="O4" s="3" t="s">
        <v>31</v>
      </c>
      <c r="P4" t="str">
        <f>IF(O4&lt;&gt;"",J4&amp;" "&amp;K4,J4)</f>
        <v>Rua do Paço 67</v>
      </c>
      <c r="Q4" t="str">
        <f t="shared" si="1"/>
        <v>Rio de Janeiro</v>
      </c>
      <c r="R4" t="str">
        <f t="shared" si="2"/>
        <v>RJ</v>
      </c>
      <c r="S4" t="str">
        <f t="shared" si="3"/>
        <v>05454-876</v>
      </c>
      <c r="T4" t="str">
        <f t="shared" si="4"/>
        <v>Brazil</v>
      </c>
    </row>
    <row r="5" spans="1:20" x14ac:dyDescent="0.2">
      <c r="A5" s="1">
        <v>10251</v>
      </c>
      <c r="B5" s="3" t="s">
        <v>32</v>
      </c>
      <c r="C5" s="3">
        <v>3</v>
      </c>
      <c r="D5" s="4">
        <v>35254</v>
      </c>
      <c r="E5" s="4">
        <v>35282</v>
      </c>
      <c r="F5" s="4">
        <v>35261</v>
      </c>
      <c r="G5" s="3">
        <v>1</v>
      </c>
      <c r="H5" s="3">
        <v>41.34</v>
      </c>
      <c r="I5" s="3" t="s">
        <v>33</v>
      </c>
      <c r="J5" s="3">
        <v>2</v>
      </c>
      <c r="K5" s="3" t="s">
        <v>34</v>
      </c>
      <c r="L5" s="3" t="s">
        <v>35</v>
      </c>
      <c r="M5" s="3" t="s">
        <v>18</v>
      </c>
      <c r="N5" s="3">
        <v>69004</v>
      </c>
      <c r="O5" s="3" t="s">
        <v>19</v>
      </c>
      <c r="P5" t="str">
        <f t="shared" si="0"/>
        <v>2  rue du Commerce</v>
      </c>
      <c r="Q5" t="str">
        <f t="shared" si="1"/>
        <v>Lyon</v>
      </c>
      <c r="R5" t="str">
        <f t="shared" si="2"/>
        <v>NULL</v>
      </c>
      <c r="S5">
        <f t="shared" si="3"/>
        <v>69004</v>
      </c>
      <c r="T5" t="str">
        <f t="shared" si="4"/>
        <v>France</v>
      </c>
    </row>
    <row r="6" spans="1:20" x14ac:dyDescent="0.2">
      <c r="A6" s="1">
        <v>10252</v>
      </c>
      <c r="B6" s="3" t="s">
        <v>36</v>
      </c>
      <c r="C6" s="3">
        <v>4</v>
      </c>
      <c r="D6" s="4">
        <v>35255</v>
      </c>
      <c r="E6" s="4">
        <v>35283</v>
      </c>
      <c r="F6" s="4">
        <v>35257</v>
      </c>
      <c r="G6" s="3">
        <v>2</v>
      </c>
      <c r="H6" s="3">
        <v>51.3</v>
      </c>
      <c r="I6" s="3" t="s">
        <v>37</v>
      </c>
      <c r="J6" s="3" t="s">
        <v>38</v>
      </c>
      <c r="K6" s="3">
        <v>255</v>
      </c>
      <c r="L6" s="3" t="s">
        <v>39</v>
      </c>
      <c r="M6" s="3" t="s">
        <v>18</v>
      </c>
      <c r="N6" s="3" t="s">
        <v>40</v>
      </c>
      <c r="O6" s="3" t="s">
        <v>41</v>
      </c>
      <c r="P6" t="str">
        <f t="shared" si="0"/>
        <v>Boulevard Tirou 255</v>
      </c>
      <c r="Q6" t="str">
        <f>IF(O6&lt;&gt;"",L6,K6)</f>
        <v>Charleroi</v>
      </c>
      <c r="R6" t="str">
        <f t="shared" si="2"/>
        <v>NULL</v>
      </c>
      <c r="S6" t="str">
        <f t="shared" si="3"/>
        <v>B-6000</v>
      </c>
      <c r="T6" t="str">
        <f t="shared" si="4"/>
        <v>Belgium</v>
      </c>
    </row>
    <row r="7" spans="1:20" x14ac:dyDescent="0.2">
      <c r="A7" s="1">
        <v>10253</v>
      </c>
      <c r="B7" s="3" t="s">
        <v>25</v>
      </c>
      <c r="C7" s="3">
        <v>3</v>
      </c>
      <c r="D7" s="4">
        <v>35256</v>
      </c>
      <c r="E7" s="4">
        <v>35270</v>
      </c>
      <c r="F7" s="4">
        <v>35262</v>
      </c>
      <c r="G7" s="3">
        <v>2</v>
      </c>
      <c r="H7" s="3">
        <v>58.17</v>
      </c>
      <c r="I7" s="3" t="s">
        <v>26</v>
      </c>
      <c r="J7" s="3" t="s">
        <v>27</v>
      </c>
      <c r="K7" s="3">
        <v>67</v>
      </c>
      <c r="L7" s="3" t="s">
        <v>28</v>
      </c>
      <c r="M7" s="3" t="s">
        <v>29</v>
      </c>
      <c r="N7" s="3" t="s">
        <v>30</v>
      </c>
      <c r="O7" s="3" t="s">
        <v>31</v>
      </c>
      <c r="P7" t="str">
        <f t="shared" si="0"/>
        <v>Rua do Paço 67</v>
      </c>
      <c r="Q7" t="str">
        <f t="shared" ref="Q7:Q70" si="5">IF(O7&lt;&gt;"",L7,K7)</f>
        <v>Rio de Janeiro</v>
      </c>
      <c r="R7" t="str">
        <f t="shared" si="2"/>
        <v>RJ</v>
      </c>
      <c r="S7" t="str">
        <f t="shared" si="3"/>
        <v>05454-876</v>
      </c>
      <c r="T7" t="str">
        <f t="shared" si="4"/>
        <v>Brazil</v>
      </c>
    </row>
    <row r="8" spans="1:20" x14ac:dyDescent="0.2">
      <c r="A8" s="1">
        <v>10254</v>
      </c>
      <c r="B8" s="3" t="s">
        <v>42</v>
      </c>
      <c r="C8" s="3">
        <v>5</v>
      </c>
      <c r="D8" s="4">
        <v>35257</v>
      </c>
      <c r="E8" s="4">
        <v>35285</v>
      </c>
      <c r="F8" s="4">
        <v>35269</v>
      </c>
      <c r="G8" s="3">
        <v>2</v>
      </c>
      <c r="H8" s="3">
        <v>22.98</v>
      </c>
      <c r="I8" s="3" t="s">
        <v>43</v>
      </c>
      <c r="J8" s="3" t="s">
        <v>44</v>
      </c>
      <c r="K8" s="3" t="s">
        <v>45</v>
      </c>
      <c r="L8" s="3" t="s">
        <v>18</v>
      </c>
      <c r="M8" s="3">
        <v>3012</v>
      </c>
      <c r="N8" s="3" t="s">
        <v>46</v>
      </c>
      <c r="O8" s="2"/>
      <c r="P8" t="str">
        <f t="shared" si="0"/>
        <v>Hauptstr. 31</v>
      </c>
      <c r="Q8" t="str">
        <f t="shared" si="5"/>
        <v>Bern</v>
      </c>
      <c r="R8" t="str">
        <f t="shared" si="2"/>
        <v>NULL</v>
      </c>
      <c r="S8">
        <f t="shared" si="3"/>
        <v>3012</v>
      </c>
      <c r="T8" t="str">
        <f t="shared" si="4"/>
        <v>Switzerland</v>
      </c>
    </row>
    <row r="9" spans="1:20" x14ac:dyDescent="0.2">
      <c r="A9" s="1">
        <v>10255</v>
      </c>
      <c r="B9" s="3" t="s">
        <v>47</v>
      </c>
      <c r="C9" s="3">
        <v>9</v>
      </c>
      <c r="D9" s="4">
        <v>35258</v>
      </c>
      <c r="E9" s="4">
        <v>35286</v>
      </c>
      <c r="F9" s="4">
        <v>35261</v>
      </c>
      <c r="G9" s="3">
        <v>3</v>
      </c>
      <c r="H9" s="3">
        <v>148.33000000000001</v>
      </c>
      <c r="I9" s="3" t="s">
        <v>48</v>
      </c>
      <c r="J9" s="3" t="s">
        <v>49</v>
      </c>
      <c r="K9" s="3" t="s">
        <v>50</v>
      </c>
      <c r="L9" s="3" t="s">
        <v>18</v>
      </c>
      <c r="M9" s="3">
        <v>1204</v>
      </c>
      <c r="N9" s="3" t="s">
        <v>46</v>
      </c>
      <c r="O9" s="2"/>
      <c r="P9" t="str">
        <f t="shared" si="0"/>
        <v>Starenweg 5</v>
      </c>
      <c r="Q9" t="str">
        <f t="shared" si="5"/>
        <v>Genève</v>
      </c>
      <c r="R9" t="str">
        <f t="shared" si="2"/>
        <v>NULL</v>
      </c>
      <c r="S9">
        <f t="shared" si="3"/>
        <v>1204</v>
      </c>
      <c r="T9" t="str">
        <f t="shared" si="4"/>
        <v>Switzerland</v>
      </c>
    </row>
    <row r="10" spans="1:20" x14ac:dyDescent="0.2">
      <c r="A10" s="1">
        <v>10256</v>
      </c>
      <c r="B10" s="3" t="s">
        <v>51</v>
      </c>
      <c r="C10" s="3">
        <v>3</v>
      </c>
      <c r="D10" s="4">
        <v>35261</v>
      </c>
      <c r="E10" s="4">
        <v>35289</v>
      </c>
      <c r="F10" s="4">
        <v>35263</v>
      </c>
      <c r="G10" s="3">
        <v>2</v>
      </c>
      <c r="H10" s="3">
        <v>13.97</v>
      </c>
      <c r="I10" s="3" t="s">
        <v>52</v>
      </c>
      <c r="J10" s="3" t="s">
        <v>53</v>
      </c>
      <c r="K10" s="3">
        <v>12</v>
      </c>
      <c r="L10" s="3" t="s">
        <v>54</v>
      </c>
      <c r="M10" s="3" t="s">
        <v>55</v>
      </c>
      <c r="N10" s="3" t="s">
        <v>56</v>
      </c>
      <c r="O10" s="3" t="s">
        <v>31</v>
      </c>
      <c r="P10" t="str">
        <f t="shared" si="0"/>
        <v>Rua do Mercado 12</v>
      </c>
      <c r="Q10" t="str">
        <f t="shared" si="5"/>
        <v>Resende</v>
      </c>
      <c r="R10" t="str">
        <f t="shared" si="2"/>
        <v>SP</v>
      </c>
      <c r="S10" t="str">
        <f t="shared" si="3"/>
        <v>08737-363</v>
      </c>
      <c r="T10" t="str">
        <f t="shared" si="4"/>
        <v>Brazil</v>
      </c>
    </row>
    <row r="11" spans="1:20" x14ac:dyDescent="0.2">
      <c r="A11" s="1">
        <v>10257</v>
      </c>
      <c r="B11" s="3" t="s">
        <v>57</v>
      </c>
      <c r="C11" s="3">
        <v>4</v>
      </c>
      <c r="D11" s="4">
        <v>35262</v>
      </c>
      <c r="E11" s="4">
        <v>35290</v>
      </c>
      <c r="F11" s="4">
        <v>35268</v>
      </c>
      <c r="G11" s="3">
        <v>3</v>
      </c>
      <c r="H11" s="3">
        <v>81.91</v>
      </c>
      <c r="I11" s="3" t="s">
        <v>58</v>
      </c>
      <c r="J11" s="3" t="s">
        <v>59</v>
      </c>
      <c r="K11" s="3" t="s">
        <v>60</v>
      </c>
      <c r="L11" s="3" t="s">
        <v>61</v>
      </c>
      <c r="M11" s="3">
        <v>5022</v>
      </c>
      <c r="N11" s="3" t="s">
        <v>62</v>
      </c>
      <c r="O11" s="2"/>
      <c r="P11" t="str">
        <f t="shared" si="0"/>
        <v>Carrera 22 con Ave. Carlos Soublette #8-35</v>
      </c>
      <c r="Q11" t="str">
        <f t="shared" si="5"/>
        <v>San Cristóbal</v>
      </c>
      <c r="R11" t="str">
        <f t="shared" si="2"/>
        <v>Táchira</v>
      </c>
      <c r="S11">
        <f t="shared" si="3"/>
        <v>5022</v>
      </c>
      <c r="T11" t="str">
        <f t="shared" si="4"/>
        <v>Venezuela</v>
      </c>
    </row>
    <row r="12" spans="1:20" x14ac:dyDescent="0.2">
      <c r="A12" s="1">
        <v>10258</v>
      </c>
      <c r="B12" s="3" t="s">
        <v>63</v>
      </c>
      <c r="C12" s="3">
        <v>1</v>
      </c>
      <c r="D12" s="4">
        <v>35263</v>
      </c>
      <c r="E12" s="4">
        <v>35291</v>
      </c>
      <c r="F12" s="4">
        <v>35269</v>
      </c>
      <c r="G12" s="3">
        <v>1</v>
      </c>
      <c r="H12" s="3">
        <v>140.51</v>
      </c>
      <c r="I12" s="3" t="s">
        <v>64</v>
      </c>
      <c r="J12" s="3" t="s">
        <v>65</v>
      </c>
      <c r="K12" s="3" t="s">
        <v>66</v>
      </c>
      <c r="L12" s="3" t="s">
        <v>18</v>
      </c>
      <c r="M12" s="3">
        <v>8010</v>
      </c>
      <c r="N12" s="3" t="s">
        <v>67</v>
      </c>
      <c r="O12" s="2"/>
      <c r="P12" t="str">
        <f t="shared" si="0"/>
        <v>Kirchgasse 6</v>
      </c>
      <c r="Q12" t="str">
        <f t="shared" si="5"/>
        <v>Graz</v>
      </c>
      <c r="R12" t="str">
        <f t="shared" si="2"/>
        <v>NULL</v>
      </c>
      <c r="S12">
        <f t="shared" si="3"/>
        <v>8010</v>
      </c>
      <c r="T12" t="str">
        <f t="shared" si="4"/>
        <v>Austria</v>
      </c>
    </row>
    <row r="13" spans="1:20" x14ac:dyDescent="0.2">
      <c r="A13" s="1">
        <v>10259</v>
      </c>
      <c r="B13" s="3" t="s">
        <v>68</v>
      </c>
      <c r="C13" s="3">
        <v>4</v>
      </c>
      <c r="D13" s="4">
        <v>35264</v>
      </c>
      <c r="E13" s="4">
        <v>35292</v>
      </c>
      <c r="F13" s="4">
        <v>35271</v>
      </c>
      <c r="G13" s="3">
        <v>3</v>
      </c>
      <c r="H13" s="3">
        <v>3.25</v>
      </c>
      <c r="I13" s="3" t="s">
        <v>69</v>
      </c>
      <c r="J13" s="3" t="s">
        <v>70</v>
      </c>
      <c r="K13" s="3" t="s">
        <v>71</v>
      </c>
      <c r="L13" s="3" t="s">
        <v>18</v>
      </c>
      <c r="M13" s="3">
        <v>5022</v>
      </c>
      <c r="N13" s="3" t="s">
        <v>72</v>
      </c>
      <c r="O13" s="2"/>
      <c r="P13" t="str">
        <f t="shared" si="0"/>
        <v>Sierras de Granada 9993</v>
      </c>
      <c r="Q13" t="str">
        <f t="shared" si="5"/>
        <v>México D.F.</v>
      </c>
      <c r="R13" t="str">
        <f t="shared" si="2"/>
        <v>NULL</v>
      </c>
      <c r="S13">
        <f t="shared" si="3"/>
        <v>5022</v>
      </c>
      <c r="T13" t="str">
        <f t="shared" si="4"/>
        <v>Mexico</v>
      </c>
    </row>
    <row r="14" spans="1:20" x14ac:dyDescent="0.2">
      <c r="A14" s="1">
        <v>10260</v>
      </c>
      <c r="B14" s="3" t="s">
        <v>73</v>
      </c>
      <c r="C14" s="3">
        <v>4</v>
      </c>
      <c r="D14" s="4">
        <v>35265</v>
      </c>
      <c r="E14" s="4">
        <v>35293</v>
      </c>
      <c r="F14" s="4">
        <v>35275</v>
      </c>
      <c r="G14" s="3">
        <v>1</v>
      </c>
      <c r="H14" s="3">
        <v>55.09</v>
      </c>
      <c r="I14" s="3" t="s">
        <v>74</v>
      </c>
      <c r="J14" s="3" t="s">
        <v>75</v>
      </c>
      <c r="K14" s="3" t="s">
        <v>76</v>
      </c>
      <c r="L14" s="3" t="s">
        <v>18</v>
      </c>
      <c r="M14" s="3">
        <v>50739</v>
      </c>
      <c r="N14" s="3" t="s">
        <v>24</v>
      </c>
      <c r="O14" s="2"/>
      <c r="P14" t="str">
        <f t="shared" si="0"/>
        <v>Mehrheimerstr. 369</v>
      </c>
      <c r="Q14" t="str">
        <f t="shared" si="5"/>
        <v>Köln</v>
      </c>
      <c r="R14" t="str">
        <f t="shared" si="2"/>
        <v>NULL</v>
      </c>
      <c r="S14">
        <f t="shared" si="3"/>
        <v>50739</v>
      </c>
      <c r="T14" t="str">
        <f t="shared" si="4"/>
        <v>Germany</v>
      </c>
    </row>
    <row r="15" spans="1:20" x14ac:dyDescent="0.2">
      <c r="A15" s="1">
        <v>10261</v>
      </c>
      <c r="B15" s="3" t="s">
        <v>77</v>
      </c>
      <c r="C15" s="3">
        <v>4</v>
      </c>
      <c r="D15" s="4">
        <v>35265</v>
      </c>
      <c r="E15" s="4">
        <v>35293</v>
      </c>
      <c r="F15" s="4">
        <v>35276</v>
      </c>
      <c r="G15" s="3">
        <v>2</v>
      </c>
      <c r="H15" s="3">
        <v>3.05</v>
      </c>
      <c r="I15" s="3" t="s">
        <v>78</v>
      </c>
      <c r="J15" s="3" t="s">
        <v>79</v>
      </c>
      <c r="K15" s="3">
        <v>12</v>
      </c>
      <c r="L15" s="3" t="s">
        <v>28</v>
      </c>
      <c r="M15" s="3" t="s">
        <v>29</v>
      </c>
      <c r="N15" s="3" t="s">
        <v>80</v>
      </c>
      <c r="O15" s="3" t="s">
        <v>31</v>
      </c>
      <c r="P15" t="str">
        <f t="shared" si="0"/>
        <v>Rua da Panificadora 12</v>
      </c>
      <c r="Q15" t="str">
        <f t="shared" si="5"/>
        <v>Rio de Janeiro</v>
      </c>
      <c r="R15" t="str">
        <f t="shared" si="2"/>
        <v>RJ</v>
      </c>
      <c r="S15" t="str">
        <f t="shared" si="3"/>
        <v>02389-673</v>
      </c>
      <c r="T15" t="str">
        <f t="shared" si="4"/>
        <v>Brazil</v>
      </c>
    </row>
    <row r="16" spans="1:20" x14ac:dyDescent="0.2">
      <c r="A16" s="1">
        <v>10262</v>
      </c>
      <c r="B16" s="3" t="s">
        <v>81</v>
      </c>
      <c r="C16" s="3">
        <v>8</v>
      </c>
      <c r="D16" s="4">
        <v>35268</v>
      </c>
      <c r="E16" s="4">
        <v>35296</v>
      </c>
      <c r="F16" s="4">
        <v>35271</v>
      </c>
      <c r="G16" s="3">
        <v>3</v>
      </c>
      <c r="H16" s="3">
        <v>48.29</v>
      </c>
      <c r="I16" s="3" t="s">
        <v>82</v>
      </c>
      <c r="J16" s="3" t="s">
        <v>83</v>
      </c>
      <c r="K16" s="3" t="s">
        <v>84</v>
      </c>
      <c r="L16" s="3" t="s">
        <v>85</v>
      </c>
      <c r="M16" s="3">
        <v>87110</v>
      </c>
      <c r="N16" s="3" t="s">
        <v>86</v>
      </c>
      <c r="O16" s="2"/>
      <c r="P16" t="str">
        <f t="shared" si="0"/>
        <v>2817 Milton Dr.</v>
      </c>
      <c r="Q16" t="str">
        <f t="shared" si="5"/>
        <v>Albuquerque</v>
      </c>
      <c r="R16" t="str">
        <f t="shared" si="2"/>
        <v>NM</v>
      </c>
      <c r="S16">
        <f t="shared" si="3"/>
        <v>87110</v>
      </c>
      <c r="T16" t="str">
        <f t="shared" si="4"/>
        <v>USA</v>
      </c>
    </row>
    <row r="17" spans="1:20" x14ac:dyDescent="0.2">
      <c r="A17" s="1">
        <v>10263</v>
      </c>
      <c r="B17" s="3" t="s">
        <v>63</v>
      </c>
      <c r="C17" s="3">
        <v>9</v>
      </c>
      <c r="D17" s="4">
        <v>35269</v>
      </c>
      <c r="E17" s="4">
        <v>35297</v>
      </c>
      <c r="F17" s="4">
        <v>35277</v>
      </c>
      <c r="G17" s="3">
        <v>3</v>
      </c>
      <c r="H17" s="3">
        <v>146.06</v>
      </c>
      <c r="I17" s="3" t="s">
        <v>64</v>
      </c>
      <c r="J17" s="3" t="s">
        <v>65</v>
      </c>
      <c r="K17" s="3" t="s">
        <v>66</v>
      </c>
      <c r="L17" s="3" t="s">
        <v>18</v>
      </c>
      <c r="M17" s="3">
        <v>8010</v>
      </c>
      <c r="N17" s="3" t="s">
        <v>67</v>
      </c>
      <c r="O17" s="2"/>
      <c r="P17" t="str">
        <f t="shared" si="0"/>
        <v>Kirchgasse 6</v>
      </c>
      <c r="Q17" t="str">
        <f t="shared" si="5"/>
        <v>Graz</v>
      </c>
      <c r="R17" t="str">
        <f t="shared" si="2"/>
        <v>NULL</v>
      </c>
      <c r="S17">
        <f t="shared" si="3"/>
        <v>8010</v>
      </c>
      <c r="T17" t="str">
        <f t="shared" si="4"/>
        <v>Austria</v>
      </c>
    </row>
    <row r="18" spans="1:20" x14ac:dyDescent="0.2">
      <c r="A18" s="1">
        <v>10264</v>
      </c>
      <c r="B18" s="3" t="s">
        <v>87</v>
      </c>
      <c r="C18" s="3">
        <v>6</v>
      </c>
      <c r="D18" s="4">
        <v>35270</v>
      </c>
      <c r="E18" s="4">
        <v>35298</v>
      </c>
      <c r="F18" s="4">
        <v>35300</v>
      </c>
      <c r="G18" s="3">
        <v>3</v>
      </c>
      <c r="H18" s="3">
        <v>3.67</v>
      </c>
      <c r="I18" s="3" t="s">
        <v>88</v>
      </c>
      <c r="J18" s="3" t="s">
        <v>89</v>
      </c>
      <c r="K18" s="3" t="s">
        <v>90</v>
      </c>
      <c r="L18" s="3" t="s">
        <v>18</v>
      </c>
      <c r="M18" s="3" t="s">
        <v>91</v>
      </c>
      <c r="N18" s="3" t="s">
        <v>92</v>
      </c>
      <c r="O18" s="2"/>
      <c r="P18" t="str">
        <f t="shared" si="0"/>
        <v>Åkergatan 24</v>
      </c>
      <c r="Q18" t="str">
        <f t="shared" si="5"/>
        <v>Bräcke</v>
      </c>
      <c r="R18" t="str">
        <f t="shared" si="2"/>
        <v>NULL</v>
      </c>
      <c r="S18" t="str">
        <f t="shared" si="3"/>
        <v>S-844 67</v>
      </c>
      <c r="T18" t="str">
        <f t="shared" si="4"/>
        <v>Sweden</v>
      </c>
    </row>
    <row r="19" spans="1:20" x14ac:dyDescent="0.2">
      <c r="A19" s="1">
        <v>10265</v>
      </c>
      <c r="B19" s="3" t="s">
        <v>93</v>
      </c>
      <c r="C19" s="3">
        <v>2</v>
      </c>
      <c r="D19" s="4">
        <v>35271</v>
      </c>
      <c r="E19" s="4">
        <v>35299</v>
      </c>
      <c r="F19" s="4">
        <v>35289</v>
      </c>
      <c r="G19" s="3">
        <v>1</v>
      </c>
      <c r="H19" s="3">
        <v>55.28</v>
      </c>
      <c r="I19" s="3" t="s">
        <v>94</v>
      </c>
      <c r="J19" s="3">
        <v>24</v>
      </c>
      <c r="K19" s="3" t="s">
        <v>95</v>
      </c>
      <c r="L19" s="3" t="s">
        <v>96</v>
      </c>
      <c r="M19" s="3" t="s">
        <v>18</v>
      </c>
      <c r="N19" s="3">
        <v>67000</v>
      </c>
      <c r="O19" s="3" t="s">
        <v>19</v>
      </c>
      <c r="P19" t="str">
        <f t="shared" si="0"/>
        <v>24  place Kléber</v>
      </c>
      <c r="Q19" t="str">
        <f t="shared" si="5"/>
        <v>Strasbourg</v>
      </c>
      <c r="R19" t="str">
        <f t="shared" si="2"/>
        <v>NULL</v>
      </c>
      <c r="S19">
        <f t="shared" si="3"/>
        <v>67000</v>
      </c>
      <c r="T19" t="str">
        <f t="shared" si="4"/>
        <v>France</v>
      </c>
    </row>
    <row r="20" spans="1:20" x14ac:dyDescent="0.2">
      <c r="A20" s="1">
        <v>10266</v>
      </c>
      <c r="B20" s="3" t="s">
        <v>97</v>
      </c>
      <c r="C20" s="3">
        <v>3</v>
      </c>
      <c r="D20" s="4">
        <v>35272</v>
      </c>
      <c r="E20" s="4">
        <v>35314</v>
      </c>
      <c r="F20" s="4">
        <v>35277</v>
      </c>
      <c r="G20" s="3">
        <v>3</v>
      </c>
      <c r="H20" s="3">
        <v>25.73</v>
      </c>
      <c r="I20" s="3" t="s">
        <v>98</v>
      </c>
      <c r="J20" s="3" t="s">
        <v>99</v>
      </c>
      <c r="K20" s="3" t="s">
        <v>100</v>
      </c>
      <c r="L20" s="3" t="s">
        <v>18</v>
      </c>
      <c r="M20" s="3">
        <v>90110</v>
      </c>
      <c r="N20" s="3" t="s">
        <v>101</v>
      </c>
      <c r="O20" s="2"/>
      <c r="P20" t="str">
        <f t="shared" si="0"/>
        <v>Torikatu 38</v>
      </c>
      <c r="Q20" t="str">
        <f t="shared" si="5"/>
        <v>Oulu</v>
      </c>
      <c r="R20" t="str">
        <f t="shared" si="2"/>
        <v>NULL</v>
      </c>
      <c r="S20">
        <f t="shared" si="3"/>
        <v>90110</v>
      </c>
      <c r="T20" t="str">
        <f t="shared" si="4"/>
        <v>Finland</v>
      </c>
    </row>
    <row r="21" spans="1:20" x14ac:dyDescent="0.2">
      <c r="A21" s="1">
        <v>10267</v>
      </c>
      <c r="B21" s="3" t="s">
        <v>102</v>
      </c>
      <c r="C21" s="3">
        <v>4</v>
      </c>
      <c r="D21" s="4">
        <v>35275</v>
      </c>
      <c r="E21" s="4">
        <v>35303</v>
      </c>
      <c r="F21" s="4">
        <v>35283</v>
      </c>
      <c r="G21" s="3">
        <v>1</v>
      </c>
      <c r="H21" s="3">
        <v>208.58</v>
      </c>
      <c r="I21" s="3" t="s">
        <v>103</v>
      </c>
      <c r="J21" s="3" t="s">
        <v>104</v>
      </c>
      <c r="K21" s="3" t="s">
        <v>105</v>
      </c>
      <c r="L21" s="3" t="s">
        <v>18</v>
      </c>
      <c r="M21" s="3">
        <v>80805</v>
      </c>
      <c r="N21" s="3" t="s">
        <v>24</v>
      </c>
      <c r="O21" s="2"/>
      <c r="P21" t="str">
        <f t="shared" si="0"/>
        <v>Berliner Platz 43</v>
      </c>
      <c r="Q21" t="str">
        <f t="shared" si="5"/>
        <v>München</v>
      </c>
      <c r="R21" t="str">
        <f t="shared" si="2"/>
        <v>NULL</v>
      </c>
      <c r="S21">
        <f t="shared" si="3"/>
        <v>80805</v>
      </c>
      <c r="T21" t="str">
        <f t="shared" si="4"/>
        <v>Germany</v>
      </c>
    </row>
    <row r="22" spans="1:20" x14ac:dyDescent="0.2">
      <c r="A22" s="1">
        <v>10268</v>
      </c>
      <c r="B22" s="3" t="s">
        <v>106</v>
      </c>
      <c r="C22" s="3">
        <v>8</v>
      </c>
      <c r="D22" s="4">
        <v>35276</v>
      </c>
      <c r="E22" s="4">
        <v>35304</v>
      </c>
      <c r="F22" s="4">
        <v>35279</v>
      </c>
      <c r="G22" s="3">
        <v>3</v>
      </c>
      <c r="H22" s="3">
        <v>66.290000000000006</v>
      </c>
      <c r="I22" s="3" t="s">
        <v>107</v>
      </c>
      <c r="J22" s="3" t="s">
        <v>108</v>
      </c>
      <c r="K22" s="3" t="s">
        <v>109</v>
      </c>
      <c r="L22" s="3" t="s">
        <v>110</v>
      </c>
      <c r="M22" s="3">
        <v>1081</v>
      </c>
      <c r="N22" s="3" t="s">
        <v>62</v>
      </c>
      <c r="O22" s="2"/>
      <c r="P22" t="str">
        <f t="shared" si="0"/>
        <v>5ª Ave. Los Palos Grandes</v>
      </c>
      <c r="Q22" t="str">
        <f t="shared" si="5"/>
        <v>Caracas</v>
      </c>
      <c r="R22" t="str">
        <f t="shared" si="2"/>
        <v>DF</v>
      </c>
      <c r="S22">
        <f t="shared" si="3"/>
        <v>1081</v>
      </c>
      <c r="T22" t="str">
        <f t="shared" si="4"/>
        <v>Venezuela</v>
      </c>
    </row>
    <row r="23" spans="1:20" x14ac:dyDescent="0.2">
      <c r="A23" s="1">
        <v>10269</v>
      </c>
      <c r="B23" s="3" t="s">
        <v>111</v>
      </c>
      <c r="C23" s="3">
        <v>5</v>
      </c>
      <c r="D23" s="4">
        <v>35277</v>
      </c>
      <c r="E23" s="4">
        <v>35291</v>
      </c>
      <c r="F23" s="4">
        <v>35286</v>
      </c>
      <c r="G23" s="3">
        <v>1</v>
      </c>
      <c r="H23" s="3">
        <v>4.5599999999999996</v>
      </c>
      <c r="I23" s="3" t="s">
        <v>112</v>
      </c>
      <c r="J23" s="3" t="s">
        <v>113</v>
      </c>
      <c r="K23" s="3" t="s">
        <v>114</v>
      </c>
      <c r="L23" s="3" t="s">
        <v>115</v>
      </c>
      <c r="M23" s="3">
        <v>98124</v>
      </c>
      <c r="N23" s="3" t="s">
        <v>86</v>
      </c>
      <c r="O23" s="2"/>
      <c r="P23" t="str">
        <f t="shared" si="0"/>
        <v>1029 - 12th Ave. S.</v>
      </c>
      <c r="Q23" t="str">
        <f t="shared" si="5"/>
        <v>Seattle</v>
      </c>
      <c r="R23" t="str">
        <f t="shared" si="2"/>
        <v>WA</v>
      </c>
      <c r="S23">
        <f t="shared" si="3"/>
        <v>98124</v>
      </c>
      <c r="T23" t="str">
        <f t="shared" si="4"/>
        <v>USA</v>
      </c>
    </row>
    <row r="24" spans="1:20" x14ac:dyDescent="0.2">
      <c r="A24" s="1">
        <v>10270</v>
      </c>
      <c r="B24" s="3" t="s">
        <v>97</v>
      </c>
      <c r="C24" s="3">
        <v>1</v>
      </c>
      <c r="D24" s="4">
        <v>35278</v>
      </c>
      <c r="E24" s="4">
        <v>35306</v>
      </c>
      <c r="F24" s="4">
        <v>35279</v>
      </c>
      <c r="G24" s="3">
        <v>1</v>
      </c>
      <c r="H24" s="3">
        <v>136.54</v>
      </c>
      <c r="I24" s="3" t="s">
        <v>98</v>
      </c>
      <c r="J24" s="3" t="s">
        <v>99</v>
      </c>
      <c r="K24" s="3" t="s">
        <v>100</v>
      </c>
      <c r="L24" s="3" t="s">
        <v>18</v>
      </c>
      <c r="M24" s="3">
        <v>90110</v>
      </c>
      <c r="N24" s="3" t="s">
        <v>101</v>
      </c>
      <c r="O24" s="2"/>
      <c r="P24" t="str">
        <f t="shared" si="0"/>
        <v>Torikatu 38</v>
      </c>
      <c r="Q24" t="str">
        <f t="shared" si="5"/>
        <v>Oulu</v>
      </c>
      <c r="R24" t="str">
        <f t="shared" si="2"/>
        <v>NULL</v>
      </c>
      <c r="S24">
        <f t="shared" si="3"/>
        <v>90110</v>
      </c>
      <c r="T24" t="str">
        <f t="shared" si="4"/>
        <v>Finland</v>
      </c>
    </row>
    <row r="25" spans="1:20" x14ac:dyDescent="0.2">
      <c r="A25" s="1">
        <v>10271</v>
      </c>
      <c r="B25" s="3" t="s">
        <v>116</v>
      </c>
      <c r="C25" s="3">
        <v>6</v>
      </c>
      <c r="D25" s="4">
        <v>35278</v>
      </c>
      <c r="E25" s="4">
        <v>35306</v>
      </c>
      <c r="F25" s="4">
        <v>35307</v>
      </c>
      <c r="G25" s="3">
        <v>2</v>
      </c>
      <c r="H25" s="3">
        <v>4.54</v>
      </c>
      <c r="I25" s="3" t="s">
        <v>117</v>
      </c>
      <c r="J25" s="3" t="s">
        <v>118</v>
      </c>
      <c r="K25" s="3" t="s">
        <v>119</v>
      </c>
      <c r="L25" s="3" t="s">
        <v>120</v>
      </c>
      <c r="M25" s="3">
        <v>82520</v>
      </c>
      <c r="N25" s="3" t="s">
        <v>86</v>
      </c>
      <c r="O25" s="2"/>
      <c r="P25" t="str">
        <f t="shared" si="0"/>
        <v>P.O. Box 555</v>
      </c>
      <c r="Q25" t="str">
        <f t="shared" si="5"/>
        <v>Lander</v>
      </c>
      <c r="R25" t="str">
        <f t="shared" si="2"/>
        <v>WY</v>
      </c>
      <c r="S25">
        <f t="shared" si="3"/>
        <v>82520</v>
      </c>
      <c r="T25" t="str">
        <f t="shared" si="4"/>
        <v>USA</v>
      </c>
    </row>
    <row r="26" spans="1:20" x14ac:dyDescent="0.2">
      <c r="A26" s="1">
        <v>10272</v>
      </c>
      <c r="B26" s="3" t="s">
        <v>81</v>
      </c>
      <c r="C26" s="3">
        <v>6</v>
      </c>
      <c r="D26" s="4">
        <v>35279</v>
      </c>
      <c r="E26" s="4">
        <v>35307</v>
      </c>
      <c r="F26" s="4">
        <v>35283</v>
      </c>
      <c r="G26" s="3">
        <v>2</v>
      </c>
      <c r="H26" s="3">
        <v>98.03</v>
      </c>
      <c r="I26" s="3" t="s">
        <v>82</v>
      </c>
      <c r="J26" s="3" t="s">
        <v>83</v>
      </c>
      <c r="K26" s="3" t="s">
        <v>84</v>
      </c>
      <c r="L26" s="3" t="s">
        <v>85</v>
      </c>
      <c r="M26" s="3">
        <v>87110</v>
      </c>
      <c r="N26" s="3" t="s">
        <v>86</v>
      </c>
      <c r="O26" s="2"/>
      <c r="P26" t="str">
        <f t="shared" si="0"/>
        <v>2817 Milton Dr.</v>
      </c>
      <c r="Q26" t="str">
        <f t="shared" si="5"/>
        <v>Albuquerque</v>
      </c>
      <c r="R26" t="str">
        <f t="shared" si="2"/>
        <v>NM</v>
      </c>
      <c r="S26">
        <f t="shared" si="3"/>
        <v>87110</v>
      </c>
      <c r="T26" t="str">
        <f t="shared" si="4"/>
        <v>USA</v>
      </c>
    </row>
    <row r="27" spans="1:20" x14ac:dyDescent="0.2">
      <c r="A27" s="1">
        <v>10273</v>
      </c>
      <c r="B27" s="3" t="s">
        <v>121</v>
      </c>
      <c r="C27" s="3">
        <v>3</v>
      </c>
      <c r="D27" s="4">
        <v>35282</v>
      </c>
      <c r="E27" s="4">
        <v>35310</v>
      </c>
      <c r="F27" s="4">
        <v>35289</v>
      </c>
      <c r="G27" s="3">
        <v>3</v>
      </c>
      <c r="H27" s="3">
        <v>76.069999999999993</v>
      </c>
      <c r="I27" s="3" t="s">
        <v>122</v>
      </c>
      <c r="J27" s="3" t="s">
        <v>123</v>
      </c>
      <c r="K27" s="3" t="s">
        <v>124</v>
      </c>
      <c r="L27" s="3" t="s">
        <v>18</v>
      </c>
      <c r="M27" s="3">
        <v>1307</v>
      </c>
      <c r="N27" s="3" t="s">
        <v>24</v>
      </c>
      <c r="O27" s="2"/>
      <c r="P27" t="str">
        <f t="shared" si="0"/>
        <v>Taucherstraße 10</v>
      </c>
      <c r="Q27" t="str">
        <f t="shared" si="5"/>
        <v>Cunewalde</v>
      </c>
      <c r="R27" t="str">
        <f t="shared" si="2"/>
        <v>NULL</v>
      </c>
      <c r="S27">
        <f t="shared" si="3"/>
        <v>1307</v>
      </c>
      <c r="T27" t="str">
        <f t="shared" si="4"/>
        <v>Germany</v>
      </c>
    </row>
    <row r="28" spans="1:20" x14ac:dyDescent="0.2">
      <c r="A28" s="1">
        <v>10274</v>
      </c>
      <c r="B28" s="3" t="s">
        <v>14</v>
      </c>
      <c r="C28" s="3">
        <v>6</v>
      </c>
      <c r="D28" s="4">
        <v>35283</v>
      </c>
      <c r="E28" s="4">
        <v>35311</v>
      </c>
      <c r="F28" s="4">
        <v>35293</v>
      </c>
      <c r="G28" s="3">
        <v>1</v>
      </c>
      <c r="H28" s="3">
        <v>6.01</v>
      </c>
      <c r="I28" s="3" t="s">
        <v>15</v>
      </c>
      <c r="J28" s="3" t="s">
        <v>16</v>
      </c>
      <c r="K28" s="3" t="s">
        <v>17</v>
      </c>
      <c r="L28" s="3" t="s">
        <v>18</v>
      </c>
      <c r="M28" s="3">
        <v>51100</v>
      </c>
      <c r="N28" s="3" t="s">
        <v>19</v>
      </c>
      <c r="O28" s="2"/>
      <c r="P28" t="str">
        <f t="shared" si="0"/>
        <v>59 rue de l'Abbaye</v>
      </c>
      <c r="Q28" t="str">
        <f t="shared" si="5"/>
        <v>Reims</v>
      </c>
      <c r="R28" t="str">
        <f t="shared" si="2"/>
        <v>NULL</v>
      </c>
      <c r="S28">
        <f t="shared" si="3"/>
        <v>51100</v>
      </c>
      <c r="T28" t="str">
        <f t="shared" si="4"/>
        <v>France</v>
      </c>
    </row>
    <row r="29" spans="1:20" x14ac:dyDescent="0.2">
      <c r="A29" s="1">
        <v>10275</v>
      </c>
      <c r="B29" s="3" t="s">
        <v>125</v>
      </c>
      <c r="C29" s="3">
        <v>1</v>
      </c>
      <c r="D29" s="4">
        <v>35284</v>
      </c>
      <c r="E29" s="4">
        <v>35312</v>
      </c>
      <c r="F29" s="4">
        <v>35286</v>
      </c>
      <c r="G29" s="3">
        <v>1</v>
      </c>
      <c r="H29" s="3">
        <v>26.93</v>
      </c>
      <c r="I29" s="3" t="s">
        <v>126</v>
      </c>
      <c r="J29" s="3" t="s">
        <v>127</v>
      </c>
      <c r="K29" s="3" t="s">
        <v>128</v>
      </c>
      <c r="L29" s="3" t="s">
        <v>18</v>
      </c>
      <c r="M29" s="3">
        <v>24100</v>
      </c>
      <c r="N29" s="3" t="s">
        <v>129</v>
      </c>
      <c r="O29" s="2"/>
      <c r="P29" t="str">
        <f t="shared" si="0"/>
        <v>Via Ludovico il Moro 22</v>
      </c>
      <c r="Q29" t="str">
        <f t="shared" si="5"/>
        <v>Bergamo</v>
      </c>
      <c r="R29" t="str">
        <f t="shared" si="2"/>
        <v>NULL</v>
      </c>
      <c r="S29">
        <f t="shared" si="3"/>
        <v>24100</v>
      </c>
      <c r="T29" t="str">
        <f t="shared" si="4"/>
        <v>Italy</v>
      </c>
    </row>
    <row r="30" spans="1:20" x14ac:dyDescent="0.2">
      <c r="A30" s="1">
        <v>10276</v>
      </c>
      <c r="B30" s="3" t="s">
        <v>130</v>
      </c>
      <c r="C30" s="3">
        <v>8</v>
      </c>
      <c r="D30" s="4">
        <v>35285</v>
      </c>
      <c r="E30" s="4">
        <v>35299</v>
      </c>
      <c r="F30" s="4">
        <v>35291</v>
      </c>
      <c r="G30" s="3">
        <v>3</v>
      </c>
      <c r="H30" s="3">
        <v>13.84</v>
      </c>
      <c r="I30" s="3" t="s">
        <v>131</v>
      </c>
      <c r="J30" s="3" t="s">
        <v>132</v>
      </c>
      <c r="K30" s="3" t="s">
        <v>71</v>
      </c>
      <c r="L30" s="3" t="s">
        <v>18</v>
      </c>
      <c r="M30" s="3">
        <v>5033</v>
      </c>
      <c r="N30" s="3" t="s">
        <v>72</v>
      </c>
      <c r="O30" s="2"/>
      <c r="P30" t="str">
        <f t="shared" si="0"/>
        <v>Avda. Azteca 123</v>
      </c>
      <c r="Q30" t="str">
        <f t="shared" si="5"/>
        <v>México D.F.</v>
      </c>
      <c r="R30" t="str">
        <f t="shared" si="2"/>
        <v>NULL</v>
      </c>
      <c r="S30">
        <f t="shared" si="3"/>
        <v>5033</v>
      </c>
      <c r="T30" t="str">
        <f t="shared" si="4"/>
        <v>Mexico</v>
      </c>
    </row>
    <row r="31" spans="1:20" x14ac:dyDescent="0.2">
      <c r="A31" s="1">
        <v>10277</v>
      </c>
      <c r="B31" s="3" t="s">
        <v>133</v>
      </c>
      <c r="C31" s="3">
        <v>2</v>
      </c>
      <c r="D31" s="4">
        <v>35286</v>
      </c>
      <c r="E31" s="4">
        <v>35314</v>
      </c>
      <c r="F31" s="4">
        <v>35290</v>
      </c>
      <c r="G31" s="3">
        <v>3</v>
      </c>
      <c r="H31" s="3">
        <v>125.77</v>
      </c>
      <c r="I31" s="3" t="s">
        <v>134</v>
      </c>
      <c r="J31" s="3" t="s">
        <v>135</v>
      </c>
      <c r="K31" s="3" t="s">
        <v>136</v>
      </c>
      <c r="L31" s="3" t="s">
        <v>18</v>
      </c>
      <c r="M31" s="3">
        <v>4179</v>
      </c>
      <c r="N31" s="3" t="s">
        <v>24</v>
      </c>
      <c r="O31" s="2"/>
      <c r="P31" t="str">
        <f t="shared" si="0"/>
        <v>Heerstr. 22</v>
      </c>
      <c r="Q31" t="str">
        <f t="shared" si="5"/>
        <v>Leipzig</v>
      </c>
      <c r="R31" t="str">
        <f t="shared" si="2"/>
        <v>NULL</v>
      </c>
      <c r="S31">
        <f t="shared" si="3"/>
        <v>4179</v>
      </c>
      <c r="T31" t="str">
        <f t="shared" si="4"/>
        <v>Germany</v>
      </c>
    </row>
    <row r="32" spans="1:20" x14ac:dyDescent="0.2">
      <c r="A32" s="1">
        <v>10278</v>
      </c>
      <c r="B32" s="3" t="s">
        <v>137</v>
      </c>
      <c r="C32" s="3">
        <v>8</v>
      </c>
      <c r="D32" s="4">
        <v>35289</v>
      </c>
      <c r="E32" s="4">
        <v>35317</v>
      </c>
      <c r="F32" s="4">
        <v>35293</v>
      </c>
      <c r="G32" s="3">
        <v>2</v>
      </c>
      <c r="H32" s="3">
        <v>92.69</v>
      </c>
      <c r="I32" s="3" t="s">
        <v>138</v>
      </c>
      <c r="J32" s="3" t="s">
        <v>139</v>
      </c>
      <c r="K32" s="3" t="s">
        <v>140</v>
      </c>
      <c r="L32" s="3" t="s">
        <v>18</v>
      </c>
      <c r="M32" s="3" t="s">
        <v>141</v>
      </c>
      <c r="N32" s="3" t="s">
        <v>92</v>
      </c>
      <c r="O32" s="2"/>
      <c r="P32" t="str">
        <f t="shared" si="0"/>
        <v>Berguvsvägen  8</v>
      </c>
      <c r="Q32" t="str">
        <f t="shared" si="5"/>
        <v>Luleå</v>
      </c>
      <c r="R32" t="str">
        <f t="shared" si="2"/>
        <v>NULL</v>
      </c>
      <c r="S32" t="str">
        <f t="shared" si="3"/>
        <v>S-958 22</v>
      </c>
      <c r="T32" t="str">
        <f t="shared" si="4"/>
        <v>Sweden</v>
      </c>
    </row>
    <row r="33" spans="1:20" x14ac:dyDescent="0.2">
      <c r="A33" s="1">
        <v>10279</v>
      </c>
      <c r="B33" s="3" t="s">
        <v>142</v>
      </c>
      <c r="C33" s="3">
        <v>8</v>
      </c>
      <c r="D33" s="4">
        <v>35290</v>
      </c>
      <c r="E33" s="4">
        <v>35318</v>
      </c>
      <c r="F33" s="4">
        <v>35293</v>
      </c>
      <c r="G33" s="3">
        <v>2</v>
      </c>
      <c r="H33" s="3">
        <v>25.83</v>
      </c>
      <c r="I33" s="3" t="s">
        <v>143</v>
      </c>
      <c r="J33" s="3" t="s">
        <v>144</v>
      </c>
      <c r="K33" s="3" t="s">
        <v>145</v>
      </c>
      <c r="L33" s="3" t="s">
        <v>18</v>
      </c>
      <c r="M33" s="3">
        <v>60528</v>
      </c>
      <c r="N33" s="3" t="s">
        <v>24</v>
      </c>
      <c r="O33" s="2"/>
      <c r="P33" t="str">
        <f t="shared" si="0"/>
        <v>Magazinweg 7</v>
      </c>
      <c r="Q33" t="str">
        <f t="shared" si="5"/>
        <v>Frankfurt a.M.</v>
      </c>
      <c r="R33" t="str">
        <f t="shared" si="2"/>
        <v>NULL</v>
      </c>
      <c r="S33">
        <f t="shared" si="3"/>
        <v>60528</v>
      </c>
      <c r="T33" t="str">
        <f t="shared" si="4"/>
        <v>Germany</v>
      </c>
    </row>
    <row r="34" spans="1:20" x14ac:dyDescent="0.2">
      <c r="A34" s="1">
        <v>10280</v>
      </c>
      <c r="B34" s="3" t="s">
        <v>137</v>
      </c>
      <c r="C34" s="3">
        <v>2</v>
      </c>
      <c r="D34" s="4">
        <v>35291</v>
      </c>
      <c r="E34" s="4">
        <v>35319</v>
      </c>
      <c r="F34" s="4">
        <v>35320</v>
      </c>
      <c r="G34" s="3">
        <v>1</v>
      </c>
      <c r="H34" s="3">
        <v>8.98</v>
      </c>
      <c r="I34" s="3" t="s">
        <v>138</v>
      </c>
      <c r="J34" s="3" t="s">
        <v>139</v>
      </c>
      <c r="K34" s="3" t="s">
        <v>140</v>
      </c>
      <c r="L34" s="3" t="s">
        <v>18</v>
      </c>
      <c r="M34" s="3" t="s">
        <v>141</v>
      </c>
      <c r="N34" s="3" t="s">
        <v>92</v>
      </c>
      <c r="O34" s="2"/>
      <c r="P34" t="str">
        <f t="shared" si="0"/>
        <v>Berguvsvägen  8</v>
      </c>
      <c r="Q34" t="str">
        <f t="shared" si="5"/>
        <v>Luleå</v>
      </c>
      <c r="R34" t="str">
        <f t="shared" si="2"/>
        <v>NULL</v>
      </c>
      <c r="S34" t="str">
        <f t="shared" si="3"/>
        <v>S-958 22</v>
      </c>
      <c r="T34" t="str">
        <f t="shared" si="4"/>
        <v>Sweden</v>
      </c>
    </row>
    <row r="35" spans="1:20" x14ac:dyDescent="0.2">
      <c r="A35" s="1">
        <v>10281</v>
      </c>
      <c r="B35" s="3" t="s">
        <v>146</v>
      </c>
      <c r="C35" s="3">
        <v>4</v>
      </c>
      <c r="D35" s="4">
        <v>35291</v>
      </c>
      <c r="E35" s="4">
        <v>35305</v>
      </c>
      <c r="F35" s="4">
        <v>35298</v>
      </c>
      <c r="G35" s="3">
        <v>1</v>
      </c>
      <c r="H35" s="3">
        <v>2.94</v>
      </c>
      <c r="I35" s="3" t="s">
        <v>147</v>
      </c>
      <c r="J35" s="3" t="s">
        <v>148</v>
      </c>
      <c r="K35" s="3">
        <v>1</v>
      </c>
      <c r="L35" s="3" t="s">
        <v>149</v>
      </c>
      <c r="M35" s="3" t="s">
        <v>18</v>
      </c>
      <c r="N35" s="3">
        <v>28001</v>
      </c>
      <c r="O35" s="3" t="s">
        <v>150</v>
      </c>
      <c r="P35" t="str">
        <f t="shared" si="0"/>
        <v>Gran Vía 1</v>
      </c>
      <c r="Q35" t="str">
        <f t="shared" si="5"/>
        <v>Madrid</v>
      </c>
      <c r="R35" t="str">
        <f t="shared" si="2"/>
        <v>NULL</v>
      </c>
      <c r="S35">
        <f t="shared" si="3"/>
        <v>28001</v>
      </c>
      <c r="T35" t="str">
        <f t="shared" si="4"/>
        <v>Spain</v>
      </c>
    </row>
    <row r="36" spans="1:20" x14ac:dyDescent="0.2">
      <c r="A36" s="1">
        <v>10282</v>
      </c>
      <c r="B36" s="3" t="s">
        <v>146</v>
      </c>
      <c r="C36" s="3">
        <v>4</v>
      </c>
      <c r="D36" s="4">
        <v>35292</v>
      </c>
      <c r="E36" s="4">
        <v>35320</v>
      </c>
      <c r="F36" s="4">
        <v>35298</v>
      </c>
      <c r="G36" s="3">
        <v>1</v>
      </c>
      <c r="H36" s="3">
        <v>12.69</v>
      </c>
      <c r="I36" s="3" t="s">
        <v>147</v>
      </c>
      <c r="J36" s="3" t="s">
        <v>148</v>
      </c>
      <c r="K36" s="3">
        <v>1</v>
      </c>
      <c r="L36" s="3" t="s">
        <v>149</v>
      </c>
      <c r="M36" s="3" t="s">
        <v>18</v>
      </c>
      <c r="N36" s="3">
        <v>28001</v>
      </c>
      <c r="O36" s="3" t="s">
        <v>150</v>
      </c>
      <c r="P36" t="str">
        <f t="shared" si="0"/>
        <v>Gran Vía 1</v>
      </c>
      <c r="Q36" t="str">
        <f t="shared" si="5"/>
        <v>Madrid</v>
      </c>
      <c r="R36" t="str">
        <f t="shared" si="2"/>
        <v>NULL</v>
      </c>
      <c r="S36">
        <f t="shared" si="3"/>
        <v>28001</v>
      </c>
      <c r="T36" t="str">
        <f t="shared" si="4"/>
        <v>Spain</v>
      </c>
    </row>
    <row r="37" spans="1:20" x14ac:dyDescent="0.2">
      <c r="A37" s="1">
        <v>10283</v>
      </c>
      <c r="B37" s="3" t="s">
        <v>151</v>
      </c>
      <c r="C37" s="3">
        <v>3</v>
      </c>
      <c r="D37" s="4">
        <v>35293</v>
      </c>
      <c r="E37" s="4">
        <v>35321</v>
      </c>
      <c r="F37" s="4">
        <v>35300</v>
      </c>
      <c r="G37" s="3">
        <v>3</v>
      </c>
      <c r="H37" s="3">
        <v>84.81</v>
      </c>
      <c r="I37" s="3" t="s">
        <v>152</v>
      </c>
      <c r="J37" s="3" t="s">
        <v>153</v>
      </c>
      <c r="K37" s="3" t="s">
        <v>154</v>
      </c>
      <c r="L37" s="3" t="s">
        <v>155</v>
      </c>
      <c r="M37" s="3">
        <v>3508</v>
      </c>
      <c r="N37" s="3" t="s">
        <v>62</v>
      </c>
      <c r="O37" s="2"/>
      <c r="P37" t="str">
        <f t="shared" si="0"/>
        <v>Carrera 52 con Ave. Bolívar #65-98 Llano Largo</v>
      </c>
      <c r="Q37" t="str">
        <f t="shared" si="5"/>
        <v>Barquisimeto</v>
      </c>
      <c r="R37" t="str">
        <f t="shared" si="2"/>
        <v>Lara</v>
      </c>
      <c r="S37">
        <f t="shared" si="3"/>
        <v>3508</v>
      </c>
      <c r="T37" t="str">
        <f t="shared" si="4"/>
        <v>Venezuela</v>
      </c>
    </row>
    <row r="38" spans="1:20" x14ac:dyDescent="0.2">
      <c r="A38" s="1">
        <v>10284</v>
      </c>
      <c r="B38" s="3" t="s">
        <v>142</v>
      </c>
      <c r="C38" s="3">
        <v>4</v>
      </c>
      <c r="D38" s="4">
        <v>35296</v>
      </c>
      <c r="E38" s="4">
        <v>35324</v>
      </c>
      <c r="F38" s="4">
        <v>35304</v>
      </c>
      <c r="G38" s="3">
        <v>1</v>
      </c>
      <c r="H38" s="3">
        <v>76.56</v>
      </c>
      <c r="I38" s="3" t="s">
        <v>143</v>
      </c>
      <c r="J38" s="3" t="s">
        <v>144</v>
      </c>
      <c r="K38" s="3" t="s">
        <v>145</v>
      </c>
      <c r="L38" s="3" t="s">
        <v>18</v>
      </c>
      <c r="M38" s="3">
        <v>60528</v>
      </c>
      <c r="N38" s="3" t="s">
        <v>24</v>
      </c>
      <c r="O38" s="2"/>
      <c r="P38" t="str">
        <f t="shared" si="0"/>
        <v>Magazinweg 7</v>
      </c>
      <c r="Q38" t="str">
        <f t="shared" si="5"/>
        <v>Frankfurt a.M.</v>
      </c>
      <c r="R38" t="str">
        <f t="shared" si="2"/>
        <v>NULL</v>
      </c>
      <c r="S38">
        <f t="shared" si="3"/>
        <v>60528</v>
      </c>
      <c r="T38" t="str">
        <f t="shared" si="4"/>
        <v>Germany</v>
      </c>
    </row>
    <row r="39" spans="1:20" x14ac:dyDescent="0.2">
      <c r="A39" s="1">
        <v>10285</v>
      </c>
      <c r="B39" s="3" t="s">
        <v>121</v>
      </c>
      <c r="C39" s="3">
        <v>1</v>
      </c>
      <c r="D39" s="4">
        <v>35297</v>
      </c>
      <c r="E39" s="4">
        <v>35325</v>
      </c>
      <c r="F39" s="4">
        <v>35303</v>
      </c>
      <c r="G39" s="3">
        <v>2</v>
      </c>
      <c r="H39" s="3">
        <v>76.83</v>
      </c>
      <c r="I39" s="3" t="s">
        <v>122</v>
      </c>
      <c r="J39" s="3" t="s">
        <v>123</v>
      </c>
      <c r="K39" s="3" t="s">
        <v>124</v>
      </c>
      <c r="L39" s="3" t="s">
        <v>18</v>
      </c>
      <c r="M39" s="3">
        <v>1307</v>
      </c>
      <c r="N39" s="3" t="s">
        <v>24</v>
      </c>
      <c r="O39" s="2"/>
      <c r="P39" t="str">
        <f t="shared" si="0"/>
        <v>Taucherstraße 10</v>
      </c>
      <c r="Q39" t="str">
        <f t="shared" si="5"/>
        <v>Cunewalde</v>
      </c>
      <c r="R39" t="str">
        <f t="shared" si="2"/>
        <v>NULL</v>
      </c>
      <c r="S39">
        <f t="shared" si="3"/>
        <v>1307</v>
      </c>
      <c r="T39" t="str">
        <f t="shared" si="4"/>
        <v>Germany</v>
      </c>
    </row>
    <row r="40" spans="1:20" x14ac:dyDescent="0.2">
      <c r="A40" s="1">
        <v>10286</v>
      </c>
      <c r="B40" s="3" t="s">
        <v>121</v>
      </c>
      <c r="C40" s="3">
        <v>8</v>
      </c>
      <c r="D40" s="4">
        <v>35298</v>
      </c>
      <c r="E40" s="4">
        <v>35326</v>
      </c>
      <c r="F40" s="4">
        <v>35307</v>
      </c>
      <c r="G40" s="3">
        <v>3</v>
      </c>
      <c r="H40" s="3">
        <v>229.24</v>
      </c>
      <c r="I40" s="3" t="s">
        <v>122</v>
      </c>
      <c r="J40" s="3" t="s">
        <v>123</v>
      </c>
      <c r="K40" s="3" t="s">
        <v>124</v>
      </c>
      <c r="L40" s="3" t="s">
        <v>18</v>
      </c>
      <c r="M40" s="3">
        <v>1307</v>
      </c>
      <c r="N40" s="3" t="s">
        <v>24</v>
      </c>
      <c r="O40" s="2"/>
      <c r="P40" t="str">
        <f t="shared" si="0"/>
        <v>Taucherstraße 10</v>
      </c>
      <c r="Q40" t="str">
        <f t="shared" si="5"/>
        <v>Cunewalde</v>
      </c>
      <c r="R40" t="str">
        <f t="shared" si="2"/>
        <v>NULL</v>
      </c>
      <c r="S40">
        <f t="shared" si="3"/>
        <v>1307</v>
      </c>
      <c r="T40" t="str">
        <f t="shared" si="4"/>
        <v>Germany</v>
      </c>
    </row>
    <row r="41" spans="1:20" x14ac:dyDescent="0.2">
      <c r="A41" s="1">
        <v>10287</v>
      </c>
      <c r="B41" s="3" t="s">
        <v>156</v>
      </c>
      <c r="C41" s="3">
        <v>8</v>
      </c>
      <c r="D41" s="4">
        <v>35299</v>
      </c>
      <c r="E41" s="4">
        <v>35327</v>
      </c>
      <c r="F41" s="4">
        <v>35305</v>
      </c>
      <c r="G41" s="3">
        <v>3</v>
      </c>
      <c r="H41" s="3">
        <v>12.76</v>
      </c>
      <c r="I41" s="3" t="s">
        <v>157</v>
      </c>
      <c r="J41" s="3" t="s">
        <v>158</v>
      </c>
      <c r="K41" s="3">
        <v>267</v>
      </c>
      <c r="L41" s="3" t="s">
        <v>28</v>
      </c>
      <c r="M41" s="3" t="s">
        <v>29</v>
      </c>
      <c r="N41" s="3" t="s">
        <v>159</v>
      </c>
      <c r="O41" s="3" t="s">
        <v>31</v>
      </c>
      <c r="P41" t="str">
        <f t="shared" si="0"/>
        <v>Av. Copacabana 267</v>
      </c>
      <c r="Q41" t="str">
        <f t="shared" si="5"/>
        <v>Rio de Janeiro</v>
      </c>
      <c r="R41" t="str">
        <f t="shared" si="2"/>
        <v>RJ</v>
      </c>
      <c r="S41" t="str">
        <f t="shared" si="3"/>
        <v>02389-890</v>
      </c>
      <c r="T41" t="str">
        <f t="shared" si="4"/>
        <v>Brazil</v>
      </c>
    </row>
    <row r="42" spans="1:20" x14ac:dyDescent="0.2">
      <c r="A42" s="1">
        <v>10288</v>
      </c>
      <c r="B42" s="3" t="s">
        <v>160</v>
      </c>
      <c r="C42" s="3">
        <v>4</v>
      </c>
      <c r="D42" s="4">
        <v>35300</v>
      </c>
      <c r="E42" s="4">
        <v>35328</v>
      </c>
      <c r="F42" s="4">
        <v>35311</v>
      </c>
      <c r="G42" s="3">
        <v>1</v>
      </c>
      <c r="H42" s="3">
        <v>7.45</v>
      </c>
      <c r="I42" s="3" t="s">
        <v>161</v>
      </c>
      <c r="J42" s="3" t="s">
        <v>162</v>
      </c>
      <c r="K42" s="3" t="s">
        <v>163</v>
      </c>
      <c r="L42" s="3" t="s">
        <v>18</v>
      </c>
      <c r="M42" s="3">
        <v>42100</v>
      </c>
      <c r="N42" s="3" t="s">
        <v>129</v>
      </c>
      <c r="O42" s="2"/>
      <c r="P42" t="str">
        <f t="shared" si="0"/>
        <v>Strada Provinciale 124</v>
      </c>
      <c r="Q42" t="str">
        <f t="shared" si="5"/>
        <v>Reggio Emilia</v>
      </c>
      <c r="R42" t="str">
        <f t="shared" si="2"/>
        <v>NULL</v>
      </c>
      <c r="S42">
        <f t="shared" si="3"/>
        <v>42100</v>
      </c>
      <c r="T42" t="str">
        <f t="shared" si="4"/>
        <v>Italy</v>
      </c>
    </row>
    <row r="43" spans="1:20" x14ac:dyDescent="0.2">
      <c r="A43" s="1">
        <v>10289</v>
      </c>
      <c r="B43" s="3" t="s">
        <v>164</v>
      </c>
      <c r="C43" s="3">
        <v>7</v>
      </c>
      <c r="D43" s="4">
        <v>35303</v>
      </c>
      <c r="E43" s="4">
        <v>35331</v>
      </c>
      <c r="F43" s="4">
        <v>35305</v>
      </c>
      <c r="G43" s="3">
        <v>3</v>
      </c>
      <c r="H43" s="3">
        <v>22.77</v>
      </c>
      <c r="I43" s="3" t="s">
        <v>165</v>
      </c>
      <c r="J43" s="3" t="s">
        <v>166</v>
      </c>
      <c r="K43" s="3" t="s">
        <v>167</v>
      </c>
      <c r="L43" s="3" t="s">
        <v>18</v>
      </c>
      <c r="M43" s="3" t="s">
        <v>168</v>
      </c>
      <c r="N43" s="3" t="s">
        <v>169</v>
      </c>
      <c r="O43" s="2"/>
      <c r="P43" t="str">
        <f t="shared" si="0"/>
        <v>Fauntleroy Circus</v>
      </c>
      <c r="Q43" t="str">
        <f t="shared" si="5"/>
        <v>London</v>
      </c>
      <c r="R43" t="str">
        <f t="shared" si="2"/>
        <v>NULL</v>
      </c>
      <c r="S43" t="str">
        <f t="shared" si="3"/>
        <v>EC2 5NT</v>
      </c>
      <c r="T43" t="str">
        <f t="shared" si="4"/>
        <v>UK</v>
      </c>
    </row>
    <row r="44" spans="1:20" x14ac:dyDescent="0.2">
      <c r="A44" s="1">
        <v>10290</v>
      </c>
      <c r="B44" s="3" t="s">
        <v>170</v>
      </c>
      <c r="C44" s="3">
        <v>8</v>
      </c>
      <c r="D44" s="4">
        <v>35304</v>
      </c>
      <c r="E44" s="4">
        <v>35332</v>
      </c>
      <c r="F44" s="4">
        <v>35311</v>
      </c>
      <c r="G44" s="3">
        <v>1</v>
      </c>
      <c r="H44" s="3">
        <v>79.7</v>
      </c>
      <c r="I44" s="3" t="s">
        <v>171</v>
      </c>
      <c r="J44" s="3" t="s">
        <v>172</v>
      </c>
      <c r="K44" s="3">
        <v>23</v>
      </c>
      <c r="L44" s="3" t="s">
        <v>173</v>
      </c>
      <c r="M44" s="3" t="s">
        <v>55</v>
      </c>
      <c r="N44" s="3" t="s">
        <v>174</v>
      </c>
      <c r="O44" s="3" t="s">
        <v>31</v>
      </c>
      <c r="P44" t="str">
        <f t="shared" si="0"/>
        <v>Av. dos Lusíadas 23</v>
      </c>
      <c r="Q44" t="str">
        <f t="shared" si="5"/>
        <v>Sao Paulo</v>
      </c>
      <c r="R44" t="str">
        <f t="shared" si="2"/>
        <v>SP</v>
      </c>
      <c r="S44" t="str">
        <f t="shared" si="3"/>
        <v>05432-043</v>
      </c>
      <c r="T44" t="str">
        <f t="shared" si="4"/>
        <v>Brazil</v>
      </c>
    </row>
    <row r="45" spans="1:20" x14ac:dyDescent="0.2">
      <c r="A45" s="1">
        <v>10291</v>
      </c>
      <c r="B45" s="3" t="s">
        <v>77</v>
      </c>
      <c r="C45" s="3">
        <v>6</v>
      </c>
      <c r="D45" s="4">
        <v>35304</v>
      </c>
      <c r="E45" s="4">
        <v>35332</v>
      </c>
      <c r="F45" s="4">
        <v>35312</v>
      </c>
      <c r="G45" s="3">
        <v>2</v>
      </c>
      <c r="H45" s="3">
        <v>6.4</v>
      </c>
      <c r="I45" s="3" t="s">
        <v>78</v>
      </c>
      <c r="J45" s="3" t="s">
        <v>79</v>
      </c>
      <c r="K45" s="3">
        <v>12</v>
      </c>
      <c r="L45" s="3" t="s">
        <v>28</v>
      </c>
      <c r="M45" s="3" t="s">
        <v>29</v>
      </c>
      <c r="N45" s="3" t="s">
        <v>80</v>
      </c>
      <c r="O45" s="3" t="s">
        <v>31</v>
      </c>
      <c r="P45" t="str">
        <f t="shared" si="0"/>
        <v>Rua da Panificadora 12</v>
      </c>
      <c r="Q45" t="str">
        <f t="shared" si="5"/>
        <v>Rio de Janeiro</v>
      </c>
      <c r="R45" t="str">
        <f t="shared" si="2"/>
        <v>RJ</v>
      </c>
      <c r="S45" t="str">
        <f t="shared" si="3"/>
        <v>02389-673</v>
      </c>
      <c r="T45" t="str">
        <f t="shared" si="4"/>
        <v>Brazil</v>
      </c>
    </row>
    <row r="46" spans="1:20" x14ac:dyDescent="0.2">
      <c r="A46" s="1">
        <v>10292</v>
      </c>
      <c r="B46" s="3" t="s">
        <v>175</v>
      </c>
      <c r="C46" s="3">
        <v>1</v>
      </c>
      <c r="D46" s="4">
        <v>35305</v>
      </c>
      <c r="E46" s="4">
        <v>35333</v>
      </c>
      <c r="F46" s="4">
        <v>35310</v>
      </c>
      <c r="G46" s="3">
        <v>2</v>
      </c>
      <c r="H46" s="3">
        <v>1.35</v>
      </c>
      <c r="I46" s="3" t="s">
        <v>176</v>
      </c>
      <c r="J46" s="3" t="s">
        <v>177</v>
      </c>
      <c r="K46" s="3">
        <v>414</v>
      </c>
      <c r="L46" s="3" t="s">
        <v>173</v>
      </c>
      <c r="M46" s="3" t="s">
        <v>55</v>
      </c>
      <c r="N46" s="3" t="s">
        <v>178</v>
      </c>
      <c r="O46" s="3" t="s">
        <v>31</v>
      </c>
      <c r="P46" t="str">
        <f t="shared" si="0"/>
        <v>Av. Inês de Castro 414</v>
      </c>
      <c r="Q46" t="str">
        <f t="shared" si="5"/>
        <v>Sao Paulo</v>
      </c>
      <c r="R46" t="str">
        <f t="shared" si="2"/>
        <v>SP</v>
      </c>
      <c r="S46" t="str">
        <f t="shared" si="3"/>
        <v>05634-030</v>
      </c>
      <c r="T46" t="str">
        <f t="shared" si="4"/>
        <v>Brazil</v>
      </c>
    </row>
    <row r="47" spans="1:20" x14ac:dyDescent="0.2">
      <c r="A47" s="1">
        <v>10293</v>
      </c>
      <c r="B47" s="3" t="s">
        <v>130</v>
      </c>
      <c r="C47" s="3">
        <v>1</v>
      </c>
      <c r="D47" s="4">
        <v>35306</v>
      </c>
      <c r="E47" s="4">
        <v>35334</v>
      </c>
      <c r="F47" s="4">
        <v>35319</v>
      </c>
      <c r="G47" s="3">
        <v>3</v>
      </c>
      <c r="H47" s="3">
        <v>21.18</v>
      </c>
      <c r="I47" s="3" t="s">
        <v>131</v>
      </c>
      <c r="J47" s="3" t="s">
        <v>132</v>
      </c>
      <c r="K47" s="3" t="s">
        <v>71</v>
      </c>
      <c r="L47" s="3" t="s">
        <v>18</v>
      </c>
      <c r="M47" s="3">
        <v>5033</v>
      </c>
      <c r="N47" s="3" t="s">
        <v>72</v>
      </c>
      <c r="O47" s="2"/>
      <c r="P47" t="str">
        <f t="shared" si="0"/>
        <v>Avda. Azteca 123</v>
      </c>
      <c r="Q47" t="str">
        <f t="shared" si="5"/>
        <v>México D.F.</v>
      </c>
      <c r="R47" t="str">
        <f t="shared" si="2"/>
        <v>NULL</v>
      </c>
      <c r="S47">
        <f t="shared" si="3"/>
        <v>5033</v>
      </c>
      <c r="T47" t="str">
        <f t="shared" si="4"/>
        <v>Mexico</v>
      </c>
    </row>
    <row r="48" spans="1:20" x14ac:dyDescent="0.2">
      <c r="A48" s="1">
        <v>10294</v>
      </c>
      <c r="B48" s="3" t="s">
        <v>81</v>
      </c>
      <c r="C48" s="3">
        <v>4</v>
      </c>
      <c r="D48" s="4">
        <v>35307</v>
      </c>
      <c r="E48" s="4">
        <v>35335</v>
      </c>
      <c r="F48" s="4">
        <v>35313</v>
      </c>
      <c r="G48" s="3">
        <v>2</v>
      </c>
      <c r="H48" s="3">
        <v>147.26</v>
      </c>
      <c r="I48" s="3" t="s">
        <v>82</v>
      </c>
      <c r="J48" s="3" t="s">
        <v>83</v>
      </c>
      <c r="K48" s="3" t="s">
        <v>84</v>
      </c>
      <c r="L48" s="3" t="s">
        <v>85</v>
      </c>
      <c r="M48" s="3">
        <v>87110</v>
      </c>
      <c r="N48" s="3" t="s">
        <v>86</v>
      </c>
      <c r="O48" s="2"/>
      <c r="P48" t="str">
        <f t="shared" si="0"/>
        <v>2817 Milton Dr.</v>
      </c>
      <c r="Q48" t="str">
        <f t="shared" si="5"/>
        <v>Albuquerque</v>
      </c>
      <c r="R48" t="str">
        <f t="shared" si="2"/>
        <v>NM</v>
      </c>
      <c r="S48">
        <f t="shared" si="3"/>
        <v>87110</v>
      </c>
      <c r="T48" t="str">
        <f t="shared" si="4"/>
        <v>USA</v>
      </c>
    </row>
    <row r="49" spans="1:20" x14ac:dyDescent="0.2">
      <c r="A49" s="1">
        <v>10295</v>
      </c>
      <c r="B49" s="3" t="s">
        <v>14</v>
      </c>
      <c r="C49" s="3">
        <v>2</v>
      </c>
      <c r="D49" s="4">
        <v>35310</v>
      </c>
      <c r="E49" s="4">
        <v>35338</v>
      </c>
      <c r="F49" s="4">
        <v>35318</v>
      </c>
      <c r="G49" s="3">
        <v>2</v>
      </c>
      <c r="H49" s="3">
        <v>1.1499999999999999</v>
      </c>
      <c r="I49" s="3" t="s">
        <v>15</v>
      </c>
      <c r="J49" s="3" t="s">
        <v>16</v>
      </c>
      <c r="K49" s="3" t="s">
        <v>17</v>
      </c>
      <c r="L49" s="3" t="s">
        <v>18</v>
      </c>
      <c r="M49" s="3">
        <v>51100</v>
      </c>
      <c r="N49" s="3" t="s">
        <v>19</v>
      </c>
      <c r="O49" s="2"/>
      <c r="P49" t="str">
        <f t="shared" si="0"/>
        <v>59 rue de l'Abbaye</v>
      </c>
      <c r="Q49" t="str">
        <f t="shared" si="5"/>
        <v>Reims</v>
      </c>
      <c r="R49" t="str">
        <f t="shared" si="2"/>
        <v>NULL</v>
      </c>
      <c r="S49">
        <f t="shared" si="3"/>
        <v>51100</v>
      </c>
      <c r="T49" t="str">
        <f t="shared" si="4"/>
        <v>France</v>
      </c>
    </row>
    <row r="50" spans="1:20" x14ac:dyDescent="0.2">
      <c r="A50" s="1">
        <v>10296</v>
      </c>
      <c r="B50" s="3" t="s">
        <v>151</v>
      </c>
      <c r="C50" s="3">
        <v>6</v>
      </c>
      <c r="D50" s="4">
        <v>35311</v>
      </c>
      <c r="E50" s="4">
        <v>35339</v>
      </c>
      <c r="F50" s="4">
        <v>35319</v>
      </c>
      <c r="G50" s="3">
        <v>1</v>
      </c>
      <c r="H50" s="3">
        <v>0.12</v>
      </c>
      <c r="I50" s="3" t="s">
        <v>152</v>
      </c>
      <c r="J50" s="3" t="s">
        <v>153</v>
      </c>
      <c r="K50" s="3" t="s">
        <v>154</v>
      </c>
      <c r="L50" s="3" t="s">
        <v>155</v>
      </c>
      <c r="M50" s="3">
        <v>3508</v>
      </c>
      <c r="N50" s="3" t="s">
        <v>62</v>
      </c>
      <c r="O50" s="2"/>
      <c r="P50" t="str">
        <f t="shared" si="0"/>
        <v>Carrera 52 con Ave. Bolívar #65-98 Llano Largo</v>
      </c>
      <c r="Q50" t="str">
        <f t="shared" si="5"/>
        <v>Barquisimeto</v>
      </c>
      <c r="R50" t="str">
        <f t="shared" si="2"/>
        <v>Lara</v>
      </c>
      <c r="S50">
        <f t="shared" si="3"/>
        <v>3508</v>
      </c>
      <c r="T50" t="str">
        <f t="shared" si="4"/>
        <v>Venezuela</v>
      </c>
    </row>
    <row r="51" spans="1:20" x14ac:dyDescent="0.2">
      <c r="A51" s="1">
        <v>10297</v>
      </c>
      <c r="B51" s="3" t="s">
        <v>93</v>
      </c>
      <c r="C51" s="3">
        <v>5</v>
      </c>
      <c r="D51" s="4">
        <v>35312</v>
      </c>
      <c r="E51" s="4">
        <v>35354</v>
      </c>
      <c r="F51" s="4">
        <v>35318</v>
      </c>
      <c r="G51" s="3">
        <v>2</v>
      </c>
      <c r="H51" s="3">
        <v>5.74</v>
      </c>
      <c r="I51" s="3" t="s">
        <v>94</v>
      </c>
      <c r="J51" s="3">
        <v>24</v>
      </c>
      <c r="K51" s="3" t="s">
        <v>95</v>
      </c>
      <c r="L51" s="3" t="s">
        <v>96</v>
      </c>
      <c r="M51" s="3" t="s">
        <v>18</v>
      </c>
      <c r="N51" s="3">
        <v>67000</v>
      </c>
      <c r="O51" s="3" t="s">
        <v>19</v>
      </c>
      <c r="P51" t="str">
        <f t="shared" si="0"/>
        <v>24  place Kléber</v>
      </c>
      <c r="Q51" t="str">
        <f t="shared" si="5"/>
        <v>Strasbourg</v>
      </c>
      <c r="R51" t="str">
        <f t="shared" si="2"/>
        <v>NULL</v>
      </c>
      <c r="S51">
        <f t="shared" si="3"/>
        <v>67000</v>
      </c>
      <c r="T51" t="str">
        <f t="shared" si="4"/>
        <v>France</v>
      </c>
    </row>
    <row r="52" spans="1:20" x14ac:dyDescent="0.2">
      <c r="A52" s="1">
        <v>10298</v>
      </c>
      <c r="B52" s="3" t="s">
        <v>179</v>
      </c>
      <c r="C52" s="3">
        <v>6</v>
      </c>
      <c r="D52" s="4">
        <v>35313</v>
      </c>
      <c r="E52" s="4">
        <v>35341</v>
      </c>
      <c r="F52" s="4">
        <v>35319</v>
      </c>
      <c r="G52" s="3">
        <v>2</v>
      </c>
      <c r="H52" s="3">
        <v>168.22</v>
      </c>
      <c r="I52" s="3" t="s">
        <v>180</v>
      </c>
      <c r="J52" s="3" t="s">
        <v>181</v>
      </c>
      <c r="K52" s="3" t="s">
        <v>182</v>
      </c>
      <c r="L52" s="3" t="s">
        <v>183</v>
      </c>
      <c r="M52" s="3" t="s">
        <v>18</v>
      </c>
      <c r="N52" s="3" t="s">
        <v>184</v>
      </c>
      <c r="O52" s="2"/>
      <c r="P52" t="str">
        <f t="shared" si="0"/>
        <v>8 Johnstown Road</v>
      </c>
      <c r="Q52" t="str">
        <f t="shared" si="5"/>
        <v>Cork</v>
      </c>
      <c r="R52" t="str">
        <f t="shared" si="2"/>
        <v>Co. Cork</v>
      </c>
      <c r="S52" t="str">
        <f t="shared" si="3"/>
        <v>NULL</v>
      </c>
      <c r="T52" t="str">
        <f t="shared" si="4"/>
        <v>Ireland</v>
      </c>
    </row>
    <row r="53" spans="1:20" x14ac:dyDescent="0.2">
      <c r="A53" s="1">
        <v>10299</v>
      </c>
      <c r="B53" s="3" t="s">
        <v>156</v>
      </c>
      <c r="C53" s="3">
        <v>4</v>
      </c>
      <c r="D53" s="4">
        <v>35314</v>
      </c>
      <c r="E53" s="4">
        <v>35342</v>
      </c>
      <c r="F53" s="4">
        <v>35321</v>
      </c>
      <c r="G53" s="3">
        <v>2</v>
      </c>
      <c r="H53" s="3">
        <v>29.76</v>
      </c>
      <c r="I53" s="3" t="s">
        <v>157</v>
      </c>
      <c r="J53" s="3" t="s">
        <v>158</v>
      </c>
      <c r="K53" s="3">
        <v>267</v>
      </c>
      <c r="L53" s="3" t="s">
        <v>28</v>
      </c>
      <c r="M53" s="3" t="s">
        <v>29</v>
      </c>
      <c r="N53" s="3" t="s">
        <v>159</v>
      </c>
      <c r="O53" s="3" t="s">
        <v>31</v>
      </c>
      <c r="P53" t="str">
        <f t="shared" si="0"/>
        <v>Av. Copacabana 267</v>
      </c>
      <c r="Q53" t="str">
        <f t="shared" si="5"/>
        <v>Rio de Janeiro</v>
      </c>
      <c r="R53" t="str">
        <f t="shared" si="2"/>
        <v>RJ</v>
      </c>
      <c r="S53" t="str">
        <f t="shared" si="3"/>
        <v>02389-890</v>
      </c>
      <c r="T53" t="str">
        <f t="shared" si="4"/>
        <v>Brazil</v>
      </c>
    </row>
    <row r="54" spans="1:20" x14ac:dyDescent="0.2">
      <c r="A54" s="1">
        <v>10300</v>
      </c>
      <c r="B54" s="3" t="s">
        <v>125</v>
      </c>
      <c r="C54" s="3">
        <v>2</v>
      </c>
      <c r="D54" s="4">
        <v>35317</v>
      </c>
      <c r="E54" s="4">
        <v>35345</v>
      </c>
      <c r="F54" s="4">
        <v>35326</v>
      </c>
      <c r="G54" s="3">
        <v>2</v>
      </c>
      <c r="H54" s="3">
        <v>17.68</v>
      </c>
      <c r="I54" s="3" t="s">
        <v>126</v>
      </c>
      <c r="J54" s="3" t="s">
        <v>127</v>
      </c>
      <c r="K54" s="3" t="s">
        <v>128</v>
      </c>
      <c r="L54" s="3" t="s">
        <v>18</v>
      </c>
      <c r="M54" s="3">
        <v>24100</v>
      </c>
      <c r="N54" s="3" t="s">
        <v>129</v>
      </c>
      <c r="O54" s="2"/>
      <c r="P54" t="str">
        <f t="shared" si="0"/>
        <v>Via Ludovico il Moro 22</v>
      </c>
      <c r="Q54" t="str">
        <f t="shared" si="5"/>
        <v>Bergamo</v>
      </c>
      <c r="R54" t="str">
        <f t="shared" si="2"/>
        <v>NULL</v>
      </c>
      <c r="S54">
        <f t="shared" si="3"/>
        <v>24100</v>
      </c>
      <c r="T54" t="str">
        <f t="shared" si="4"/>
        <v>Italy</v>
      </c>
    </row>
    <row r="55" spans="1:20" x14ac:dyDescent="0.2">
      <c r="A55" s="1">
        <v>10301</v>
      </c>
      <c r="B55" s="3" t="s">
        <v>185</v>
      </c>
      <c r="C55" s="3">
        <v>8</v>
      </c>
      <c r="D55" s="4">
        <v>35317</v>
      </c>
      <c r="E55" s="4">
        <v>35345</v>
      </c>
      <c r="F55" s="4">
        <v>35325</v>
      </c>
      <c r="G55" s="3">
        <v>2</v>
      </c>
      <c r="H55" s="3">
        <v>45.08</v>
      </c>
      <c r="I55" s="3" t="s">
        <v>186</v>
      </c>
      <c r="J55" s="3" t="s">
        <v>187</v>
      </c>
      <c r="K55" s="3" t="s">
        <v>188</v>
      </c>
      <c r="L55" s="3" t="s">
        <v>18</v>
      </c>
      <c r="M55" s="3">
        <v>70563</v>
      </c>
      <c r="N55" s="3" t="s">
        <v>24</v>
      </c>
      <c r="O55" s="2"/>
      <c r="P55" t="str">
        <f t="shared" si="0"/>
        <v>Adenauerallee 900</v>
      </c>
      <c r="Q55" t="str">
        <f t="shared" si="5"/>
        <v>Stuttgart</v>
      </c>
      <c r="R55" t="str">
        <f t="shared" si="2"/>
        <v>NULL</v>
      </c>
      <c r="S55">
        <f t="shared" si="3"/>
        <v>70563</v>
      </c>
      <c r="T55" t="str">
        <f t="shared" si="4"/>
        <v>Germany</v>
      </c>
    </row>
    <row r="56" spans="1:20" x14ac:dyDescent="0.2">
      <c r="A56" s="1">
        <v>10302</v>
      </c>
      <c r="B56" s="3" t="s">
        <v>36</v>
      </c>
      <c r="C56" s="3">
        <v>4</v>
      </c>
      <c r="D56" s="4">
        <v>35318</v>
      </c>
      <c r="E56" s="4">
        <v>35346</v>
      </c>
      <c r="F56" s="4">
        <v>35347</v>
      </c>
      <c r="G56" s="3">
        <v>2</v>
      </c>
      <c r="H56" s="3">
        <v>6.27</v>
      </c>
      <c r="I56" s="3" t="s">
        <v>37</v>
      </c>
      <c r="J56" s="3" t="s">
        <v>38</v>
      </c>
      <c r="K56" s="3">
        <v>255</v>
      </c>
      <c r="L56" s="3" t="s">
        <v>39</v>
      </c>
      <c r="M56" s="3" t="s">
        <v>18</v>
      </c>
      <c r="N56" s="3" t="s">
        <v>40</v>
      </c>
      <c r="O56" s="3" t="s">
        <v>41</v>
      </c>
      <c r="P56" t="str">
        <f t="shared" si="0"/>
        <v>Boulevard Tirou 255</v>
      </c>
      <c r="Q56" t="str">
        <f t="shared" si="5"/>
        <v>Charleroi</v>
      </c>
      <c r="R56" t="str">
        <f t="shared" si="2"/>
        <v>NULL</v>
      </c>
      <c r="S56" t="str">
        <f t="shared" si="3"/>
        <v>B-6000</v>
      </c>
      <c r="T56" t="str">
        <f t="shared" si="4"/>
        <v>Belgium</v>
      </c>
    </row>
    <row r="57" spans="1:20" x14ac:dyDescent="0.2">
      <c r="A57" s="1">
        <v>10303</v>
      </c>
      <c r="B57" s="3" t="s">
        <v>189</v>
      </c>
      <c r="C57" s="3">
        <v>7</v>
      </c>
      <c r="D57" s="4">
        <v>35319</v>
      </c>
      <c r="E57" s="4">
        <v>35347</v>
      </c>
      <c r="F57" s="4">
        <v>35326</v>
      </c>
      <c r="G57" s="3">
        <v>2</v>
      </c>
      <c r="H57" s="3">
        <v>107.83</v>
      </c>
      <c r="I57" s="3" t="s">
        <v>190</v>
      </c>
      <c r="J57" s="3" t="s">
        <v>191</v>
      </c>
      <c r="K57" s="3">
        <v>33</v>
      </c>
      <c r="L57" s="3" t="s">
        <v>192</v>
      </c>
      <c r="M57" s="3" t="s">
        <v>18</v>
      </c>
      <c r="N57" s="3">
        <v>41101</v>
      </c>
      <c r="O57" s="3" t="s">
        <v>150</v>
      </c>
      <c r="P57" t="str">
        <f t="shared" si="0"/>
        <v>C/ Romero 33</v>
      </c>
      <c r="Q57" t="str">
        <f t="shared" si="5"/>
        <v>Sevilla</v>
      </c>
      <c r="R57" t="str">
        <f t="shared" si="2"/>
        <v>NULL</v>
      </c>
      <c r="S57">
        <f t="shared" si="3"/>
        <v>41101</v>
      </c>
      <c r="T57" t="str">
        <f t="shared" si="4"/>
        <v>Spain</v>
      </c>
    </row>
    <row r="58" spans="1:20" x14ac:dyDescent="0.2">
      <c r="A58" s="1">
        <v>10304</v>
      </c>
      <c r="B58" s="3" t="s">
        <v>130</v>
      </c>
      <c r="C58" s="3">
        <v>1</v>
      </c>
      <c r="D58" s="4">
        <v>35320</v>
      </c>
      <c r="E58" s="4">
        <v>35348</v>
      </c>
      <c r="F58" s="4">
        <v>35325</v>
      </c>
      <c r="G58" s="3">
        <v>2</v>
      </c>
      <c r="H58" s="3">
        <v>63.79</v>
      </c>
      <c r="I58" s="3" t="s">
        <v>131</v>
      </c>
      <c r="J58" s="3" t="s">
        <v>132</v>
      </c>
      <c r="K58" s="3" t="s">
        <v>71</v>
      </c>
      <c r="L58" s="3" t="s">
        <v>18</v>
      </c>
      <c r="M58" s="3">
        <v>5033</v>
      </c>
      <c r="N58" s="3" t="s">
        <v>72</v>
      </c>
      <c r="O58" s="2"/>
      <c r="P58" t="str">
        <f t="shared" si="0"/>
        <v>Avda. Azteca 123</v>
      </c>
      <c r="Q58" t="str">
        <f t="shared" si="5"/>
        <v>México D.F.</v>
      </c>
      <c r="R58" t="str">
        <f t="shared" si="2"/>
        <v>NULL</v>
      </c>
      <c r="S58">
        <f t="shared" si="3"/>
        <v>5033</v>
      </c>
      <c r="T58" t="str">
        <f t="shared" si="4"/>
        <v>Mexico</v>
      </c>
    </row>
    <row r="59" spans="1:20" x14ac:dyDescent="0.2">
      <c r="A59" s="1">
        <v>10305</v>
      </c>
      <c r="B59" s="3" t="s">
        <v>193</v>
      </c>
      <c r="C59" s="3">
        <v>8</v>
      </c>
      <c r="D59" s="4">
        <v>35321</v>
      </c>
      <c r="E59" s="4">
        <v>35349</v>
      </c>
      <c r="F59" s="4">
        <v>35347</v>
      </c>
      <c r="G59" s="3">
        <v>3</v>
      </c>
      <c r="H59" s="3">
        <v>257.62</v>
      </c>
      <c r="I59" s="3" t="s">
        <v>194</v>
      </c>
      <c r="J59" s="3" t="s">
        <v>195</v>
      </c>
      <c r="K59" s="3" t="s">
        <v>196</v>
      </c>
      <c r="L59" s="3" t="s">
        <v>197</v>
      </c>
      <c r="M59" s="3">
        <v>99508</v>
      </c>
      <c r="N59" s="3" t="s">
        <v>86</v>
      </c>
      <c r="O59" s="2"/>
      <c r="P59" t="str">
        <f t="shared" si="0"/>
        <v>2743 Bering St.</v>
      </c>
      <c r="Q59" t="str">
        <f t="shared" si="5"/>
        <v>Anchorage</v>
      </c>
      <c r="R59" t="str">
        <f t="shared" si="2"/>
        <v>AK</v>
      </c>
      <c r="S59">
        <f t="shared" si="3"/>
        <v>99508</v>
      </c>
      <c r="T59" t="str">
        <f t="shared" si="4"/>
        <v>USA</v>
      </c>
    </row>
    <row r="60" spans="1:20" x14ac:dyDescent="0.2">
      <c r="A60" s="1">
        <v>10306</v>
      </c>
      <c r="B60" s="3" t="s">
        <v>146</v>
      </c>
      <c r="C60" s="3">
        <v>1</v>
      </c>
      <c r="D60" s="4">
        <v>35324</v>
      </c>
      <c r="E60" s="4">
        <v>35352</v>
      </c>
      <c r="F60" s="4">
        <v>35331</v>
      </c>
      <c r="G60" s="3">
        <v>3</v>
      </c>
      <c r="H60" s="3">
        <v>7.56</v>
      </c>
      <c r="I60" s="3" t="s">
        <v>147</v>
      </c>
      <c r="J60" s="3" t="s">
        <v>148</v>
      </c>
      <c r="K60" s="3">
        <v>1</v>
      </c>
      <c r="L60" s="3" t="s">
        <v>149</v>
      </c>
      <c r="M60" s="3" t="s">
        <v>18</v>
      </c>
      <c r="N60" s="3">
        <v>28001</v>
      </c>
      <c r="O60" s="3" t="s">
        <v>150</v>
      </c>
      <c r="P60" t="str">
        <f t="shared" si="0"/>
        <v>Gran Vía 1</v>
      </c>
      <c r="Q60" t="str">
        <f t="shared" si="5"/>
        <v>Madrid</v>
      </c>
      <c r="R60" t="str">
        <f t="shared" si="2"/>
        <v>NULL</v>
      </c>
      <c r="S60">
        <f t="shared" si="3"/>
        <v>28001</v>
      </c>
      <c r="T60" t="str">
        <f t="shared" si="4"/>
        <v>Spain</v>
      </c>
    </row>
    <row r="61" spans="1:20" x14ac:dyDescent="0.2">
      <c r="A61" s="1">
        <v>10307</v>
      </c>
      <c r="B61" s="3" t="s">
        <v>198</v>
      </c>
      <c r="C61" s="3">
        <v>2</v>
      </c>
      <c r="D61" s="4">
        <v>35325</v>
      </c>
      <c r="E61" s="4">
        <v>35353</v>
      </c>
      <c r="F61" s="4">
        <v>35333</v>
      </c>
      <c r="G61" s="3">
        <v>2</v>
      </c>
      <c r="H61" s="3">
        <v>0.56000000000000005</v>
      </c>
      <c r="I61" s="3" t="s">
        <v>199</v>
      </c>
      <c r="J61" s="3" t="s">
        <v>200</v>
      </c>
      <c r="K61" s="3" t="s">
        <v>201</v>
      </c>
      <c r="L61" s="3" t="s">
        <v>202</v>
      </c>
      <c r="M61" s="3">
        <v>97219</v>
      </c>
      <c r="N61" s="3" t="s">
        <v>86</v>
      </c>
      <c r="O61" s="2"/>
      <c r="P61" t="str">
        <f t="shared" si="0"/>
        <v>89 Chiaroscuro Rd.</v>
      </c>
      <c r="Q61" t="str">
        <f t="shared" si="5"/>
        <v>Portland</v>
      </c>
      <c r="R61" t="str">
        <f t="shared" si="2"/>
        <v>OR</v>
      </c>
      <c r="S61">
        <f t="shared" si="3"/>
        <v>97219</v>
      </c>
      <c r="T61" t="str">
        <f t="shared" si="4"/>
        <v>USA</v>
      </c>
    </row>
    <row r="62" spans="1:20" x14ac:dyDescent="0.2">
      <c r="A62" s="1">
        <v>10308</v>
      </c>
      <c r="B62" s="3" t="s">
        <v>203</v>
      </c>
      <c r="C62" s="3">
        <v>7</v>
      </c>
      <c r="D62" s="4">
        <v>35326</v>
      </c>
      <c r="E62" s="4">
        <v>35354</v>
      </c>
      <c r="F62" s="4">
        <v>35332</v>
      </c>
      <c r="G62" s="3">
        <v>3</v>
      </c>
      <c r="H62" s="3">
        <v>1.61</v>
      </c>
      <c r="I62" s="3" t="s">
        <v>204</v>
      </c>
      <c r="J62" s="3" t="s">
        <v>205</v>
      </c>
      <c r="K62" s="3" t="s">
        <v>71</v>
      </c>
      <c r="L62" s="3" t="s">
        <v>18</v>
      </c>
      <c r="M62" s="3">
        <v>5021</v>
      </c>
      <c r="N62" s="3" t="s">
        <v>72</v>
      </c>
      <c r="O62" s="2"/>
      <c r="P62" t="str">
        <f t="shared" si="0"/>
        <v>Avda. de la Constitución 2222</v>
      </c>
      <c r="Q62" t="str">
        <f t="shared" si="5"/>
        <v>México D.F.</v>
      </c>
      <c r="R62" t="str">
        <f t="shared" si="2"/>
        <v>NULL</v>
      </c>
      <c r="S62">
        <f t="shared" si="3"/>
        <v>5021</v>
      </c>
      <c r="T62" t="str">
        <f t="shared" si="4"/>
        <v>Mexico</v>
      </c>
    </row>
    <row r="63" spans="1:20" x14ac:dyDescent="0.2">
      <c r="A63" s="1">
        <v>10309</v>
      </c>
      <c r="B63" s="3" t="s">
        <v>179</v>
      </c>
      <c r="C63" s="3">
        <v>3</v>
      </c>
      <c r="D63" s="4">
        <v>35327</v>
      </c>
      <c r="E63" s="4">
        <v>35355</v>
      </c>
      <c r="F63" s="4">
        <v>35361</v>
      </c>
      <c r="G63" s="3">
        <v>1</v>
      </c>
      <c r="H63" s="3">
        <v>47.3</v>
      </c>
      <c r="I63" s="3" t="s">
        <v>180</v>
      </c>
      <c r="J63" s="3" t="s">
        <v>181</v>
      </c>
      <c r="K63" s="3" t="s">
        <v>182</v>
      </c>
      <c r="L63" s="3" t="s">
        <v>183</v>
      </c>
      <c r="M63" s="3" t="s">
        <v>18</v>
      </c>
      <c r="N63" s="3" t="s">
        <v>184</v>
      </c>
      <c r="O63" s="2"/>
      <c r="P63" t="str">
        <f t="shared" si="0"/>
        <v>8 Johnstown Road</v>
      </c>
      <c r="Q63" t="str">
        <f t="shared" si="5"/>
        <v>Cork</v>
      </c>
      <c r="R63" t="str">
        <f t="shared" si="2"/>
        <v>Co. Cork</v>
      </c>
      <c r="S63" t="str">
        <f t="shared" si="3"/>
        <v>NULL</v>
      </c>
      <c r="T63" t="str">
        <f t="shared" si="4"/>
        <v>Ireland</v>
      </c>
    </row>
    <row r="64" spans="1:20" x14ac:dyDescent="0.2">
      <c r="A64" s="1">
        <v>10310</v>
      </c>
      <c r="B64" s="3" t="s">
        <v>206</v>
      </c>
      <c r="C64" s="3">
        <v>8</v>
      </c>
      <c r="D64" s="4">
        <v>35328</v>
      </c>
      <c r="E64" s="4">
        <v>35356</v>
      </c>
      <c r="F64" s="4">
        <v>35335</v>
      </c>
      <c r="G64" s="3">
        <v>2</v>
      </c>
      <c r="H64" s="3">
        <v>17.52</v>
      </c>
      <c r="I64" s="3" t="s">
        <v>207</v>
      </c>
      <c r="J64" s="3" t="s">
        <v>208</v>
      </c>
      <c r="K64" s="3" t="s">
        <v>201</v>
      </c>
      <c r="L64" s="3" t="s">
        <v>202</v>
      </c>
      <c r="M64" s="3">
        <v>97201</v>
      </c>
      <c r="N64" s="3" t="s">
        <v>86</v>
      </c>
      <c r="O64" s="2"/>
      <c r="P64" t="str">
        <f t="shared" si="0"/>
        <v>89 Jefferson Way Suite 2</v>
      </c>
      <c r="Q64" t="str">
        <f t="shared" si="5"/>
        <v>Portland</v>
      </c>
      <c r="R64" t="str">
        <f t="shared" si="2"/>
        <v>OR</v>
      </c>
      <c r="S64">
        <f t="shared" si="3"/>
        <v>97201</v>
      </c>
      <c r="T64" t="str">
        <f t="shared" si="4"/>
        <v>USA</v>
      </c>
    </row>
    <row r="65" spans="1:20" x14ac:dyDescent="0.2">
      <c r="A65" s="1">
        <v>10311</v>
      </c>
      <c r="B65" s="3" t="s">
        <v>209</v>
      </c>
      <c r="C65" s="3">
        <v>1</v>
      </c>
      <c r="D65" s="4">
        <v>35328</v>
      </c>
      <c r="E65" s="4">
        <v>35342</v>
      </c>
      <c r="F65" s="4">
        <v>35334</v>
      </c>
      <c r="G65" s="3">
        <v>3</v>
      </c>
      <c r="H65" s="3">
        <v>24.69</v>
      </c>
      <c r="I65" s="3" t="s">
        <v>210</v>
      </c>
      <c r="J65" s="3">
        <v>67</v>
      </c>
      <c r="K65" s="3" t="s">
        <v>211</v>
      </c>
      <c r="L65" s="3" t="s">
        <v>212</v>
      </c>
      <c r="M65" s="3" t="s">
        <v>18</v>
      </c>
      <c r="N65" s="3">
        <v>44000</v>
      </c>
      <c r="O65" s="3" t="s">
        <v>19</v>
      </c>
      <c r="P65" t="str">
        <f t="shared" si="0"/>
        <v>67  rue des Cinquante Otages</v>
      </c>
      <c r="Q65" t="str">
        <f t="shared" si="5"/>
        <v>Nantes</v>
      </c>
      <c r="R65" t="str">
        <f t="shared" si="2"/>
        <v>NULL</v>
      </c>
      <c r="S65">
        <f t="shared" si="3"/>
        <v>44000</v>
      </c>
      <c r="T65" t="str">
        <f t="shared" si="4"/>
        <v>France</v>
      </c>
    </row>
    <row r="66" spans="1:20" x14ac:dyDescent="0.2">
      <c r="A66" s="1">
        <v>10312</v>
      </c>
      <c r="B66" s="3" t="s">
        <v>185</v>
      </c>
      <c r="C66" s="3">
        <v>2</v>
      </c>
      <c r="D66" s="4">
        <v>35331</v>
      </c>
      <c r="E66" s="4">
        <v>35359</v>
      </c>
      <c r="F66" s="4">
        <v>35341</v>
      </c>
      <c r="G66" s="3">
        <v>2</v>
      </c>
      <c r="H66" s="3">
        <v>40.26</v>
      </c>
      <c r="I66" s="3" t="s">
        <v>186</v>
      </c>
      <c r="J66" s="3" t="s">
        <v>187</v>
      </c>
      <c r="K66" s="3" t="s">
        <v>188</v>
      </c>
      <c r="L66" s="3" t="s">
        <v>18</v>
      </c>
      <c r="M66" s="3">
        <v>70563</v>
      </c>
      <c r="N66" s="3" t="s">
        <v>24</v>
      </c>
      <c r="O66" s="2"/>
      <c r="P66" t="str">
        <f t="shared" ref="P66:P129" si="6">IF(O66&lt;&gt;"",J66&amp;" "&amp;K66,J66)</f>
        <v>Adenauerallee 900</v>
      </c>
      <c r="Q66" t="str">
        <f t="shared" si="5"/>
        <v>Stuttgart</v>
      </c>
      <c r="R66" t="str">
        <f t="shared" si="2"/>
        <v>NULL</v>
      </c>
      <c r="S66">
        <f t="shared" si="3"/>
        <v>70563</v>
      </c>
      <c r="T66" t="str">
        <f t="shared" si="4"/>
        <v>Germany</v>
      </c>
    </row>
    <row r="67" spans="1:20" x14ac:dyDescent="0.2">
      <c r="A67" s="1">
        <v>10313</v>
      </c>
      <c r="B67" s="3" t="s">
        <v>121</v>
      </c>
      <c r="C67" s="3">
        <v>2</v>
      </c>
      <c r="D67" s="4">
        <v>35332</v>
      </c>
      <c r="E67" s="4">
        <v>35360</v>
      </c>
      <c r="F67" s="4">
        <v>35342</v>
      </c>
      <c r="G67" s="3">
        <v>2</v>
      </c>
      <c r="H67" s="3">
        <v>1.96</v>
      </c>
      <c r="I67" s="3" t="s">
        <v>122</v>
      </c>
      <c r="J67" s="3" t="s">
        <v>123</v>
      </c>
      <c r="K67" s="3" t="s">
        <v>124</v>
      </c>
      <c r="L67" s="3" t="s">
        <v>18</v>
      </c>
      <c r="M67" s="3">
        <v>1307</v>
      </c>
      <c r="N67" s="3" t="s">
        <v>24</v>
      </c>
      <c r="O67" s="2"/>
      <c r="P67" t="str">
        <f t="shared" si="6"/>
        <v>Taucherstraße 10</v>
      </c>
      <c r="Q67" t="str">
        <f t="shared" si="5"/>
        <v>Cunewalde</v>
      </c>
      <c r="R67" t="str">
        <f t="shared" ref="R67:R130" si="7">IF(O67&lt;&gt;"",M67,L67)</f>
        <v>NULL</v>
      </c>
      <c r="S67">
        <f t="shared" ref="S67:S130" si="8">IF(O67&lt;&gt;"",N67,M67)</f>
        <v>1307</v>
      </c>
      <c r="T67" t="str">
        <f t="shared" ref="T67:T130" si="9">IF(O67&lt;&gt;"",O67,N67)</f>
        <v>Germany</v>
      </c>
    </row>
    <row r="68" spans="1:20" x14ac:dyDescent="0.2">
      <c r="A68" s="1">
        <v>10314</v>
      </c>
      <c r="B68" s="3" t="s">
        <v>81</v>
      </c>
      <c r="C68" s="3">
        <v>1</v>
      </c>
      <c r="D68" s="4">
        <v>35333</v>
      </c>
      <c r="E68" s="4">
        <v>35361</v>
      </c>
      <c r="F68" s="4">
        <v>35342</v>
      </c>
      <c r="G68" s="3">
        <v>2</v>
      </c>
      <c r="H68" s="3">
        <v>74.16</v>
      </c>
      <c r="I68" s="3" t="s">
        <v>82</v>
      </c>
      <c r="J68" s="3" t="s">
        <v>83</v>
      </c>
      <c r="K68" s="3" t="s">
        <v>84</v>
      </c>
      <c r="L68" s="3" t="s">
        <v>85</v>
      </c>
      <c r="M68" s="3">
        <v>87110</v>
      </c>
      <c r="N68" s="3" t="s">
        <v>86</v>
      </c>
      <c r="O68" s="2"/>
      <c r="P68" t="str">
        <f t="shared" si="6"/>
        <v>2817 Milton Dr.</v>
      </c>
      <c r="Q68" t="str">
        <f t="shared" si="5"/>
        <v>Albuquerque</v>
      </c>
      <c r="R68" t="str">
        <f t="shared" si="7"/>
        <v>NM</v>
      </c>
      <c r="S68">
        <f t="shared" si="8"/>
        <v>87110</v>
      </c>
      <c r="T68" t="str">
        <f t="shared" si="9"/>
        <v>USA</v>
      </c>
    </row>
    <row r="69" spans="1:20" x14ac:dyDescent="0.2">
      <c r="A69" s="1">
        <v>10315</v>
      </c>
      <c r="B69" s="3" t="s">
        <v>213</v>
      </c>
      <c r="C69" s="3">
        <v>4</v>
      </c>
      <c r="D69" s="4">
        <v>35334</v>
      </c>
      <c r="E69" s="4">
        <v>35362</v>
      </c>
      <c r="F69" s="4">
        <v>35341</v>
      </c>
      <c r="G69" s="3">
        <v>2</v>
      </c>
      <c r="H69" s="3">
        <v>41.76</v>
      </c>
      <c r="I69" s="3" t="s">
        <v>214</v>
      </c>
      <c r="J69" s="3" t="s">
        <v>215</v>
      </c>
      <c r="K69" s="3" t="s">
        <v>216</v>
      </c>
      <c r="L69" s="3" t="s">
        <v>217</v>
      </c>
      <c r="M69" s="3" t="s">
        <v>218</v>
      </c>
      <c r="N69" s="3" t="s">
        <v>169</v>
      </c>
      <c r="O69" s="2"/>
      <c r="P69" t="str">
        <f t="shared" si="6"/>
        <v>Garden House Crowther Way</v>
      </c>
      <c r="Q69" t="str">
        <f t="shared" si="5"/>
        <v>Cowes</v>
      </c>
      <c r="R69" t="str">
        <f t="shared" si="7"/>
        <v>Isle of Wight</v>
      </c>
      <c r="S69" t="str">
        <f t="shared" si="8"/>
        <v>PO31 7PJ</v>
      </c>
      <c r="T69" t="str">
        <f t="shared" si="9"/>
        <v>UK</v>
      </c>
    </row>
    <row r="70" spans="1:20" x14ac:dyDescent="0.2">
      <c r="A70" s="1">
        <v>10316</v>
      </c>
      <c r="B70" s="3" t="s">
        <v>81</v>
      </c>
      <c r="C70" s="3">
        <v>1</v>
      </c>
      <c r="D70" s="4">
        <v>35335</v>
      </c>
      <c r="E70" s="4">
        <v>35363</v>
      </c>
      <c r="F70" s="4">
        <v>35346</v>
      </c>
      <c r="G70" s="3">
        <v>3</v>
      </c>
      <c r="H70" s="3">
        <v>150.15</v>
      </c>
      <c r="I70" s="3" t="s">
        <v>82</v>
      </c>
      <c r="J70" s="3" t="s">
        <v>83</v>
      </c>
      <c r="K70" s="3" t="s">
        <v>84</v>
      </c>
      <c r="L70" s="3" t="s">
        <v>85</v>
      </c>
      <c r="M70" s="3">
        <v>87110</v>
      </c>
      <c r="N70" s="3" t="s">
        <v>86</v>
      </c>
      <c r="O70" s="2"/>
      <c r="P70" t="str">
        <f t="shared" si="6"/>
        <v>2817 Milton Dr.</v>
      </c>
      <c r="Q70" t="str">
        <f t="shared" si="5"/>
        <v>Albuquerque</v>
      </c>
      <c r="R70" t="str">
        <f t="shared" si="7"/>
        <v>NM</v>
      </c>
      <c r="S70">
        <f t="shared" si="8"/>
        <v>87110</v>
      </c>
      <c r="T70" t="str">
        <f t="shared" si="9"/>
        <v>USA</v>
      </c>
    </row>
    <row r="71" spans="1:20" x14ac:dyDescent="0.2">
      <c r="A71" s="1">
        <v>10317</v>
      </c>
      <c r="B71" s="3" t="s">
        <v>198</v>
      </c>
      <c r="C71" s="3">
        <v>6</v>
      </c>
      <c r="D71" s="4">
        <v>35338</v>
      </c>
      <c r="E71" s="4">
        <v>35366</v>
      </c>
      <c r="F71" s="4">
        <v>35348</v>
      </c>
      <c r="G71" s="3">
        <v>1</v>
      </c>
      <c r="H71" s="3">
        <v>12.69</v>
      </c>
      <c r="I71" s="3" t="s">
        <v>199</v>
      </c>
      <c r="J71" s="3" t="s">
        <v>200</v>
      </c>
      <c r="K71" s="3" t="s">
        <v>201</v>
      </c>
      <c r="L71" s="3" t="s">
        <v>202</v>
      </c>
      <c r="M71" s="3">
        <v>97219</v>
      </c>
      <c r="N71" s="3" t="s">
        <v>86</v>
      </c>
      <c r="O71" s="2"/>
      <c r="P71" t="str">
        <f t="shared" si="6"/>
        <v>89 Chiaroscuro Rd.</v>
      </c>
      <c r="Q71" t="str">
        <f t="shared" ref="Q71:Q134" si="10">IF(O71&lt;&gt;"",L71,K71)</f>
        <v>Portland</v>
      </c>
      <c r="R71" t="str">
        <f t="shared" si="7"/>
        <v>OR</v>
      </c>
      <c r="S71">
        <f t="shared" si="8"/>
        <v>97219</v>
      </c>
      <c r="T71" t="str">
        <f t="shared" si="9"/>
        <v>USA</v>
      </c>
    </row>
    <row r="72" spans="1:20" x14ac:dyDescent="0.2">
      <c r="A72" s="1">
        <v>10318</v>
      </c>
      <c r="B72" s="3" t="s">
        <v>213</v>
      </c>
      <c r="C72" s="3">
        <v>8</v>
      </c>
      <c r="D72" s="4">
        <v>35339</v>
      </c>
      <c r="E72" s="4">
        <v>35367</v>
      </c>
      <c r="F72" s="4">
        <v>35342</v>
      </c>
      <c r="G72" s="3">
        <v>2</v>
      </c>
      <c r="H72" s="3">
        <v>4.7300000000000004</v>
      </c>
      <c r="I72" s="3" t="s">
        <v>214</v>
      </c>
      <c r="J72" s="3" t="s">
        <v>215</v>
      </c>
      <c r="K72" s="3" t="s">
        <v>216</v>
      </c>
      <c r="L72" s="3" t="s">
        <v>217</v>
      </c>
      <c r="M72" s="3" t="s">
        <v>218</v>
      </c>
      <c r="N72" s="3" t="s">
        <v>169</v>
      </c>
      <c r="O72" s="2"/>
      <c r="P72" t="str">
        <f t="shared" si="6"/>
        <v>Garden House Crowther Way</v>
      </c>
      <c r="Q72" t="str">
        <f t="shared" si="10"/>
        <v>Cowes</v>
      </c>
      <c r="R72" t="str">
        <f t="shared" si="7"/>
        <v>Isle of Wight</v>
      </c>
      <c r="S72" t="str">
        <f t="shared" si="8"/>
        <v>PO31 7PJ</v>
      </c>
      <c r="T72" t="str">
        <f t="shared" si="9"/>
        <v>UK</v>
      </c>
    </row>
    <row r="73" spans="1:20" x14ac:dyDescent="0.2">
      <c r="A73" s="1">
        <v>10319</v>
      </c>
      <c r="B73" s="3" t="s">
        <v>130</v>
      </c>
      <c r="C73" s="3">
        <v>7</v>
      </c>
      <c r="D73" s="4">
        <v>35340</v>
      </c>
      <c r="E73" s="4">
        <v>35368</v>
      </c>
      <c r="F73" s="4">
        <v>35349</v>
      </c>
      <c r="G73" s="3">
        <v>3</v>
      </c>
      <c r="H73" s="3">
        <v>64.5</v>
      </c>
      <c r="I73" s="3" t="s">
        <v>131</v>
      </c>
      <c r="J73" s="3" t="s">
        <v>132</v>
      </c>
      <c r="K73" s="3" t="s">
        <v>71</v>
      </c>
      <c r="L73" s="3" t="s">
        <v>18</v>
      </c>
      <c r="M73" s="3">
        <v>5033</v>
      </c>
      <c r="N73" s="3" t="s">
        <v>72</v>
      </c>
      <c r="O73" s="2"/>
      <c r="P73" t="str">
        <f t="shared" si="6"/>
        <v>Avda. Azteca 123</v>
      </c>
      <c r="Q73" t="str">
        <f t="shared" si="10"/>
        <v>México D.F.</v>
      </c>
      <c r="R73" t="str">
        <f t="shared" si="7"/>
        <v>NULL</v>
      </c>
      <c r="S73">
        <f t="shared" si="8"/>
        <v>5033</v>
      </c>
      <c r="T73" t="str">
        <f t="shared" si="9"/>
        <v>Mexico</v>
      </c>
    </row>
    <row r="74" spans="1:20" x14ac:dyDescent="0.2">
      <c r="A74" s="1">
        <v>10320</v>
      </c>
      <c r="B74" s="3" t="s">
        <v>97</v>
      </c>
      <c r="C74" s="3">
        <v>5</v>
      </c>
      <c r="D74" s="4">
        <v>35341</v>
      </c>
      <c r="E74" s="4">
        <v>35355</v>
      </c>
      <c r="F74" s="4">
        <v>35356</v>
      </c>
      <c r="G74" s="3">
        <v>3</v>
      </c>
      <c r="H74" s="3">
        <v>34.57</v>
      </c>
      <c r="I74" s="3" t="s">
        <v>98</v>
      </c>
      <c r="J74" s="3" t="s">
        <v>99</v>
      </c>
      <c r="K74" s="3" t="s">
        <v>100</v>
      </c>
      <c r="L74" s="3" t="s">
        <v>18</v>
      </c>
      <c r="M74" s="3">
        <v>90110</v>
      </c>
      <c r="N74" s="3" t="s">
        <v>101</v>
      </c>
      <c r="O74" s="2"/>
      <c r="P74" t="str">
        <f t="shared" si="6"/>
        <v>Torikatu 38</v>
      </c>
      <c r="Q74" t="str">
        <f t="shared" si="10"/>
        <v>Oulu</v>
      </c>
      <c r="R74" t="str">
        <f t="shared" si="7"/>
        <v>NULL</v>
      </c>
      <c r="S74">
        <f t="shared" si="8"/>
        <v>90110</v>
      </c>
      <c r="T74" t="str">
        <f t="shared" si="9"/>
        <v>Finland</v>
      </c>
    </row>
    <row r="75" spans="1:20" x14ac:dyDescent="0.2">
      <c r="A75" s="1">
        <v>10321</v>
      </c>
      <c r="B75" s="3" t="s">
        <v>213</v>
      </c>
      <c r="C75" s="3">
        <v>3</v>
      </c>
      <c r="D75" s="4">
        <v>35341</v>
      </c>
      <c r="E75" s="4">
        <v>35369</v>
      </c>
      <c r="F75" s="4">
        <v>35349</v>
      </c>
      <c r="G75" s="3">
        <v>2</v>
      </c>
      <c r="H75" s="3">
        <v>3.43</v>
      </c>
      <c r="I75" s="3" t="s">
        <v>214</v>
      </c>
      <c r="J75" s="3" t="s">
        <v>215</v>
      </c>
      <c r="K75" s="3" t="s">
        <v>216</v>
      </c>
      <c r="L75" s="3" t="s">
        <v>217</v>
      </c>
      <c r="M75" s="3" t="s">
        <v>218</v>
      </c>
      <c r="N75" s="3" t="s">
        <v>169</v>
      </c>
      <c r="O75" s="2"/>
      <c r="P75" t="str">
        <f t="shared" si="6"/>
        <v>Garden House Crowther Way</v>
      </c>
      <c r="Q75" t="str">
        <f t="shared" si="10"/>
        <v>Cowes</v>
      </c>
      <c r="R75" t="str">
        <f t="shared" si="7"/>
        <v>Isle of Wight</v>
      </c>
      <c r="S75" t="str">
        <f t="shared" si="8"/>
        <v>PO31 7PJ</v>
      </c>
      <c r="T75" t="str">
        <f t="shared" si="9"/>
        <v>UK</v>
      </c>
    </row>
    <row r="76" spans="1:20" x14ac:dyDescent="0.2">
      <c r="A76" s="1">
        <v>10322</v>
      </c>
      <c r="B76" s="3" t="s">
        <v>219</v>
      </c>
      <c r="C76" s="3">
        <v>7</v>
      </c>
      <c r="D76" s="4">
        <v>35342</v>
      </c>
      <c r="E76" s="4">
        <v>35370</v>
      </c>
      <c r="F76" s="4">
        <v>35361</v>
      </c>
      <c r="G76" s="3">
        <v>3</v>
      </c>
      <c r="H76" s="3">
        <v>0.4</v>
      </c>
      <c r="I76" s="3" t="s">
        <v>220</v>
      </c>
      <c r="J76" s="3" t="s">
        <v>221</v>
      </c>
      <c r="K76" s="3" t="s">
        <v>71</v>
      </c>
      <c r="L76" s="3" t="s">
        <v>18</v>
      </c>
      <c r="M76" s="3">
        <v>5033</v>
      </c>
      <c r="N76" s="3" t="s">
        <v>72</v>
      </c>
      <c r="O76" s="2"/>
      <c r="P76" t="str">
        <f t="shared" si="6"/>
        <v>Calle Dr. Jorge Cash 321</v>
      </c>
      <c r="Q76" t="str">
        <f t="shared" si="10"/>
        <v>México D.F.</v>
      </c>
      <c r="R76" t="str">
        <f t="shared" si="7"/>
        <v>NULL</v>
      </c>
      <c r="S76">
        <f t="shared" si="8"/>
        <v>5033</v>
      </c>
      <c r="T76" t="str">
        <f t="shared" si="9"/>
        <v>Mexico</v>
      </c>
    </row>
    <row r="77" spans="1:20" x14ac:dyDescent="0.2">
      <c r="A77" s="1">
        <v>10323</v>
      </c>
      <c r="B77" s="3" t="s">
        <v>222</v>
      </c>
      <c r="C77" s="3">
        <v>4</v>
      </c>
      <c r="D77" s="4">
        <v>35345</v>
      </c>
      <c r="E77" s="4">
        <v>35373</v>
      </c>
      <c r="F77" s="4">
        <v>35352</v>
      </c>
      <c r="G77" s="3">
        <v>1</v>
      </c>
      <c r="H77" s="3">
        <v>4.88</v>
      </c>
      <c r="I77" s="3" t="s">
        <v>223</v>
      </c>
      <c r="J77" s="3" t="s">
        <v>224</v>
      </c>
      <c r="K77" s="3" t="s">
        <v>225</v>
      </c>
      <c r="L77" s="3" t="s">
        <v>18</v>
      </c>
      <c r="M77" s="3">
        <v>14776</v>
      </c>
      <c r="N77" s="3" t="s">
        <v>24</v>
      </c>
      <c r="O77" s="2"/>
      <c r="P77" t="str">
        <f t="shared" si="6"/>
        <v>Maubelstr. 90</v>
      </c>
      <c r="Q77" t="str">
        <f t="shared" si="10"/>
        <v>Brandenburg</v>
      </c>
      <c r="R77" t="str">
        <f t="shared" si="7"/>
        <v>NULL</v>
      </c>
      <c r="S77">
        <f t="shared" si="8"/>
        <v>14776</v>
      </c>
      <c r="T77" t="str">
        <f t="shared" si="9"/>
        <v>Germany</v>
      </c>
    </row>
    <row r="78" spans="1:20" x14ac:dyDescent="0.2">
      <c r="A78" s="1">
        <v>10324</v>
      </c>
      <c r="B78" s="3" t="s">
        <v>226</v>
      </c>
      <c r="C78" s="3">
        <v>9</v>
      </c>
      <c r="D78" s="4">
        <v>35346</v>
      </c>
      <c r="E78" s="4">
        <v>35374</v>
      </c>
      <c r="F78" s="4">
        <v>35348</v>
      </c>
      <c r="G78" s="3">
        <v>1</v>
      </c>
      <c r="H78" s="3">
        <v>214.27</v>
      </c>
      <c r="I78" s="3" t="s">
        <v>227</v>
      </c>
      <c r="J78" s="3" t="s">
        <v>228</v>
      </c>
      <c r="K78" s="3" t="s">
        <v>229</v>
      </c>
      <c r="L78" s="3" t="s">
        <v>230</v>
      </c>
      <c r="M78" s="3">
        <v>83720</v>
      </c>
      <c r="N78" s="3" t="s">
        <v>86</v>
      </c>
      <c r="O78" s="2"/>
      <c r="P78" t="str">
        <f t="shared" si="6"/>
        <v>187 Suffolk Ln.</v>
      </c>
      <c r="Q78" t="str">
        <f t="shared" si="10"/>
        <v>Boise</v>
      </c>
      <c r="R78" t="str">
        <f t="shared" si="7"/>
        <v>ID</v>
      </c>
      <c r="S78">
        <f t="shared" si="8"/>
        <v>83720</v>
      </c>
      <c r="T78" t="str">
        <f t="shared" si="9"/>
        <v>USA</v>
      </c>
    </row>
    <row r="79" spans="1:20" x14ac:dyDescent="0.2">
      <c r="A79" s="1">
        <v>10325</v>
      </c>
      <c r="B79" s="3" t="s">
        <v>222</v>
      </c>
      <c r="C79" s="3">
        <v>1</v>
      </c>
      <c r="D79" s="4">
        <v>35347</v>
      </c>
      <c r="E79" s="4">
        <v>35361</v>
      </c>
      <c r="F79" s="4">
        <v>35352</v>
      </c>
      <c r="G79" s="3">
        <v>3</v>
      </c>
      <c r="H79" s="3">
        <v>64.86</v>
      </c>
      <c r="I79" s="3" t="s">
        <v>223</v>
      </c>
      <c r="J79" s="3" t="s">
        <v>224</v>
      </c>
      <c r="K79" s="3" t="s">
        <v>225</v>
      </c>
      <c r="L79" s="3" t="s">
        <v>18</v>
      </c>
      <c r="M79" s="3">
        <v>14776</v>
      </c>
      <c r="N79" s="3" t="s">
        <v>24</v>
      </c>
      <c r="O79" s="2"/>
      <c r="P79" t="str">
        <f t="shared" si="6"/>
        <v>Maubelstr. 90</v>
      </c>
      <c r="Q79" t="str">
        <f t="shared" si="10"/>
        <v>Brandenburg</v>
      </c>
      <c r="R79" t="str">
        <f t="shared" si="7"/>
        <v>NULL</v>
      </c>
      <c r="S79">
        <f t="shared" si="8"/>
        <v>14776</v>
      </c>
      <c r="T79" t="str">
        <f t="shared" si="9"/>
        <v>Germany</v>
      </c>
    </row>
    <row r="80" spans="1:20" x14ac:dyDescent="0.2">
      <c r="A80" s="1">
        <v>10326</v>
      </c>
      <c r="B80" s="3" t="s">
        <v>231</v>
      </c>
      <c r="C80" s="3">
        <v>4</v>
      </c>
      <c r="D80" s="4">
        <v>35348</v>
      </c>
      <c r="E80" s="4">
        <v>35376</v>
      </c>
      <c r="F80" s="4">
        <v>35352</v>
      </c>
      <c r="G80" s="3">
        <v>2</v>
      </c>
      <c r="H80" s="3">
        <v>77.92</v>
      </c>
      <c r="I80" s="3" t="s">
        <v>232</v>
      </c>
      <c r="J80" s="3" t="s">
        <v>233</v>
      </c>
      <c r="K80" s="3">
        <v>67</v>
      </c>
      <c r="L80" s="3" t="s">
        <v>149</v>
      </c>
      <c r="M80" s="3" t="s">
        <v>18</v>
      </c>
      <c r="N80" s="3">
        <v>28023</v>
      </c>
      <c r="O80" s="3" t="s">
        <v>150</v>
      </c>
      <c r="P80" t="str">
        <f t="shared" si="6"/>
        <v>C/ Araquil 67</v>
      </c>
      <c r="Q80" t="str">
        <f t="shared" si="10"/>
        <v>Madrid</v>
      </c>
      <c r="R80" t="str">
        <f t="shared" si="7"/>
        <v>NULL</v>
      </c>
      <c r="S80">
        <f t="shared" si="8"/>
        <v>28023</v>
      </c>
      <c r="T80" t="str">
        <f t="shared" si="9"/>
        <v>Spain</v>
      </c>
    </row>
    <row r="81" spans="1:20" x14ac:dyDescent="0.2">
      <c r="A81" s="1">
        <v>10327</v>
      </c>
      <c r="B81" s="3" t="s">
        <v>87</v>
      </c>
      <c r="C81" s="3">
        <v>2</v>
      </c>
      <c r="D81" s="4">
        <v>35349</v>
      </c>
      <c r="E81" s="4">
        <v>35377</v>
      </c>
      <c r="F81" s="4">
        <v>35352</v>
      </c>
      <c r="G81" s="3">
        <v>1</v>
      </c>
      <c r="H81" s="3">
        <v>63.36</v>
      </c>
      <c r="I81" s="3" t="s">
        <v>88</v>
      </c>
      <c r="J81" s="3" t="s">
        <v>89</v>
      </c>
      <c r="K81" s="3" t="s">
        <v>90</v>
      </c>
      <c r="L81" s="3" t="s">
        <v>18</v>
      </c>
      <c r="M81" s="3" t="s">
        <v>91</v>
      </c>
      <c r="N81" s="3" t="s">
        <v>92</v>
      </c>
      <c r="O81" s="2"/>
      <c r="P81" t="str">
        <f t="shared" si="6"/>
        <v>Åkergatan 24</v>
      </c>
      <c r="Q81" t="str">
        <f t="shared" si="10"/>
        <v>Bräcke</v>
      </c>
      <c r="R81" t="str">
        <f t="shared" si="7"/>
        <v>NULL</v>
      </c>
      <c r="S81" t="str">
        <f t="shared" si="8"/>
        <v>S-844 67</v>
      </c>
      <c r="T81" t="str">
        <f t="shared" si="9"/>
        <v>Sweden</v>
      </c>
    </row>
    <row r="82" spans="1:20" x14ac:dyDescent="0.2">
      <c r="A82" s="1">
        <v>10328</v>
      </c>
      <c r="B82" s="3" t="s">
        <v>234</v>
      </c>
      <c r="C82" s="3">
        <v>4</v>
      </c>
      <c r="D82" s="4">
        <v>35352</v>
      </c>
      <c r="E82" s="4">
        <v>35380</v>
      </c>
      <c r="F82" s="4">
        <v>35355</v>
      </c>
      <c r="G82" s="3">
        <v>3</v>
      </c>
      <c r="H82" s="3">
        <v>87.03</v>
      </c>
      <c r="I82" s="3" t="s">
        <v>235</v>
      </c>
      <c r="J82" s="3" t="s">
        <v>236</v>
      </c>
      <c r="K82" s="3" t="s">
        <v>237</v>
      </c>
      <c r="L82" s="3" t="s">
        <v>18</v>
      </c>
      <c r="M82" s="3">
        <v>1675</v>
      </c>
      <c r="N82" s="3" t="s">
        <v>238</v>
      </c>
      <c r="O82" s="2"/>
      <c r="P82" t="str">
        <f t="shared" si="6"/>
        <v>Jardim das rosas n. 32</v>
      </c>
      <c r="Q82" t="str">
        <f t="shared" si="10"/>
        <v>Lisboa</v>
      </c>
      <c r="R82" t="str">
        <f t="shared" si="7"/>
        <v>NULL</v>
      </c>
      <c r="S82">
        <f t="shared" si="8"/>
        <v>1675</v>
      </c>
      <c r="T82" t="str">
        <f t="shared" si="9"/>
        <v>Portugal</v>
      </c>
    </row>
    <row r="83" spans="1:20" x14ac:dyDescent="0.2">
      <c r="A83" s="1">
        <v>10329</v>
      </c>
      <c r="B83" s="3" t="s">
        <v>116</v>
      </c>
      <c r="C83" s="3">
        <v>4</v>
      </c>
      <c r="D83" s="4">
        <v>35353</v>
      </c>
      <c r="E83" s="4">
        <v>35395</v>
      </c>
      <c r="F83" s="4">
        <v>35361</v>
      </c>
      <c r="G83" s="3">
        <v>2</v>
      </c>
      <c r="H83" s="3">
        <v>191.67</v>
      </c>
      <c r="I83" s="3" t="s">
        <v>117</v>
      </c>
      <c r="J83" s="3" t="s">
        <v>118</v>
      </c>
      <c r="K83" s="3" t="s">
        <v>119</v>
      </c>
      <c r="L83" s="3" t="s">
        <v>120</v>
      </c>
      <c r="M83" s="3">
        <v>82520</v>
      </c>
      <c r="N83" s="3" t="s">
        <v>86</v>
      </c>
      <c r="O83" s="2"/>
      <c r="P83" t="str">
        <f t="shared" si="6"/>
        <v>P.O. Box 555</v>
      </c>
      <c r="Q83" t="str">
        <f t="shared" si="10"/>
        <v>Lander</v>
      </c>
      <c r="R83" t="str">
        <f t="shared" si="7"/>
        <v>WY</v>
      </c>
      <c r="S83">
        <f t="shared" si="8"/>
        <v>82520</v>
      </c>
      <c r="T83" t="str">
        <f t="shared" si="9"/>
        <v>USA</v>
      </c>
    </row>
    <row r="84" spans="1:20" x14ac:dyDescent="0.2">
      <c r="A84" s="1">
        <v>10330</v>
      </c>
      <c r="B84" s="3" t="s">
        <v>151</v>
      </c>
      <c r="C84" s="3">
        <v>3</v>
      </c>
      <c r="D84" s="4">
        <v>35354</v>
      </c>
      <c r="E84" s="4">
        <v>35382</v>
      </c>
      <c r="F84" s="4">
        <v>35366</v>
      </c>
      <c r="G84" s="3">
        <v>1</v>
      </c>
      <c r="H84" s="3">
        <v>12.75</v>
      </c>
      <c r="I84" s="3" t="s">
        <v>152</v>
      </c>
      <c r="J84" s="3" t="s">
        <v>153</v>
      </c>
      <c r="K84" s="3" t="s">
        <v>154</v>
      </c>
      <c r="L84" s="3" t="s">
        <v>155</v>
      </c>
      <c r="M84" s="3">
        <v>3508</v>
      </c>
      <c r="N84" s="3" t="s">
        <v>62</v>
      </c>
      <c r="O84" s="2"/>
      <c r="P84" t="str">
        <f t="shared" si="6"/>
        <v>Carrera 52 con Ave. Bolívar #65-98 Llano Largo</v>
      </c>
      <c r="Q84" t="str">
        <f t="shared" si="10"/>
        <v>Barquisimeto</v>
      </c>
      <c r="R84" t="str">
        <f t="shared" si="7"/>
        <v>Lara</v>
      </c>
      <c r="S84">
        <f t="shared" si="8"/>
        <v>3508</v>
      </c>
      <c r="T84" t="str">
        <f t="shared" si="9"/>
        <v>Venezuela</v>
      </c>
    </row>
    <row r="85" spans="1:20" x14ac:dyDescent="0.2">
      <c r="A85" s="1">
        <v>10331</v>
      </c>
      <c r="B85" s="3" t="s">
        <v>239</v>
      </c>
      <c r="C85" s="3">
        <v>9</v>
      </c>
      <c r="D85" s="4">
        <v>35354</v>
      </c>
      <c r="E85" s="4">
        <v>35396</v>
      </c>
      <c r="F85" s="4">
        <v>35359</v>
      </c>
      <c r="G85" s="3">
        <v>1</v>
      </c>
      <c r="H85" s="3">
        <v>10.19</v>
      </c>
      <c r="I85" s="3" t="s">
        <v>240</v>
      </c>
      <c r="J85" s="3">
        <v>12</v>
      </c>
      <c r="K85" s="3" t="s">
        <v>241</v>
      </c>
      <c r="L85" s="3" t="s">
        <v>242</v>
      </c>
      <c r="M85" s="3" t="s">
        <v>18</v>
      </c>
      <c r="N85" s="3">
        <v>13008</v>
      </c>
      <c r="O85" s="3" t="s">
        <v>19</v>
      </c>
      <c r="P85" t="str">
        <f t="shared" si="6"/>
        <v>12  rue des Bouchers</v>
      </c>
      <c r="Q85" t="str">
        <f t="shared" si="10"/>
        <v>Marseille</v>
      </c>
      <c r="R85" t="str">
        <f t="shared" si="7"/>
        <v>NULL</v>
      </c>
      <c r="S85">
        <f t="shared" si="8"/>
        <v>13008</v>
      </c>
      <c r="T85" t="str">
        <f t="shared" si="9"/>
        <v>France</v>
      </c>
    </row>
    <row r="86" spans="1:20" x14ac:dyDescent="0.2">
      <c r="A86" s="1">
        <v>10332</v>
      </c>
      <c r="B86" s="3" t="s">
        <v>243</v>
      </c>
      <c r="C86" s="3">
        <v>3</v>
      </c>
      <c r="D86" s="4">
        <v>35355</v>
      </c>
      <c r="E86" s="4">
        <v>35397</v>
      </c>
      <c r="F86" s="4">
        <v>35359</v>
      </c>
      <c r="G86" s="3">
        <v>2</v>
      </c>
      <c r="H86" s="3">
        <v>52.84</v>
      </c>
      <c r="I86" s="3" t="s">
        <v>244</v>
      </c>
      <c r="J86" s="3" t="s">
        <v>245</v>
      </c>
      <c r="K86" s="3" t="s">
        <v>246</v>
      </c>
      <c r="L86" s="3" t="s">
        <v>247</v>
      </c>
      <c r="M86" s="3" t="s">
        <v>248</v>
      </c>
      <c r="N86" s="3" t="s">
        <v>249</v>
      </c>
      <c r="O86" s="2"/>
      <c r="P86" t="str">
        <f t="shared" si="6"/>
        <v>43 rue St. Laurent</v>
      </c>
      <c r="Q86" t="str">
        <f t="shared" si="10"/>
        <v>Montréal</v>
      </c>
      <c r="R86" t="str">
        <f t="shared" si="7"/>
        <v>Québec</v>
      </c>
      <c r="S86" t="str">
        <f t="shared" si="8"/>
        <v>H1J 1C3</v>
      </c>
      <c r="T86" t="str">
        <f t="shared" si="9"/>
        <v>Canada</v>
      </c>
    </row>
    <row r="87" spans="1:20" x14ac:dyDescent="0.2">
      <c r="A87" s="1">
        <v>10333</v>
      </c>
      <c r="B87" s="3" t="s">
        <v>97</v>
      </c>
      <c r="C87" s="3">
        <v>5</v>
      </c>
      <c r="D87" s="4">
        <v>35356</v>
      </c>
      <c r="E87" s="4">
        <v>35384</v>
      </c>
      <c r="F87" s="4">
        <v>35363</v>
      </c>
      <c r="G87" s="3">
        <v>3</v>
      </c>
      <c r="H87" s="3">
        <v>0.59</v>
      </c>
      <c r="I87" s="3" t="s">
        <v>98</v>
      </c>
      <c r="J87" s="3" t="s">
        <v>99</v>
      </c>
      <c r="K87" s="3" t="s">
        <v>100</v>
      </c>
      <c r="L87" s="3" t="s">
        <v>18</v>
      </c>
      <c r="M87" s="3">
        <v>90110</v>
      </c>
      <c r="N87" s="3" t="s">
        <v>101</v>
      </c>
      <c r="O87" s="2"/>
      <c r="P87" t="str">
        <f t="shared" si="6"/>
        <v>Torikatu 38</v>
      </c>
      <c r="Q87" t="str">
        <f t="shared" si="10"/>
        <v>Oulu</v>
      </c>
      <c r="R87" t="str">
        <f t="shared" si="7"/>
        <v>NULL</v>
      </c>
      <c r="S87">
        <f t="shared" si="8"/>
        <v>90110</v>
      </c>
      <c r="T87" t="str">
        <f t="shared" si="9"/>
        <v>Finland</v>
      </c>
    </row>
    <row r="88" spans="1:20" x14ac:dyDescent="0.2">
      <c r="A88" s="1">
        <v>10334</v>
      </c>
      <c r="B88" s="3" t="s">
        <v>32</v>
      </c>
      <c r="C88" s="3">
        <v>8</v>
      </c>
      <c r="D88" s="4">
        <v>35359</v>
      </c>
      <c r="E88" s="4">
        <v>35387</v>
      </c>
      <c r="F88" s="4">
        <v>35366</v>
      </c>
      <c r="G88" s="3">
        <v>2</v>
      </c>
      <c r="H88" s="3">
        <v>8.56</v>
      </c>
      <c r="I88" s="3" t="s">
        <v>33</v>
      </c>
      <c r="J88" s="3">
        <v>2</v>
      </c>
      <c r="K88" s="3" t="s">
        <v>34</v>
      </c>
      <c r="L88" s="3" t="s">
        <v>35</v>
      </c>
      <c r="M88" s="3" t="s">
        <v>18</v>
      </c>
      <c r="N88" s="3">
        <v>69004</v>
      </c>
      <c r="O88" s="3" t="s">
        <v>19</v>
      </c>
      <c r="P88" t="str">
        <f t="shared" si="6"/>
        <v>2  rue du Commerce</v>
      </c>
      <c r="Q88" t="str">
        <f t="shared" si="10"/>
        <v>Lyon</v>
      </c>
      <c r="R88" t="str">
        <f t="shared" si="7"/>
        <v>NULL</v>
      </c>
      <c r="S88">
        <f t="shared" si="8"/>
        <v>69004</v>
      </c>
      <c r="T88" t="str">
        <f t="shared" si="9"/>
        <v>France</v>
      </c>
    </row>
    <row r="89" spans="1:20" x14ac:dyDescent="0.2">
      <c r="A89" s="1">
        <v>10335</v>
      </c>
      <c r="B89" s="3" t="s">
        <v>179</v>
      </c>
      <c r="C89" s="3">
        <v>7</v>
      </c>
      <c r="D89" s="4">
        <v>35360</v>
      </c>
      <c r="E89" s="4">
        <v>35388</v>
      </c>
      <c r="F89" s="4">
        <v>35362</v>
      </c>
      <c r="G89" s="3">
        <v>2</v>
      </c>
      <c r="H89" s="3">
        <v>42.11</v>
      </c>
      <c r="I89" s="3" t="s">
        <v>180</v>
      </c>
      <c r="J89" s="3" t="s">
        <v>181</v>
      </c>
      <c r="K89" s="3" t="s">
        <v>182</v>
      </c>
      <c r="L89" s="3" t="s">
        <v>183</v>
      </c>
      <c r="M89" s="3" t="s">
        <v>18</v>
      </c>
      <c r="N89" s="3" t="s">
        <v>184</v>
      </c>
      <c r="O89" s="2"/>
      <c r="P89" t="str">
        <f t="shared" si="6"/>
        <v>8 Johnstown Road</v>
      </c>
      <c r="Q89" t="str">
        <f t="shared" si="10"/>
        <v>Cork</v>
      </c>
      <c r="R89" t="str">
        <f t="shared" si="7"/>
        <v>Co. Cork</v>
      </c>
      <c r="S89" t="str">
        <f t="shared" si="8"/>
        <v>NULL</v>
      </c>
      <c r="T89" t="str">
        <f t="shared" si="9"/>
        <v>Ireland</v>
      </c>
    </row>
    <row r="90" spans="1:20" x14ac:dyDescent="0.2">
      <c r="A90" s="1">
        <v>10336</v>
      </c>
      <c r="B90" s="3" t="s">
        <v>250</v>
      </c>
      <c r="C90" s="3">
        <v>7</v>
      </c>
      <c r="D90" s="4">
        <v>35361</v>
      </c>
      <c r="E90" s="4">
        <v>35389</v>
      </c>
      <c r="F90" s="4">
        <v>35363</v>
      </c>
      <c r="G90" s="3">
        <v>2</v>
      </c>
      <c r="H90" s="3">
        <v>15.51</v>
      </c>
      <c r="I90" s="3" t="s">
        <v>251</v>
      </c>
      <c r="J90" s="3" t="s">
        <v>252</v>
      </c>
      <c r="K90" s="3" t="s">
        <v>237</v>
      </c>
      <c r="L90" s="3" t="s">
        <v>18</v>
      </c>
      <c r="M90" s="3">
        <v>1756</v>
      </c>
      <c r="N90" s="3" t="s">
        <v>238</v>
      </c>
      <c r="O90" s="2"/>
      <c r="P90" t="str">
        <f t="shared" si="6"/>
        <v>Estrada da saúde n. 58</v>
      </c>
      <c r="Q90" t="str">
        <f t="shared" si="10"/>
        <v>Lisboa</v>
      </c>
      <c r="R90" t="str">
        <f t="shared" si="7"/>
        <v>NULL</v>
      </c>
      <c r="S90">
        <f t="shared" si="8"/>
        <v>1756</v>
      </c>
      <c r="T90" t="str">
        <f t="shared" si="9"/>
        <v>Portugal</v>
      </c>
    </row>
    <row r="91" spans="1:20" x14ac:dyDescent="0.2">
      <c r="A91" s="1">
        <v>10337</v>
      </c>
      <c r="B91" s="3" t="s">
        <v>102</v>
      </c>
      <c r="C91" s="3">
        <v>4</v>
      </c>
      <c r="D91" s="4">
        <v>35362</v>
      </c>
      <c r="E91" s="4">
        <v>35390</v>
      </c>
      <c r="F91" s="4">
        <v>35367</v>
      </c>
      <c r="G91" s="3">
        <v>3</v>
      </c>
      <c r="H91" s="3">
        <v>108.26</v>
      </c>
      <c r="I91" s="3" t="s">
        <v>103</v>
      </c>
      <c r="J91" s="3" t="s">
        <v>104</v>
      </c>
      <c r="K91" s="3" t="s">
        <v>105</v>
      </c>
      <c r="L91" s="3" t="s">
        <v>18</v>
      </c>
      <c r="M91" s="3">
        <v>80805</v>
      </c>
      <c r="N91" s="3" t="s">
        <v>24</v>
      </c>
      <c r="O91" s="2"/>
      <c r="P91" t="str">
        <f t="shared" si="6"/>
        <v>Berliner Platz 43</v>
      </c>
      <c r="Q91" t="str">
        <f t="shared" si="10"/>
        <v>München</v>
      </c>
      <c r="R91" t="str">
        <f t="shared" si="7"/>
        <v>NULL</v>
      </c>
      <c r="S91">
        <f t="shared" si="8"/>
        <v>80805</v>
      </c>
      <c r="T91" t="str">
        <f t="shared" si="9"/>
        <v>Germany</v>
      </c>
    </row>
    <row r="92" spans="1:20" x14ac:dyDescent="0.2">
      <c r="A92" s="1">
        <v>10338</v>
      </c>
      <c r="B92" s="3" t="s">
        <v>193</v>
      </c>
      <c r="C92" s="3">
        <v>4</v>
      </c>
      <c r="D92" s="4">
        <v>35363</v>
      </c>
      <c r="E92" s="4">
        <v>35391</v>
      </c>
      <c r="F92" s="4">
        <v>35367</v>
      </c>
      <c r="G92" s="3">
        <v>3</v>
      </c>
      <c r="H92" s="3">
        <v>84.21</v>
      </c>
      <c r="I92" s="3" t="s">
        <v>194</v>
      </c>
      <c r="J92" s="3" t="s">
        <v>195</v>
      </c>
      <c r="K92" s="3" t="s">
        <v>196</v>
      </c>
      <c r="L92" s="3" t="s">
        <v>197</v>
      </c>
      <c r="M92" s="3">
        <v>99508</v>
      </c>
      <c r="N92" s="3" t="s">
        <v>86</v>
      </c>
      <c r="O92" s="2"/>
      <c r="P92" t="str">
        <f t="shared" si="6"/>
        <v>2743 Bering St.</v>
      </c>
      <c r="Q92" t="str">
        <f t="shared" si="10"/>
        <v>Anchorage</v>
      </c>
      <c r="R92" t="str">
        <f t="shared" si="7"/>
        <v>AK</v>
      </c>
      <c r="S92">
        <f t="shared" si="8"/>
        <v>99508</v>
      </c>
      <c r="T92" t="str">
        <f t="shared" si="9"/>
        <v>USA</v>
      </c>
    </row>
    <row r="93" spans="1:20" x14ac:dyDescent="0.2">
      <c r="A93" s="1">
        <v>10339</v>
      </c>
      <c r="B93" s="3" t="s">
        <v>243</v>
      </c>
      <c r="C93" s="3">
        <v>2</v>
      </c>
      <c r="D93" s="4">
        <v>35366</v>
      </c>
      <c r="E93" s="4">
        <v>35394</v>
      </c>
      <c r="F93" s="4">
        <v>35373</v>
      </c>
      <c r="G93" s="3">
        <v>2</v>
      </c>
      <c r="H93" s="3">
        <v>15.66</v>
      </c>
      <c r="I93" s="3" t="s">
        <v>244</v>
      </c>
      <c r="J93" s="3" t="s">
        <v>245</v>
      </c>
      <c r="K93" s="3" t="s">
        <v>246</v>
      </c>
      <c r="L93" s="3" t="s">
        <v>247</v>
      </c>
      <c r="M93" s="3" t="s">
        <v>248</v>
      </c>
      <c r="N93" s="3" t="s">
        <v>249</v>
      </c>
      <c r="O93" s="2"/>
      <c r="P93" t="str">
        <f t="shared" si="6"/>
        <v>43 rue St. Laurent</v>
      </c>
      <c r="Q93" t="str">
        <f t="shared" si="10"/>
        <v>Montréal</v>
      </c>
      <c r="R93" t="str">
        <f t="shared" si="7"/>
        <v>Québec</v>
      </c>
      <c r="S93" t="str">
        <f t="shared" si="8"/>
        <v>H1J 1C3</v>
      </c>
      <c r="T93" t="str">
        <f t="shared" si="9"/>
        <v>Canada</v>
      </c>
    </row>
    <row r="94" spans="1:20" x14ac:dyDescent="0.2">
      <c r="A94" s="1">
        <v>10340</v>
      </c>
      <c r="B94" s="3" t="s">
        <v>239</v>
      </c>
      <c r="C94" s="3">
        <v>1</v>
      </c>
      <c r="D94" s="4">
        <v>35367</v>
      </c>
      <c r="E94" s="4">
        <v>35395</v>
      </c>
      <c r="F94" s="4">
        <v>35377</v>
      </c>
      <c r="G94" s="3">
        <v>3</v>
      </c>
      <c r="H94" s="3">
        <v>166.31</v>
      </c>
      <c r="I94" s="3" t="s">
        <v>240</v>
      </c>
      <c r="J94" s="3">
        <v>12</v>
      </c>
      <c r="K94" s="3" t="s">
        <v>241</v>
      </c>
      <c r="L94" s="3" t="s">
        <v>242</v>
      </c>
      <c r="M94" s="3" t="s">
        <v>18</v>
      </c>
      <c r="N94" s="3">
        <v>13008</v>
      </c>
      <c r="O94" s="3" t="s">
        <v>19</v>
      </c>
      <c r="P94" t="str">
        <f t="shared" si="6"/>
        <v>12  rue des Bouchers</v>
      </c>
      <c r="Q94" t="str">
        <f t="shared" si="10"/>
        <v>Marseille</v>
      </c>
      <c r="R94" t="str">
        <f t="shared" si="7"/>
        <v>NULL</v>
      </c>
      <c r="S94">
        <f t="shared" si="8"/>
        <v>13008</v>
      </c>
      <c r="T94" t="str">
        <f t="shared" si="9"/>
        <v>France</v>
      </c>
    </row>
    <row r="95" spans="1:20" x14ac:dyDescent="0.2">
      <c r="A95" s="1">
        <v>10341</v>
      </c>
      <c r="B95" s="3" t="s">
        <v>253</v>
      </c>
      <c r="C95" s="3">
        <v>7</v>
      </c>
      <c r="D95" s="4">
        <v>35367</v>
      </c>
      <c r="E95" s="4">
        <v>35395</v>
      </c>
      <c r="F95" s="4">
        <v>35374</v>
      </c>
      <c r="G95" s="3">
        <v>3</v>
      </c>
      <c r="H95" s="3">
        <v>26.78</v>
      </c>
      <c r="I95" s="3" t="s">
        <v>254</v>
      </c>
      <c r="J95" s="3" t="s">
        <v>255</v>
      </c>
      <c r="K95" s="3" t="s">
        <v>256</v>
      </c>
      <c r="L95" s="3" t="s">
        <v>18</v>
      </c>
      <c r="M95" s="3">
        <v>1734</v>
      </c>
      <c r="N95" s="3" t="s">
        <v>257</v>
      </c>
      <c r="O95" s="2"/>
      <c r="P95" t="str">
        <f t="shared" si="6"/>
        <v>Vinbæltet 34</v>
      </c>
      <c r="Q95" t="str">
        <f t="shared" si="10"/>
        <v>Kobenhavn</v>
      </c>
      <c r="R95" t="str">
        <f t="shared" si="7"/>
        <v>NULL</v>
      </c>
      <c r="S95">
        <f t="shared" si="8"/>
        <v>1734</v>
      </c>
      <c r="T95" t="str">
        <f t="shared" si="9"/>
        <v>Denmark</v>
      </c>
    </row>
    <row r="96" spans="1:20" x14ac:dyDescent="0.2">
      <c r="A96" s="1">
        <v>10342</v>
      </c>
      <c r="B96" s="3" t="s">
        <v>102</v>
      </c>
      <c r="C96" s="3">
        <v>4</v>
      </c>
      <c r="D96" s="4">
        <v>35368</v>
      </c>
      <c r="E96" s="4">
        <v>35382</v>
      </c>
      <c r="F96" s="4">
        <v>35373</v>
      </c>
      <c r="G96" s="3">
        <v>2</v>
      </c>
      <c r="H96" s="3">
        <v>54.83</v>
      </c>
      <c r="I96" s="3" t="s">
        <v>103</v>
      </c>
      <c r="J96" s="3" t="s">
        <v>104</v>
      </c>
      <c r="K96" s="3" t="s">
        <v>105</v>
      </c>
      <c r="L96" s="3" t="s">
        <v>18</v>
      </c>
      <c r="M96" s="3">
        <v>80805</v>
      </c>
      <c r="N96" s="3" t="s">
        <v>24</v>
      </c>
      <c r="O96" s="2"/>
      <c r="P96" t="str">
        <f t="shared" si="6"/>
        <v>Berliner Platz 43</v>
      </c>
      <c r="Q96" t="str">
        <f t="shared" si="10"/>
        <v>München</v>
      </c>
      <c r="R96" t="str">
        <f t="shared" si="7"/>
        <v>NULL</v>
      </c>
      <c r="S96">
        <f t="shared" si="8"/>
        <v>80805</v>
      </c>
      <c r="T96" t="str">
        <f t="shared" si="9"/>
        <v>Germany</v>
      </c>
    </row>
    <row r="97" spans="1:20" x14ac:dyDescent="0.2">
      <c r="A97" s="1">
        <v>10343</v>
      </c>
      <c r="B97" s="3" t="s">
        <v>142</v>
      </c>
      <c r="C97" s="3">
        <v>4</v>
      </c>
      <c r="D97" s="4">
        <v>35369</v>
      </c>
      <c r="E97" s="4">
        <v>35397</v>
      </c>
      <c r="F97" s="4">
        <v>35375</v>
      </c>
      <c r="G97" s="3">
        <v>1</v>
      </c>
      <c r="H97" s="3">
        <v>110.37</v>
      </c>
      <c r="I97" s="3" t="s">
        <v>143</v>
      </c>
      <c r="J97" s="3" t="s">
        <v>144</v>
      </c>
      <c r="K97" s="3" t="s">
        <v>145</v>
      </c>
      <c r="L97" s="3" t="s">
        <v>18</v>
      </c>
      <c r="M97" s="3">
        <v>60528</v>
      </c>
      <c r="N97" s="3" t="s">
        <v>24</v>
      </c>
      <c r="O97" s="2"/>
      <c r="P97" t="str">
        <f t="shared" si="6"/>
        <v>Magazinweg 7</v>
      </c>
      <c r="Q97" t="str">
        <f t="shared" si="10"/>
        <v>Frankfurt a.M.</v>
      </c>
      <c r="R97" t="str">
        <f t="shared" si="7"/>
        <v>NULL</v>
      </c>
      <c r="S97">
        <f t="shared" si="8"/>
        <v>60528</v>
      </c>
      <c r="T97" t="str">
        <f t="shared" si="9"/>
        <v>Germany</v>
      </c>
    </row>
    <row r="98" spans="1:20" x14ac:dyDescent="0.2">
      <c r="A98" s="1">
        <v>10344</v>
      </c>
      <c r="B98" s="3" t="s">
        <v>111</v>
      </c>
      <c r="C98" s="3">
        <v>4</v>
      </c>
      <c r="D98" s="4">
        <v>35370</v>
      </c>
      <c r="E98" s="4">
        <v>35398</v>
      </c>
      <c r="F98" s="4">
        <v>35374</v>
      </c>
      <c r="G98" s="3">
        <v>2</v>
      </c>
      <c r="H98" s="3">
        <v>23.29</v>
      </c>
      <c r="I98" s="3" t="s">
        <v>112</v>
      </c>
      <c r="J98" s="3" t="s">
        <v>113</v>
      </c>
      <c r="K98" s="3" t="s">
        <v>114</v>
      </c>
      <c r="L98" s="3" t="s">
        <v>115</v>
      </c>
      <c r="M98" s="3">
        <v>98124</v>
      </c>
      <c r="N98" s="3" t="s">
        <v>86</v>
      </c>
      <c r="O98" s="2"/>
      <c r="P98" t="str">
        <f t="shared" si="6"/>
        <v>1029 - 12th Ave. S.</v>
      </c>
      <c r="Q98" t="str">
        <f t="shared" si="10"/>
        <v>Seattle</v>
      </c>
      <c r="R98" t="str">
        <f t="shared" si="7"/>
        <v>WA</v>
      </c>
      <c r="S98">
        <f t="shared" si="8"/>
        <v>98124</v>
      </c>
      <c r="T98" t="str">
        <f t="shared" si="9"/>
        <v>USA</v>
      </c>
    </row>
    <row r="99" spans="1:20" x14ac:dyDescent="0.2">
      <c r="A99" s="1">
        <v>10345</v>
      </c>
      <c r="B99" s="3" t="s">
        <v>121</v>
      </c>
      <c r="C99" s="3">
        <v>2</v>
      </c>
      <c r="D99" s="4">
        <v>35373</v>
      </c>
      <c r="E99" s="4">
        <v>35401</v>
      </c>
      <c r="F99" s="4">
        <v>35380</v>
      </c>
      <c r="G99" s="3">
        <v>2</v>
      </c>
      <c r="H99" s="3">
        <v>249.06</v>
      </c>
      <c r="I99" s="3" t="s">
        <v>122</v>
      </c>
      <c r="J99" s="3" t="s">
        <v>123</v>
      </c>
      <c r="K99" s="3" t="s">
        <v>124</v>
      </c>
      <c r="L99" s="3" t="s">
        <v>18</v>
      </c>
      <c r="M99" s="3">
        <v>1307</v>
      </c>
      <c r="N99" s="3" t="s">
        <v>24</v>
      </c>
      <c r="O99" s="2"/>
      <c r="P99" t="str">
        <f t="shared" si="6"/>
        <v>Taucherstraße 10</v>
      </c>
      <c r="Q99" t="str">
        <f t="shared" si="10"/>
        <v>Cunewalde</v>
      </c>
      <c r="R99" t="str">
        <f t="shared" si="7"/>
        <v>NULL</v>
      </c>
      <c r="S99">
        <f t="shared" si="8"/>
        <v>1307</v>
      </c>
      <c r="T99" t="str">
        <f t="shared" si="9"/>
        <v>Germany</v>
      </c>
    </row>
    <row r="100" spans="1:20" x14ac:dyDescent="0.2">
      <c r="A100" s="1">
        <v>10346</v>
      </c>
      <c r="B100" s="3" t="s">
        <v>81</v>
      </c>
      <c r="C100" s="3">
        <v>3</v>
      </c>
      <c r="D100" s="4">
        <v>35374</v>
      </c>
      <c r="E100" s="4">
        <v>35416</v>
      </c>
      <c r="F100" s="4">
        <v>35377</v>
      </c>
      <c r="G100" s="3">
        <v>3</v>
      </c>
      <c r="H100" s="3">
        <v>142.08000000000001</v>
      </c>
      <c r="I100" s="3" t="s">
        <v>82</v>
      </c>
      <c r="J100" s="3" t="s">
        <v>83</v>
      </c>
      <c r="K100" s="3" t="s">
        <v>84</v>
      </c>
      <c r="L100" s="3" t="s">
        <v>85</v>
      </c>
      <c r="M100" s="3">
        <v>87110</v>
      </c>
      <c r="N100" s="3" t="s">
        <v>86</v>
      </c>
      <c r="O100" s="2"/>
      <c r="P100" t="str">
        <f t="shared" si="6"/>
        <v>2817 Milton Dr.</v>
      </c>
      <c r="Q100" t="str">
        <f t="shared" si="10"/>
        <v>Albuquerque</v>
      </c>
      <c r="R100" t="str">
        <f t="shared" si="7"/>
        <v>NM</v>
      </c>
      <c r="S100">
        <f t="shared" si="8"/>
        <v>87110</v>
      </c>
      <c r="T100" t="str">
        <f t="shared" si="9"/>
        <v>USA</v>
      </c>
    </row>
    <row r="101" spans="1:20" x14ac:dyDescent="0.2">
      <c r="A101" s="1">
        <v>10347</v>
      </c>
      <c r="B101" s="3" t="s">
        <v>258</v>
      </c>
      <c r="C101" s="3">
        <v>4</v>
      </c>
      <c r="D101" s="4">
        <v>35375</v>
      </c>
      <c r="E101" s="4">
        <v>35403</v>
      </c>
      <c r="F101" s="4">
        <v>35377</v>
      </c>
      <c r="G101" s="3">
        <v>3</v>
      </c>
      <c r="H101" s="3">
        <v>3.1</v>
      </c>
      <c r="I101" s="3" t="s">
        <v>259</v>
      </c>
      <c r="J101" s="3" t="s">
        <v>260</v>
      </c>
      <c r="K101" s="3">
        <v>92</v>
      </c>
      <c r="L101" s="3" t="s">
        <v>173</v>
      </c>
      <c r="M101" s="3" t="s">
        <v>55</v>
      </c>
      <c r="N101" s="3" t="s">
        <v>261</v>
      </c>
      <c r="O101" s="3" t="s">
        <v>31</v>
      </c>
      <c r="P101" t="str">
        <f t="shared" si="6"/>
        <v>Rua Orós 92</v>
      </c>
      <c r="Q101" t="str">
        <f t="shared" si="10"/>
        <v>Sao Paulo</v>
      </c>
      <c r="R101" t="str">
        <f t="shared" si="7"/>
        <v>SP</v>
      </c>
      <c r="S101" t="str">
        <f t="shared" si="8"/>
        <v>05442-030</v>
      </c>
      <c r="T101" t="str">
        <f t="shared" si="9"/>
        <v>Brazil</v>
      </c>
    </row>
    <row r="102" spans="1:20" x14ac:dyDescent="0.2">
      <c r="A102" s="1">
        <v>10348</v>
      </c>
      <c r="B102" s="3" t="s">
        <v>185</v>
      </c>
      <c r="C102" s="3">
        <v>4</v>
      </c>
      <c r="D102" s="4">
        <v>35376</v>
      </c>
      <c r="E102" s="4">
        <v>35404</v>
      </c>
      <c r="F102" s="4">
        <v>35384</v>
      </c>
      <c r="G102" s="3">
        <v>2</v>
      </c>
      <c r="H102" s="3">
        <v>0.78</v>
      </c>
      <c r="I102" s="3" t="s">
        <v>186</v>
      </c>
      <c r="J102" s="3" t="s">
        <v>187</v>
      </c>
      <c r="K102" s="3" t="s">
        <v>188</v>
      </c>
      <c r="L102" s="3" t="s">
        <v>18</v>
      </c>
      <c r="M102" s="3">
        <v>70563</v>
      </c>
      <c r="N102" s="3" t="s">
        <v>24</v>
      </c>
      <c r="O102" s="2"/>
      <c r="P102" t="str">
        <f t="shared" si="6"/>
        <v>Adenauerallee 900</v>
      </c>
      <c r="Q102" t="str">
        <f t="shared" si="10"/>
        <v>Stuttgart</v>
      </c>
      <c r="R102" t="str">
        <f t="shared" si="7"/>
        <v>NULL</v>
      </c>
      <c r="S102">
        <f t="shared" si="8"/>
        <v>70563</v>
      </c>
      <c r="T102" t="str">
        <f t="shared" si="9"/>
        <v>Germany</v>
      </c>
    </row>
    <row r="103" spans="1:20" x14ac:dyDescent="0.2">
      <c r="A103" s="1">
        <v>10349</v>
      </c>
      <c r="B103" s="3" t="s">
        <v>116</v>
      </c>
      <c r="C103" s="3">
        <v>7</v>
      </c>
      <c r="D103" s="4">
        <v>35377</v>
      </c>
      <c r="E103" s="4">
        <v>35405</v>
      </c>
      <c r="F103" s="4">
        <v>35384</v>
      </c>
      <c r="G103" s="3">
        <v>1</v>
      </c>
      <c r="H103" s="3">
        <v>8.6300000000000008</v>
      </c>
      <c r="I103" s="3" t="s">
        <v>117</v>
      </c>
      <c r="J103" s="3" t="s">
        <v>118</v>
      </c>
      <c r="K103" s="3" t="s">
        <v>119</v>
      </c>
      <c r="L103" s="3" t="s">
        <v>120</v>
      </c>
      <c r="M103" s="3">
        <v>82520</v>
      </c>
      <c r="N103" s="3" t="s">
        <v>86</v>
      </c>
      <c r="O103" s="2"/>
      <c r="P103" t="str">
        <f t="shared" si="6"/>
        <v>P.O. Box 555</v>
      </c>
      <c r="Q103" t="str">
        <f t="shared" si="10"/>
        <v>Lander</v>
      </c>
      <c r="R103" t="str">
        <f t="shared" si="7"/>
        <v>WY</v>
      </c>
      <c r="S103">
        <f t="shared" si="8"/>
        <v>82520</v>
      </c>
      <c r="T103" t="str">
        <f t="shared" si="9"/>
        <v>USA</v>
      </c>
    </row>
    <row r="104" spans="1:20" x14ac:dyDescent="0.2">
      <c r="A104" s="1">
        <v>10350</v>
      </c>
      <c r="B104" s="3" t="s">
        <v>262</v>
      </c>
      <c r="C104" s="3">
        <v>6</v>
      </c>
      <c r="D104" s="4">
        <v>35380</v>
      </c>
      <c r="E104" s="4">
        <v>35408</v>
      </c>
      <c r="F104" s="4">
        <v>35402</v>
      </c>
      <c r="G104" s="3">
        <v>2</v>
      </c>
      <c r="H104" s="3">
        <v>64.19</v>
      </c>
      <c r="I104" s="3" t="s">
        <v>263</v>
      </c>
      <c r="J104" s="3" t="s">
        <v>264</v>
      </c>
      <c r="K104" s="3" t="s">
        <v>265</v>
      </c>
      <c r="L104" s="3" t="s">
        <v>18</v>
      </c>
      <c r="M104" s="3">
        <v>31000</v>
      </c>
      <c r="N104" s="3" t="s">
        <v>19</v>
      </c>
      <c r="O104" s="2"/>
      <c r="P104" t="str">
        <f t="shared" si="6"/>
        <v>1 rue Alsace-Lorraine</v>
      </c>
      <c r="Q104" t="str">
        <f t="shared" si="10"/>
        <v>Toulouse</v>
      </c>
      <c r="R104" t="str">
        <f t="shared" si="7"/>
        <v>NULL</v>
      </c>
      <c r="S104">
        <f t="shared" si="8"/>
        <v>31000</v>
      </c>
      <c r="T104" t="str">
        <f t="shared" si="9"/>
        <v>France</v>
      </c>
    </row>
    <row r="105" spans="1:20" x14ac:dyDescent="0.2">
      <c r="A105" s="1">
        <v>10351</v>
      </c>
      <c r="B105" s="3" t="s">
        <v>63</v>
      </c>
      <c r="C105" s="3">
        <v>1</v>
      </c>
      <c r="D105" s="4">
        <v>35380</v>
      </c>
      <c r="E105" s="4">
        <v>35408</v>
      </c>
      <c r="F105" s="4">
        <v>35389</v>
      </c>
      <c r="G105" s="3">
        <v>1</v>
      </c>
      <c r="H105" s="3">
        <v>162.33000000000001</v>
      </c>
      <c r="I105" s="3" t="s">
        <v>64</v>
      </c>
      <c r="J105" s="3" t="s">
        <v>65</v>
      </c>
      <c r="K105" s="3" t="s">
        <v>66</v>
      </c>
      <c r="L105" s="3" t="s">
        <v>18</v>
      </c>
      <c r="M105" s="3">
        <v>8010</v>
      </c>
      <c r="N105" s="3" t="s">
        <v>67</v>
      </c>
      <c r="O105" s="2"/>
      <c r="P105" t="str">
        <f t="shared" si="6"/>
        <v>Kirchgasse 6</v>
      </c>
      <c r="Q105" t="str">
        <f t="shared" si="10"/>
        <v>Graz</v>
      </c>
      <c r="R105" t="str">
        <f t="shared" si="7"/>
        <v>NULL</v>
      </c>
      <c r="S105">
        <f t="shared" si="8"/>
        <v>8010</v>
      </c>
      <c r="T105" t="str">
        <f t="shared" si="9"/>
        <v>Austria</v>
      </c>
    </row>
    <row r="106" spans="1:20" x14ac:dyDescent="0.2">
      <c r="A106" s="1">
        <v>10352</v>
      </c>
      <c r="B106" s="3" t="s">
        <v>234</v>
      </c>
      <c r="C106" s="3">
        <v>3</v>
      </c>
      <c r="D106" s="4">
        <v>35381</v>
      </c>
      <c r="E106" s="4">
        <v>35395</v>
      </c>
      <c r="F106" s="4">
        <v>35387</v>
      </c>
      <c r="G106" s="3">
        <v>3</v>
      </c>
      <c r="H106" s="3">
        <v>1.3</v>
      </c>
      <c r="I106" s="3" t="s">
        <v>235</v>
      </c>
      <c r="J106" s="3" t="s">
        <v>236</v>
      </c>
      <c r="K106" s="3" t="s">
        <v>237</v>
      </c>
      <c r="L106" s="3" t="s">
        <v>18</v>
      </c>
      <c r="M106" s="3">
        <v>1675</v>
      </c>
      <c r="N106" s="3" t="s">
        <v>238</v>
      </c>
      <c r="O106" s="2"/>
      <c r="P106" t="str">
        <f t="shared" si="6"/>
        <v>Jardim das rosas n. 32</v>
      </c>
      <c r="Q106" t="str">
        <f t="shared" si="10"/>
        <v>Lisboa</v>
      </c>
      <c r="R106" t="str">
        <f t="shared" si="7"/>
        <v>NULL</v>
      </c>
      <c r="S106">
        <f t="shared" si="8"/>
        <v>1675</v>
      </c>
      <c r="T106" t="str">
        <f t="shared" si="9"/>
        <v>Portugal</v>
      </c>
    </row>
    <row r="107" spans="1:20" x14ac:dyDescent="0.2">
      <c r="A107" s="1">
        <v>10353</v>
      </c>
      <c r="B107" s="3" t="s">
        <v>266</v>
      </c>
      <c r="C107" s="3">
        <v>7</v>
      </c>
      <c r="D107" s="4">
        <v>35382</v>
      </c>
      <c r="E107" s="4">
        <v>35410</v>
      </c>
      <c r="F107" s="4">
        <v>35394</v>
      </c>
      <c r="G107" s="3">
        <v>3</v>
      </c>
      <c r="H107" s="3">
        <v>360.63</v>
      </c>
      <c r="I107" s="3" t="s">
        <v>267</v>
      </c>
      <c r="J107" s="3" t="s">
        <v>268</v>
      </c>
      <c r="K107" s="3" t="s">
        <v>269</v>
      </c>
      <c r="L107" s="3" t="s">
        <v>18</v>
      </c>
      <c r="M107" s="3">
        <v>5020</v>
      </c>
      <c r="N107" s="3" t="s">
        <v>67</v>
      </c>
      <c r="O107" s="2"/>
      <c r="P107" t="str">
        <f t="shared" si="6"/>
        <v>Geislweg 14</v>
      </c>
      <c r="Q107" t="str">
        <f t="shared" si="10"/>
        <v>Salzburg</v>
      </c>
      <c r="R107" t="str">
        <f t="shared" si="7"/>
        <v>NULL</v>
      </c>
      <c r="S107">
        <f t="shared" si="8"/>
        <v>5020</v>
      </c>
      <c r="T107" t="str">
        <f t="shared" si="9"/>
        <v>Austria</v>
      </c>
    </row>
    <row r="108" spans="1:20" x14ac:dyDescent="0.2">
      <c r="A108" s="1">
        <v>10354</v>
      </c>
      <c r="B108" s="3" t="s">
        <v>219</v>
      </c>
      <c r="C108" s="3">
        <v>8</v>
      </c>
      <c r="D108" s="4">
        <v>35383</v>
      </c>
      <c r="E108" s="4">
        <v>35411</v>
      </c>
      <c r="F108" s="4">
        <v>35389</v>
      </c>
      <c r="G108" s="3">
        <v>3</v>
      </c>
      <c r="H108" s="3">
        <v>53.8</v>
      </c>
      <c r="I108" s="3" t="s">
        <v>220</v>
      </c>
      <c r="J108" s="3" t="s">
        <v>221</v>
      </c>
      <c r="K108" s="3" t="s">
        <v>71</v>
      </c>
      <c r="L108" s="3" t="s">
        <v>18</v>
      </c>
      <c r="M108" s="3">
        <v>5033</v>
      </c>
      <c r="N108" s="3" t="s">
        <v>72</v>
      </c>
      <c r="O108" s="2"/>
      <c r="P108" t="str">
        <f t="shared" si="6"/>
        <v>Calle Dr. Jorge Cash 321</v>
      </c>
      <c r="Q108" t="str">
        <f t="shared" si="10"/>
        <v>México D.F.</v>
      </c>
      <c r="R108" t="str">
        <f t="shared" si="7"/>
        <v>NULL</v>
      </c>
      <c r="S108">
        <f t="shared" si="8"/>
        <v>5033</v>
      </c>
      <c r="T108" t="str">
        <f t="shared" si="9"/>
        <v>Mexico</v>
      </c>
    </row>
    <row r="109" spans="1:20" x14ac:dyDescent="0.2">
      <c r="A109" s="1">
        <v>10355</v>
      </c>
      <c r="B109" s="3" t="s">
        <v>270</v>
      </c>
      <c r="C109" s="3">
        <v>6</v>
      </c>
      <c r="D109" s="4">
        <v>35384</v>
      </c>
      <c r="E109" s="4">
        <v>35412</v>
      </c>
      <c r="F109" s="4">
        <v>35389</v>
      </c>
      <c r="G109" s="3">
        <v>1</v>
      </c>
      <c r="H109" s="3">
        <v>41.95</v>
      </c>
      <c r="I109" s="3" t="s">
        <v>271</v>
      </c>
      <c r="J109" s="3" t="s">
        <v>272</v>
      </c>
      <c r="K109" s="3" t="s">
        <v>273</v>
      </c>
      <c r="L109" s="3" t="s">
        <v>274</v>
      </c>
      <c r="M109" s="3" t="s">
        <v>275</v>
      </c>
      <c r="N109" s="3" t="s">
        <v>169</v>
      </c>
      <c r="O109" s="2"/>
      <c r="P109" t="str">
        <f t="shared" si="6"/>
        <v>Brook Farm Stratford St. Mary</v>
      </c>
      <c r="Q109" t="str">
        <f t="shared" si="10"/>
        <v>Colchester</v>
      </c>
      <c r="R109" t="str">
        <f t="shared" si="7"/>
        <v>Essex</v>
      </c>
      <c r="S109" t="str">
        <f t="shared" si="8"/>
        <v>CO7 6JX</v>
      </c>
      <c r="T109" t="str">
        <f t="shared" si="9"/>
        <v>UK</v>
      </c>
    </row>
    <row r="110" spans="1:20" x14ac:dyDescent="0.2">
      <c r="A110" s="1">
        <v>10356</v>
      </c>
      <c r="B110" s="3" t="s">
        <v>185</v>
      </c>
      <c r="C110" s="3">
        <v>6</v>
      </c>
      <c r="D110" s="4">
        <v>35387</v>
      </c>
      <c r="E110" s="4">
        <v>35415</v>
      </c>
      <c r="F110" s="4">
        <v>35396</v>
      </c>
      <c r="G110" s="3">
        <v>2</v>
      </c>
      <c r="H110" s="3">
        <v>36.71</v>
      </c>
      <c r="I110" s="3" t="s">
        <v>186</v>
      </c>
      <c r="J110" s="3" t="s">
        <v>187</v>
      </c>
      <c r="K110" s="3" t="s">
        <v>188</v>
      </c>
      <c r="L110" s="3" t="s">
        <v>18</v>
      </c>
      <c r="M110" s="3">
        <v>70563</v>
      </c>
      <c r="N110" s="3" t="s">
        <v>24</v>
      </c>
      <c r="O110" s="2"/>
      <c r="P110" t="str">
        <f t="shared" si="6"/>
        <v>Adenauerallee 900</v>
      </c>
      <c r="Q110" t="str">
        <f t="shared" si="10"/>
        <v>Stuttgart</v>
      </c>
      <c r="R110" t="str">
        <f t="shared" si="7"/>
        <v>NULL</v>
      </c>
      <c r="S110">
        <f t="shared" si="8"/>
        <v>70563</v>
      </c>
      <c r="T110" t="str">
        <f t="shared" si="9"/>
        <v>Germany</v>
      </c>
    </row>
    <row r="111" spans="1:20" x14ac:dyDescent="0.2">
      <c r="A111" s="1">
        <v>10357</v>
      </c>
      <c r="B111" s="3" t="s">
        <v>151</v>
      </c>
      <c r="C111" s="3">
        <v>1</v>
      </c>
      <c r="D111" s="4">
        <v>35388</v>
      </c>
      <c r="E111" s="4">
        <v>35416</v>
      </c>
      <c r="F111" s="4">
        <v>35401</v>
      </c>
      <c r="G111" s="3">
        <v>3</v>
      </c>
      <c r="H111" s="3">
        <v>34.880000000000003</v>
      </c>
      <c r="I111" s="3" t="s">
        <v>152</v>
      </c>
      <c r="J111" s="3" t="s">
        <v>153</v>
      </c>
      <c r="K111" s="3" t="s">
        <v>154</v>
      </c>
      <c r="L111" s="3" t="s">
        <v>155</v>
      </c>
      <c r="M111" s="3">
        <v>3508</v>
      </c>
      <c r="N111" s="3" t="s">
        <v>62</v>
      </c>
      <c r="O111" s="2"/>
      <c r="P111" t="str">
        <f t="shared" si="6"/>
        <v>Carrera 52 con Ave. Bolívar #65-98 Llano Largo</v>
      </c>
      <c r="Q111" t="str">
        <f t="shared" si="10"/>
        <v>Barquisimeto</v>
      </c>
      <c r="R111" t="str">
        <f t="shared" si="7"/>
        <v>Lara</v>
      </c>
      <c r="S111">
        <f t="shared" si="8"/>
        <v>3508</v>
      </c>
      <c r="T111" t="str">
        <f t="shared" si="9"/>
        <v>Venezuela</v>
      </c>
    </row>
    <row r="112" spans="1:20" x14ac:dyDescent="0.2">
      <c r="A112" s="1">
        <v>10358</v>
      </c>
      <c r="B112" s="3" t="s">
        <v>262</v>
      </c>
      <c r="C112" s="3">
        <v>5</v>
      </c>
      <c r="D112" s="4">
        <v>35389</v>
      </c>
      <c r="E112" s="4">
        <v>35417</v>
      </c>
      <c r="F112" s="4">
        <v>35396</v>
      </c>
      <c r="G112" s="3">
        <v>1</v>
      </c>
      <c r="H112" s="3">
        <v>19.64</v>
      </c>
      <c r="I112" s="3" t="s">
        <v>263</v>
      </c>
      <c r="J112" s="3" t="s">
        <v>264</v>
      </c>
      <c r="K112" s="3" t="s">
        <v>265</v>
      </c>
      <c r="L112" s="3" t="s">
        <v>18</v>
      </c>
      <c r="M112" s="3">
        <v>31000</v>
      </c>
      <c r="N112" s="3" t="s">
        <v>19</v>
      </c>
      <c r="O112" s="2"/>
      <c r="P112" t="str">
        <f t="shared" si="6"/>
        <v>1 rue Alsace-Lorraine</v>
      </c>
      <c r="Q112" t="str">
        <f t="shared" si="10"/>
        <v>Toulouse</v>
      </c>
      <c r="R112" t="str">
        <f t="shared" si="7"/>
        <v>NULL</v>
      </c>
      <c r="S112">
        <f t="shared" si="8"/>
        <v>31000</v>
      </c>
      <c r="T112" t="str">
        <f t="shared" si="9"/>
        <v>France</v>
      </c>
    </row>
    <row r="113" spans="1:20" x14ac:dyDescent="0.2">
      <c r="A113" s="1">
        <v>10359</v>
      </c>
      <c r="B113" s="3" t="s">
        <v>276</v>
      </c>
      <c r="C113" s="3">
        <v>5</v>
      </c>
      <c r="D113" s="4">
        <v>35390</v>
      </c>
      <c r="E113" s="4">
        <v>35418</v>
      </c>
      <c r="F113" s="4">
        <v>35395</v>
      </c>
      <c r="G113" s="3">
        <v>3</v>
      </c>
      <c r="H113" s="3">
        <v>288.43</v>
      </c>
      <c r="I113" s="3" t="s">
        <v>277</v>
      </c>
      <c r="J113" s="3" t="s">
        <v>278</v>
      </c>
      <c r="K113" s="3" t="s">
        <v>167</v>
      </c>
      <c r="L113" s="3" t="s">
        <v>18</v>
      </c>
      <c r="M113" s="3" t="s">
        <v>279</v>
      </c>
      <c r="N113" s="3" t="s">
        <v>169</v>
      </c>
      <c r="O113" s="2"/>
      <c r="P113" t="str">
        <f t="shared" si="6"/>
        <v>90 Wadhurst Rd.</v>
      </c>
      <c r="Q113" t="str">
        <f t="shared" si="10"/>
        <v>London</v>
      </c>
      <c r="R113" t="str">
        <f t="shared" si="7"/>
        <v>NULL</v>
      </c>
      <c r="S113" t="str">
        <f t="shared" si="8"/>
        <v>OX15 4NB</v>
      </c>
      <c r="T113" t="str">
        <f t="shared" si="9"/>
        <v>UK</v>
      </c>
    </row>
    <row r="114" spans="1:20" x14ac:dyDescent="0.2">
      <c r="A114" s="1">
        <v>10360</v>
      </c>
      <c r="B114" s="3" t="s">
        <v>93</v>
      </c>
      <c r="C114" s="3">
        <v>4</v>
      </c>
      <c r="D114" s="4">
        <v>35391</v>
      </c>
      <c r="E114" s="4">
        <v>35419</v>
      </c>
      <c r="F114" s="4">
        <v>35401</v>
      </c>
      <c r="G114" s="3">
        <v>3</v>
      </c>
      <c r="H114" s="3">
        <v>131.69999999999999</v>
      </c>
      <c r="I114" s="3" t="s">
        <v>94</v>
      </c>
      <c r="J114" s="3">
        <v>24</v>
      </c>
      <c r="K114" s="3" t="s">
        <v>95</v>
      </c>
      <c r="L114" s="3" t="s">
        <v>96</v>
      </c>
      <c r="M114" s="3" t="s">
        <v>18</v>
      </c>
      <c r="N114" s="3">
        <v>67000</v>
      </c>
      <c r="O114" s="3" t="s">
        <v>19</v>
      </c>
      <c r="P114" t="str">
        <f t="shared" si="6"/>
        <v>24  place Kléber</v>
      </c>
      <c r="Q114" t="str">
        <f t="shared" si="10"/>
        <v>Strasbourg</v>
      </c>
      <c r="R114" t="str">
        <f t="shared" si="7"/>
        <v>NULL</v>
      </c>
      <c r="S114">
        <f t="shared" si="8"/>
        <v>67000</v>
      </c>
      <c r="T114" t="str">
        <f t="shared" si="9"/>
        <v>France</v>
      </c>
    </row>
    <row r="115" spans="1:20" x14ac:dyDescent="0.2">
      <c r="A115" s="1">
        <v>10361</v>
      </c>
      <c r="B115" s="3" t="s">
        <v>121</v>
      </c>
      <c r="C115" s="3">
        <v>1</v>
      </c>
      <c r="D115" s="4">
        <v>35391</v>
      </c>
      <c r="E115" s="4">
        <v>35419</v>
      </c>
      <c r="F115" s="4">
        <v>35402</v>
      </c>
      <c r="G115" s="3">
        <v>2</v>
      </c>
      <c r="H115" s="3">
        <v>183.17</v>
      </c>
      <c r="I115" s="3" t="s">
        <v>122</v>
      </c>
      <c r="J115" s="3" t="s">
        <v>123</v>
      </c>
      <c r="K115" s="3" t="s">
        <v>124</v>
      </c>
      <c r="L115" s="3" t="s">
        <v>18</v>
      </c>
      <c r="M115" s="3">
        <v>1307</v>
      </c>
      <c r="N115" s="3" t="s">
        <v>24</v>
      </c>
      <c r="O115" s="2"/>
      <c r="P115" t="str">
        <f t="shared" si="6"/>
        <v>Taucherstraße 10</v>
      </c>
      <c r="Q115" t="str">
        <f t="shared" si="10"/>
        <v>Cunewalde</v>
      </c>
      <c r="R115" t="str">
        <f t="shared" si="7"/>
        <v>NULL</v>
      </c>
      <c r="S115">
        <f t="shared" si="8"/>
        <v>1307</v>
      </c>
      <c r="T115" t="str">
        <f t="shared" si="9"/>
        <v>Germany</v>
      </c>
    </row>
    <row r="116" spans="1:20" x14ac:dyDescent="0.2">
      <c r="A116" s="1">
        <v>10362</v>
      </c>
      <c r="B116" s="3" t="s">
        <v>239</v>
      </c>
      <c r="C116" s="3">
        <v>3</v>
      </c>
      <c r="D116" s="4">
        <v>35394</v>
      </c>
      <c r="E116" s="4">
        <v>35422</v>
      </c>
      <c r="F116" s="4">
        <v>35397</v>
      </c>
      <c r="G116" s="3">
        <v>1</v>
      </c>
      <c r="H116" s="3">
        <v>96.04</v>
      </c>
      <c r="I116" s="3" t="s">
        <v>240</v>
      </c>
      <c r="J116" s="3">
        <v>12</v>
      </c>
      <c r="K116" s="3" t="s">
        <v>241</v>
      </c>
      <c r="L116" s="3" t="s">
        <v>242</v>
      </c>
      <c r="M116" s="3" t="s">
        <v>18</v>
      </c>
      <c r="N116" s="3">
        <v>13008</v>
      </c>
      <c r="O116" s="3" t="s">
        <v>19</v>
      </c>
      <c r="P116" t="str">
        <f t="shared" si="6"/>
        <v>12  rue des Bouchers</v>
      </c>
      <c r="Q116" t="str">
        <f t="shared" si="10"/>
        <v>Marseille</v>
      </c>
      <c r="R116" t="str">
        <f t="shared" si="7"/>
        <v>NULL</v>
      </c>
      <c r="S116">
        <f t="shared" si="8"/>
        <v>13008</v>
      </c>
      <c r="T116" t="str">
        <f t="shared" si="9"/>
        <v>France</v>
      </c>
    </row>
    <row r="117" spans="1:20" x14ac:dyDescent="0.2">
      <c r="A117" s="1">
        <v>10363</v>
      </c>
      <c r="B117" s="3" t="s">
        <v>280</v>
      </c>
      <c r="C117" s="3">
        <v>4</v>
      </c>
      <c r="D117" s="4">
        <v>35395</v>
      </c>
      <c r="E117" s="4">
        <v>35423</v>
      </c>
      <c r="F117" s="4">
        <v>35403</v>
      </c>
      <c r="G117" s="3">
        <v>3</v>
      </c>
      <c r="H117" s="3">
        <v>30.54</v>
      </c>
      <c r="I117" s="3" t="s">
        <v>281</v>
      </c>
      <c r="J117" s="3" t="s">
        <v>282</v>
      </c>
      <c r="K117" s="3" t="s">
        <v>283</v>
      </c>
      <c r="L117" s="3" t="s">
        <v>18</v>
      </c>
      <c r="M117" s="3">
        <v>52066</v>
      </c>
      <c r="N117" s="3" t="s">
        <v>24</v>
      </c>
      <c r="O117" s="2"/>
      <c r="P117" t="str">
        <f t="shared" si="6"/>
        <v>Walserweg 21</v>
      </c>
      <c r="Q117" t="str">
        <f t="shared" si="10"/>
        <v>Aachen</v>
      </c>
      <c r="R117" t="str">
        <f t="shared" si="7"/>
        <v>NULL</v>
      </c>
      <c r="S117">
        <f t="shared" si="8"/>
        <v>52066</v>
      </c>
      <c r="T117" t="str">
        <f t="shared" si="9"/>
        <v>Germany</v>
      </c>
    </row>
    <row r="118" spans="1:20" x14ac:dyDescent="0.2">
      <c r="A118" s="1">
        <v>10364</v>
      </c>
      <c r="B118" s="3" t="s">
        <v>284</v>
      </c>
      <c r="C118" s="3">
        <v>1</v>
      </c>
      <c r="D118" s="4">
        <v>35395</v>
      </c>
      <c r="E118" s="4">
        <v>35437</v>
      </c>
      <c r="F118" s="4">
        <v>35403</v>
      </c>
      <c r="G118" s="3">
        <v>1</v>
      </c>
      <c r="H118" s="3">
        <v>71.97</v>
      </c>
      <c r="I118" s="3" t="s">
        <v>285</v>
      </c>
      <c r="J118" s="3" t="s">
        <v>286</v>
      </c>
      <c r="K118" s="3" t="s">
        <v>167</v>
      </c>
      <c r="L118" s="3" t="s">
        <v>18</v>
      </c>
      <c r="M118" s="3" t="s">
        <v>287</v>
      </c>
      <c r="N118" s="3" t="s">
        <v>169</v>
      </c>
      <c r="O118" s="2"/>
      <c r="P118" t="str">
        <f t="shared" si="6"/>
        <v>35 King George</v>
      </c>
      <c r="Q118" t="str">
        <f t="shared" si="10"/>
        <v>London</v>
      </c>
      <c r="R118" t="str">
        <f t="shared" si="7"/>
        <v>NULL</v>
      </c>
      <c r="S118" t="str">
        <f t="shared" si="8"/>
        <v>WX3 6FW</v>
      </c>
      <c r="T118" t="str">
        <f t="shared" si="9"/>
        <v>UK</v>
      </c>
    </row>
    <row r="119" spans="1:20" x14ac:dyDescent="0.2">
      <c r="A119" s="1">
        <v>10365</v>
      </c>
      <c r="B119" s="3" t="s">
        <v>288</v>
      </c>
      <c r="C119" s="3">
        <v>3</v>
      </c>
      <c r="D119" s="4">
        <v>35396</v>
      </c>
      <c r="E119" s="4">
        <v>35424</v>
      </c>
      <c r="F119" s="4">
        <v>35401</v>
      </c>
      <c r="G119" s="3">
        <v>2</v>
      </c>
      <c r="H119" s="3">
        <v>22</v>
      </c>
      <c r="I119" s="3" t="s">
        <v>289</v>
      </c>
      <c r="J119" s="3" t="s">
        <v>290</v>
      </c>
      <c r="K119" s="3" t="s">
        <v>71</v>
      </c>
      <c r="L119" s="3" t="s">
        <v>18</v>
      </c>
      <c r="M119" s="3">
        <v>5023</v>
      </c>
      <c r="N119" s="3" t="s">
        <v>72</v>
      </c>
      <c r="O119" s="2"/>
      <c r="P119" t="str">
        <f t="shared" si="6"/>
        <v>Mataderos  2312</v>
      </c>
      <c r="Q119" t="str">
        <f t="shared" si="10"/>
        <v>México D.F.</v>
      </c>
      <c r="R119" t="str">
        <f t="shared" si="7"/>
        <v>NULL</v>
      </c>
      <c r="S119">
        <f t="shared" si="8"/>
        <v>5023</v>
      </c>
      <c r="T119" t="str">
        <f t="shared" si="9"/>
        <v>Mexico</v>
      </c>
    </row>
    <row r="120" spans="1:20" x14ac:dyDescent="0.2">
      <c r="A120" s="1">
        <v>10366</v>
      </c>
      <c r="B120" s="3" t="s">
        <v>291</v>
      </c>
      <c r="C120" s="3">
        <v>8</v>
      </c>
      <c r="D120" s="4">
        <v>35397</v>
      </c>
      <c r="E120" s="4">
        <v>35439</v>
      </c>
      <c r="F120" s="4">
        <v>35429</v>
      </c>
      <c r="G120" s="3">
        <v>2</v>
      </c>
      <c r="H120" s="3">
        <v>10.14</v>
      </c>
      <c r="I120" s="3" t="s">
        <v>292</v>
      </c>
      <c r="J120" s="3" t="s">
        <v>293</v>
      </c>
      <c r="K120" s="3">
        <v>23</v>
      </c>
      <c r="L120" s="3" t="s">
        <v>294</v>
      </c>
      <c r="M120" s="3" t="s">
        <v>18</v>
      </c>
      <c r="N120" s="3">
        <v>8022</v>
      </c>
      <c r="O120" s="3" t="s">
        <v>150</v>
      </c>
      <c r="P120" t="str">
        <f t="shared" si="6"/>
        <v>Rambla de Cataluña 23</v>
      </c>
      <c r="Q120" t="str">
        <f t="shared" si="10"/>
        <v>Barcelona</v>
      </c>
      <c r="R120" t="str">
        <f t="shared" si="7"/>
        <v>NULL</v>
      </c>
      <c r="S120">
        <f t="shared" si="8"/>
        <v>8022</v>
      </c>
      <c r="T120" t="str">
        <f t="shared" si="9"/>
        <v>Spain</v>
      </c>
    </row>
    <row r="121" spans="1:20" x14ac:dyDescent="0.2">
      <c r="A121" s="1">
        <v>10367</v>
      </c>
      <c r="B121" s="3" t="s">
        <v>295</v>
      </c>
      <c r="C121" s="3">
        <v>7</v>
      </c>
      <c r="D121" s="4">
        <v>35397</v>
      </c>
      <c r="E121" s="4">
        <v>35425</v>
      </c>
      <c r="F121" s="4">
        <v>35401</v>
      </c>
      <c r="G121" s="3">
        <v>3</v>
      </c>
      <c r="H121" s="3">
        <v>13.55</v>
      </c>
      <c r="I121" s="3" t="s">
        <v>296</v>
      </c>
      <c r="J121" s="3" t="s">
        <v>297</v>
      </c>
      <c r="K121" s="3" t="s">
        <v>298</v>
      </c>
      <c r="L121" s="3" t="s">
        <v>18</v>
      </c>
      <c r="M121" s="3">
        <v>8200</v>
      </c>
      <c r="N121" s="3" t="s">
        <v>257</v>
      </c>
      <c r="O121" s="2"/>
      <c r="P121" t="str">
        <f t="shared" si="6"/>
        <v>Smagsloget 45</v>
      </c>
      <c r="Q121" t="str">
        <f t="shared" si="10"/>
        <v>Århus</v>
      </c>
      <c r="R121" t="str">
        <f t="shared" si="7"/>
        <v>NULL</v>
      </c>
      <c r="S121">
        <f t="shared" si="8"/>
        <v>8200</v>
      </c>
      <c r="T121" t="str">
        <f t="shared" si="9"/>
        <v>Denmark</v>
      </c>
    </row>
    <row r="122" spans="1:20" x14ac:dyDescent="0.2">
      <c r="A122" s="1">
        <v>10368</v>
      </c>
      <c r="B122" s="3" t="s">
        <v>63</v>
      </c>
      <c r="C122" s="3">
        <v>2</v>
      </c>
      <c r="D122" s="4">
        <v>35398</v>
      </c>
      <c r="E122" s="4">
        <v>35426</v>
      </c>
      <c r="F122" s="4">
        <v>35401</v>
      </c>
      <c r="G122" s="3">
        <v>2</v>
      </c>
      <c r="H122" s="3">
        <v>101.95</v>
      </c>
      <c r="I122" s="3" t="s">
        <v>64</v>
      </c>
      <c r="J122" s="3" t="s">
        <v>65</v>
      </c>
      <c r="K122" s="3" t="s">
        <v>66</v>
      </c>
      <c r="L122" s="3" t="s">
        <v>18</v>
      </c>
      <c r="M122" s="3">
        <v>8010</v>
      </c>
      <c r="N122" s="3" t="s">
        <v>67</v>
      </c>
      <c r="O122" s="2"/>
      <c r="P122" t="str">
        <f t="shared" si="6"/>
        <v>Kirchgasse 6</v>
      </c>
      <c r="Q122" t="str">
        <f t="shared" si="10"/>
        <v>Graz</v>
      </c>
      <c r="R122" t="str">
        <f t="shared" si="7"/>
        <v>NULL</v>
      </c>
      <c r="S122">
        <f t="shared" si="8"/>
        <v>8010</v>
      </c>
      <c r="T122" t="str">
        <f t="shared" si="9"/>
        <v>Austria</v>
      </c>
    </row>
    <row r="123" spans="1:20" x14ac:dyDescent="0.2">
      <c r="A123" s="1">
        <v>10369</v>
      </c>
      <c r="B123" s="3" t="s">
        <v>116</v>
      </c>
      <c r="C123" s="3">
        <v>8</v>
      </c>
      <c r="D123" s="4">
        <v>35401</v>
      </c>
      <c r="E123" s="4">
        <v>35429</v>
      </c>
      <c r="F123" s="4">
        <v>35408</v>
      </c>
      <c r="G123" s="3">
        <v>2</v>
      </c>
      <c r="H123" s="3">
        <v>195.68</v>
      </c>
      <c r="I123" s="3" t="s">
        <v>117</v>
      </c>
      <c r="J123" s="3" t="s">
        <v>118</v>
      </c>
      <c r="K123" s="3" t="s">
        <v>119</v>
      </c>
      <c r="L123" s="3" t="s">
        <v>120</v>
      </c>
      <c r="M123" s="3">
        <v>82520</v>
      </c>
      <c r="N123" s="3" t="s">
        <v>86</v>
      </c>
      <c r="O123" s="2"/>
      <c r="P123" t="str">
        <f t="shared" si="6"/>
        <v>P.O. Box 555</v>
      </c>
      <c r="Q123" t="str">
        <f t="shared" si="10"/>
        <v>Lander</v>
      </c>
      <c r="R123" t="str">
        <f t="shared" si="7"/>
        <v>WY</v>
      </c>
      <c r="S123">
        <f t="shared" si="8"/>
        <v>82520</v>
      </c>
      <c r="T123" t="str">
        <f t="shared" si="9"/>
        <v>USA</v>
      </c>
    </row>
    <row r="124" spans="1:20" x14ac:dyDescent="0.2">
      <c r="A124" s="1">
        <v>10370</v>
      </c>
      <c r="B124" s="3" t="s">
        <v>42</v>
      </c>
      <c r="C124" s="3">
        <v>6</v>
      </c>
      <c r="D124" s="4">
        <v>35402</v>
      </c>
      <c r="E124" s="4">
        <v>35430</v>
      </c>
      <c r="F124" s="4">
        <v>35426</v>
      </c>
      <c r="G124" s="3">
        <v>2</v>
      </c>
      <c r="H124" s="3">
        <v>1.17</v>
      </c>
      <c r="I124" s="3" t="s">
        <v>43</v>
      </c>
      <c r="J124" s="3" t="s">
        <v>44</v>
      </c>
      <c r="K124" s="3" t="s">
        <v>45</v>
      </c>
      <c r="L124" s="3" t="s">
        <v>18</v>
      </c>
      <c r="M124" s="3">
        <v>3012</v>
      </c>
      <c r="N124" s="3" t="s">
        <v>46</v>
      </c>
      <c r="O124" s="2"/>
      <c r="P124" t="str">
        <f t="shared" si="6"/>
        <v>Hauptstr. 31</v>
      </c>
      <c r="Q124" t="str">
        <f t="shared" si="10"/>
        <v>Bern</v>
      </c>
      <c r="R124" t="str">
        <f t="shared" si="7"/>
        <v>NULL</v>
      </c>
      <c r="S124">
        <f t="shared" si="8"/>
        <v>3012</v>
      </c>
      <c r="T124" t="str">
        <f t="shared" si="9"/>
        <v>Switzerland</v>
      </c>
    </row>
    <row r="125" spans="1:20" x14ac:dyDescent="0.2">
      <c r="A125" s="1">
        <v>10371</v>
      </c>
      <c r="B125" s="3" t="s">
        <v>262</v>
      </c>
      <c r="C125" s="3">
        <v>1</v>
      </c>
      <c r="D125" s="4">
        <v>35402</v>
      </c>
      <c r="E125" s="4">
        <v>35430</v>
      </c>
      <c r="F125" s="4">
        <v>35423</v>
      </c>
      <c r="G125" s="3">
        <v>1</v>
      </c>
      <c r="H125" s="3">
        <v>0.45</v>
      </c>
      <c r="I125" s="3" t="s">
        <v>263</v>
      </c>
      <c r="J125" s="3" t="s">
        <v>264</v>
      </c>
      <c r="K125" s="3" t="s">
        <v>265</v>
      </c>
      <c r="L125" s="3" t="s">
        <v>18</v>
      </c>
      <c r="M125" s="3">
        <v>31000</v>
      </c>
      <c r="N125" s="3" t="s">
        <v>19</v>
      </c>
      <c r="O125" s="2"/>
      <c r="P125" t="str">
        <f t="shared" si="6"/>
        <v>1 rue Alsace-Lorraine</v>
      </c>
      <c r="Q125" t="str">
        <f t="shared" si="10"/>
        <v>Toulouse</v>
      </c>
      <c r="R125" t="str">
        <f t="shared" si="7"/>
        <v>NULL</v>
      </c>
      <c r="S125">
        <f t="shared" si="8"/>
        <v>31000</v>
      </c>
      <c r="T125" t="str">
        <f t="shared" si="9"/>
        <v>France</v>
      </c>
    </row>
    <row r="126" spans="1:20" x14ac:dyDescent="0.2">
      <c r="A126" s="1">
        <v>10372</v>
      </c>
      <c r="B126" s="3" t="s">
        <v>299</v>
      </c>
      <c r="C126" s="3">
        <v>5</v>
      </c>
      <c r="D126" s="4">
        <v>35403</v>
      </c>
      <c r="E126" s="4">
        <v>35431</v>
      </c>
      <c r="F126" s="4">
        <v>35408</v>
      </c>
      <c r="G126" s="3">
        <v>2</v>
      </c>
      <c r="H126" s="3">
        <v>890.78</v>
      </c>
      <c r="I126" s="3" t="s">
        <v>300</v>
      </c>
      <c r="J126" s="3" t="s">
        <v>301</v>
      </c>
      <c r="K126" s="3">
        <v>891</v>
      </c>
      <c r="L126" s="3" t="s">
        <v>173</v>
      </c>
      <c r="M126" s="3" t="s">
        <v>55</v>
      </c>
      <c r="N126" s="3" t="s">
        <v>302</v>
      </c>
      <c r="O126" s="3" t="s">
        <v>31</v>
      </c>
      <c r="P126" t="str">
        <f t="shared" si="6"/>
        <v>Alameda dos Canàrios 891</v>
      </c>
      <c r="Q126" t="str">
        <f t="shared" si="10"/>
        <v>Sao Paulo</v>
      </c>
      <c r="R126" t="str">
        <f t="shared" si="7"/>
        <v>SP</v>
      </c>
      <c r="S126" t="str">
        <f t="shared" si="8"/>
        <v>05487-020</v>
      </c>
      <c r="T126" t="str">
        <f t="shared" si="9"/>
        <v>Brazil</v>
      </c>
    </row>
    <row r="127" spans="1:20" x14ac:dyDescent="0.2">
      <c r="A127" s="1">
        <v>10373</v>
      </c>
      <c r="B127" s="3" t="s">
        <v>179</v>
      </c>
      <c r="C127" s="3">
        <v>4</v>
      </c>
      <c r="D127" s="4">
        <v>35404</v>
      </c>
      <c r="E127" s="4">
        <v>35432</v>
      </c>
      <c r="F127" s="4">
        <v>35410</v>
      </c>
      <c r="G127" s="3">
        <v>3</v>
      </c>
      <c r="H127" s="3">
        <v>124.12</v>
      </c>
      <c r="I127" s="3" t="s">
        <v>180</v>
      </c>
      <c r="J127" s="3" t="s">
        <v>181</v>
      </c>
      <c r="K127" s="3" t="s">
        <v>182</v>
      </c>
      <c r="L127" s="3" t="s">
        <v>183</v>
      </c>
      <c r="M127" s="3" t="s">
        <v>18</v>
      </c>
      <c r="N127" s="3" t="s">
        <v>184</v>
      </c>
      <c r="O127" s="2"/>
      <c r="P127" t="str">
        <f t="shared" si="6"/>
        <v>8 Johnstown Road</v>
      </c>
      <c r="Q127" t="str">
        <f t="shared" si="10"/>
        <v>Cork</v>
      </c>
      <c r="R127" t="str">
        <f t="shared" si="7"/>
        <v>Co. Cork</v>
      </c>
      <c r="S127" t="str">
        <f t="shared" si="8"/>
        <v>NULL</v>
      </c>
      <c r="T127" t="str">
        <f t="shared" si="9"/>
        <v>Ireland</v>
      </c>
    </row>
    <row r="128" spans="1:20" x14ac:dyDescent="0.2">
      <c r="A128" s="1">
        <v>10374</v>
      </c>
      <c r="B128" s="3" t="s">
        <v>303</v>
      </c>
      <c r="C128" s="3">
        <v>1</v>
      </c>
      <c r="D128" s="4">
        <v>35404</v>
      </c>
      <c r="E128" s="4">
        <v>35432</v>
      </c>
      <c r="F128" s="4">
        <v>35408</v>
      </c>
      <c r="G128" s="3">
        <v>3</v>
      </c>
      <c r="H128" s="3">
        <v>3.94</v>
      </c>
      <c r="I128" s="3" t="s">
        <v>304</v>
      </c>
      <c r="J128" s="3" t="s">
        <v>305</v>
      </c>
      <c r="K128" s="3" t="s">
        <v>306</v>
      </c>
      <c r="L128" s="3" t="s">
        <v>18</v>
      </c>
      <c r="M128" s="3" t="s">
        <v>307</v>
      </c>
      <c r="N128" s="3" t="s">
        <v>308</v>
      </c>
      <c r="O128" s="2"/>
      <c r="P128" t="str">
        <f t="shared" si="6"/>
        <v>ul. Filtrowa 68</v>
      </c>
      <c r="Q128" t="str">
        <f t="shared" si="10"/>
        <v>Warszawa</v>
      </c>
      <c r="R128" t="str">
        <f t="shared" si="7"/>
        <v>NULL</v>
      </c>
      <c r="S128" t="str">
        <f t="shared" si="8"/>
        <v>01-012</v>
      </c>
      <c r="T128" t="str">
        <f t="shared" si="9"/>
        <v>Poland</v>
      </c>
    </row>
    <row r="129" spans="1:20" x14ac:dyDescent="0.2">
      <c r="A129" s="1">
        <v>10375</v>
      </c>
      <c r="B129" s="3" t="s">
        <v>309</v>
      </c>
      <c r="C129" s="3">
        <v>3</v>
      </c>
      <c r="D129" s="4">
        <v>35405</v>
      </c>
      <c r="E129" s="4">
        <v>35433</v>
      </c>
      <c r="F129" s="4">
        <v>35408</v>
      </c>
      <c r="G129" s="3">
        <v>2</v>
      </c>
      <c r="H129" s="3">
        <v>20.12</v>
      </c>
      <c r="I129" s="3" t="s">
        <v>310</v>
      </c>
      <c r="J129" s="3" t="s">
        <v>311</v>
      </c>
      <c r="K129" s="3" t="s">
        <v>312</v>
      </c>
      <c r="L129" s="3" t="s">
        <v>202</v>
      </c>
      <c r="M129" s="3">
        <v>97827</v>
      </c>
      <c r="N129" s="3" t="s">
        <v>86</v>
      </c>
      <c r="O129" s="2"/>
      <c r="P129" t="str">
        <f t="shared" si="6"/>
        <v>City Center Plaza 516 Main St.</v>
      </c>
      <c r="Q129" t="str">
        <f t="shared" si="10"/>
        <v>Elgin</v>
      </c>
      <c r="R129" t="str">
        <f t="shared" si="7"/>
        <v>OR</v>
      </c>
      <c r="S129">
        <f t="shared" si="8"/>
        <v>97827</v>
      </c>
      <c r="T129" t="str">
        <f t="shared" si="9"/>
        <v>USA</v>
      </c>
    </row>
    <row r="130" spans="1:20" x14ac:dyDescent="0.2">
      <c r="A130" s="1">
        <v>10376</v>
      </c>
      <c r="B130" s="3" t="s">
        <v>243</v>
      </c>
      <c r="C130" s="3">
        <v>1</v>
      </c>
      <c r="D130" s="4">
        <v>35408</v>
      </c>
      <c r="E130" s="4">
        <v>35436</v>
      </c>
      <c r="F130" s="4">
        <v>35412</v>
      </c>
      <c r="G130" s="3">
        <v>2</v>
      </c>
      <c r="H130" s="3">
        <v>20.39</v>
      </c>
      <c r="I130" s="3" t="s">
        <v>244</v>
      </c>
      <c r="J130" s="3" t="s">
        <v>245</v>
      </c>
      <c r="K130" s="3" t="s">
        <v>246</v>
      </c>
      <c r="L130" s="3" t="s">
        <v>247</v>
      </c>
      <c r="M130" s="3" t="s">
        <v>248</v>
      </c>
      <c r="N130" s="3" t="s">
        <v>249</v>
      </c>
      <c r="O130" s="2"/>
      <c r="P130" t="str">
        <f t="shared" ref="P130:P193" si="11">IF(O130&lt;&gt;"",J130&amp;" "&amp;K130,J130)</f>
        <v>43 rue St. Laurent</v>
      </c>
      <c r="Q130" t="str">
        <f t="shared" si="10"/>
        <v>Montréal</v>
      </c>
      <c r="R130" t="str">
        <f t="shared" si="7"/>
        <v>Québec</v>
      </c>
      <c r="S130" t="str">
        <f t="shared" si="8"/>
        <v>H1J 1C3</v>
      </c>
      <c r="T130" t="str">
        <f t="shared" si="9"/>
        <v>Canada</v>
      </c>
    </row>
    <row r="131" spans="1:20" x14ac:dyDescent="0.2">
      <c r="A131" s="1">
        <v>10377</v>
      </c>
      <c r="B131" s="3" t="s">
        <v>276</v>
      </c>
      <c r="C131" s="3">
        <v>1</v>
      </c>
      <c r="D131" s="4">
        <v>35408</v>
      </c>
      <c r="E131" s="4">
        <v>35436</v>
      </c>
      <c r="F131" s="4">
        <v>35412</v>
      </c>
      <c r="G131" s="3">
        <v>3</v>
      </c>
      <c r="H131" s="3">
        <v>22.21</v>
      </c>
      <c r="I131" s="3" t="s">
        <v>277</v>
      </c>
      <c r="J131" s="3" t="s">
        <v>278</v>
      </c>
      <c r="K131" s="3" t="s">
        <v>167</v>
      </c>
      <c r="L131" s="3" t="s">
        <v>18</v>
      </c>
      <c r="M131" s="3" t="s">
        <v>279</v>
      </c>
      <c r="N131" s="3" t="s">
        <v>169</v>
      </c>
      <c r="O131" s="2"/>
      <c r="P131" t="str">
        <f t="shared" si="11"/>
        <v>90 Wadhurst Rd.</v>
      </c>
      <c r="Q131" t="str">
        <f t="shared" si="10"/>
        <v>London</v>
      </c>
      <c r="R131" t="str">
        <f t="shared" ref="R131:R194" si="12">IF(O131&lt;&gt;"",M131,L131)</f>
        <v>NULL</v>
      </c>
      <c r="S131" t="str">
        <f t="shared" ref="S131:S194" si="13">IF(O131&lt;&gt;"",N131,M131)</f>
        <v>OX15 4NB</v>
      </c>
      <c r="T131" t="str">
        <f t="shared" ref="T131:T194" si="14">IF(O131&lt;&gt;"",O131,N131)</f>
        <v>UK</v>
      </c>
    </row>
    <row r="132" spans="1:20" x14ac:dyDescent="0.2">
      <c r="A132" s="1">
        <v>10378</v>
      </c>
      <c r="B132" s="3" t="s">
        <v>87</v>
      </c>
      <c r="C132" s="3">
        <v>5</v>
      </c>
      <c r="D132" s="4">
        <v>35409</v>
      </c>
      <c r="E132" s="4">
        <v>35437</v>
      </c>
      <c r="F132" s="4">
        <v>35418</v>
      </c>
      <c r="G132" s="3">
        <v>3</v>
      </c>
      <c r="H132" s="3">
        <v>5.44</v>
      </c>
      <c r="I132" s="3" t="s">
        <v>88</v>
      </c>
      <c r="J132" s="3" t="s">
        <v>89</v>
      </c>
      <c r="K132" s="3" t="s">
        <v>90</v>
      </c>
      <c r="L132" s="3" t="s">
        <v>18</v>
      </c>
      <c r="M132" s="3" t="s">
        <v>91</v>
      </c>
      <c r="N132" s="3" t="s">
        <v>92</v>
      </c>
      <c r="O132" s="2"/>
      <c r="P132" t="str">
        <f t="shared" si="11"/>
        <v>Åkergatan 24</v>
      </c>
      <c r="Q132" t="str">
        <f t="shared" si="10"/>
        <v>Bräcke</v>
      </c>
      <c r="R132" t="str">
        <f t="shared" si="12"/>
        <v>NULL</v>
      </c>
      <c r="S132" t="str">
        <f t="shared" si="13"/>
        <v>S-844 67</v>
      </c>
      <c r="T132" t="str">
        <f t="shared" si="14"/>
        <v>Sweden</v>
      </c>
    </row>
    <row r="133" spans="1:20" x14ac:dyDescent="0.2">
      <c r="A133" s="1">
        <v>10379</v>
      </c>
      <c r="B133" s="3" t="s">
        <v>77</v>
      </c>
      <c r="C133" s="3">
        <v>2</v>
      </c>
      <c r="D133" s="4">
        <v>35410</v>
      </c>
      <c r="E133" s="4">
        <v>35438</v>
      </c>
      <c r="F133" s="4">
        <v>35412</v>
      </c>
      <c r="G133" s="3">
        <v>1</v>
      </c>
      <c r="H133" s="3">
        <v>45.03</v>
      </c>
      <c r="I133" s="3" t="s">
        <v>78</v>
      </c>
      <c r="J133" s="3" t="s">
        <v>79</v>
      </c>
      <c r="K133" s="3">
        <v>12</v>
      </c>
      <c r="L133" s="3" t="s">
        <v>28</v>
      </c>
      <c r="M133" s="3" t="s">
        <v>29</v>
      </c>
      <c r="N133" s="3" t="s">
        <v>80</v>
      </c>
      <c r="O133" s="3" t="s">
        <v>31</v>
      </c>
      <c r="P133" t="str">
        <f t="shared" si="11"/>
        <v>Rua da Panificadora 12</v>
      </c>
      <c r="Q133" t="str">
        <f t="shared" si="10"/>
        <v>Rio de Janeiro</v>
      </c>
      <c r="R133" t="str">
        <f t="shared" si="12"/>
        <v>RJ</v>
      </c>
      <c r="S133" t="str">
        <f t="shared" si="13"/>
        <v>02389-673</v>
      </c>
      <c r="T133" t="str">
        <f t="shared" si="14"/>
        <v>Brazil</v>
      </c>
    </row>
    <row r="134" spans="1:20" x14ac:dyDescent="0.2">
      <c r="A134" s="1">
        <v>10380</v>
      </c>
      <c r="B134" s="3" t="s">
        <v>179</v>
      </c>
      <c r="C134" s="3">
        <v>8</v>
      </c>
      <c r="D134" s="4">
        <v>35411</v>
      </c>
      <c r="E134" s="4">
        <v>35439</v>
      </c>
      <c r="F134" s="4">
        <v>35446</v>
      </c>
      <c r="G134" s="3">
        <v>3</v>
      </c>
      <c r="H134" s="3">
        <v>35.03</v>
      </c>
      <c r="I134" s="3" t="s">
        <v>180</v>
      </c>
      <c r="J134" s="3" t="s">
        <v>181</v>
      </c>
      <c r="K134" s="3" t="s">
        <v>182</v>
      </c>
      <c r="L134" s="3" t="s">
        <v>183</v>
      </c>
      <c r="M134" s="3" t="s">
        <v>18</v>
      </c>
      <c r="N134" s="3" t="s">
        <v>184</v>
      </c>
      <c r="O134" s="2"/>
      <c r="P134" t="str">
        <f t="shared" si="11"/>
        <v>8 Johnstown Road</v>
      </c>
      <c r="Q134" t="str">
        <f t="shared" si="10"/>
        <v>Cork</v>
      </c>
      <c r="R134" t="str">
        <f t="shared" si="12"/>
        <v>Co. Cork</v>
      </c>
      <c r="S134" t="str">
        <f t="shared" si="13"/>
        <v>NULL</v>
      </c>
      <c r="T134" t="str">
        <f t="shared" si="14"/>
        <v>Ireland</v>
      </c>
    </row>
    <row r="135" spans="1:20" x14ac:dyDescent="0.2">
      <c r="A135" s="1">
        <v>10381</v>
      </c>
      <c r="B135" s="3" t="s">
        <v>151</v>
      </c>
      <c r="C135" s="3">
        <v>3</v>
      </c>
      <c r="D135" s="4">
        <v>35411</v>
      </c>
      <c r="E135" s="4">
        <v>35439</v>
      </c>
      <c r="F135" s="4">
        <v>35412</v>
      </c>
      <c r="G135" s="3">
        <v>3</v>
      </c>
      <c r="H135" s="3">
        <v>7.99</v>
      </c>
      <c r="I135" s="3" t="s">
        <v>152</v>
      </c>
      <c r="J135" s="3" t="s">
        <v>153</v>
      </c>
      <c r="K135" s="3" t="s">
        <v>154</v>
      </c>
      <c r="L135" s="3" t="s">
        <v>155</v>
      </c>
      <c r="M135" s="3">
        <v>3508</v>
      </c>
      <c r="N135" s="3" t="s">
        <v>62</v>
      </c>
      <c r="O135" s="2"/>
      <c r="P135" t="str">
        <f t="shared" si="11"/>
        <v>Carrera 52 con Ave. Bolívar #65-98 Llano Largo</v>
      </c>
      <c r="Q135" t="str">
        <f t="shared" ref="Q135:Q198" si="15">IF(O135&lt;&gt;"",L135,K135)</f>
        <v>Barquisimeto</v>
      </c>
      <c r="R135" t="str">
        <f t="shared" si="12"/>
        <v>Lara</v>
      </c>
      <c r="S135">
        <f t="shared" si="13"/>
        <v>3508</v>
      </c>
      <c r="T135" t="str">
        <f t="shared" si="14"/>
        <v>Venezuela</v>
      </c>
    </row>
    <row r="136" spans="1:20" x14ac:dyDescent="0.2">
      <c r="A136" s="1">
        <v>10382</v>
      </c>
      <c r="B136" s="3" t="s">
        <v>63</v>
      </c>
      <c r="C136" s="3">
        <v>4</v>
      </c>
      <c r="D136" s="4">
        <v>35412</v>
      </c>
      <c r="E136" s="4">
        <v>35440</v>
      </c>
      <c r="F136" s="4">
        <v>35415</v>
      </c>
      <c r="G136" s="3">
        <v>1</v>
      </c>
      <c r="H136" s="3">
        <v>94.77</v>
      </c>
      <c r="I136" s="3" t="s">
        <v>64</v>
      </c>
      <c r="J136" s="3" t="s">
        <v>65</v>
      </c>
      <c r="K136" s="3" t="s">
        <v>66</v>
      </c>
      <c r="L136" s="3" t="s">
        <v>18</v>
      </c>
      <c r="M136" s="3">
        <v>8010</v>
      </c>
      <c r="N136" s="3" t="s">
        <v>67</v>
      </c>
      <c r="O136" s="2"/>
      <c r="P136" t="str">
        <f t="shared" si="11"/>
        <v>Kirchgasse 6</v>
      </c>
      <c r="Q136" t="str">
        <f t="shared" si="15"/>
        <v>Graz</v>
      </c>
      <c r="R136" t="str">
        <f t="shared" si="12"/>
        <v>NULL</v>
      </c>
      <c r="S136">
        <f t="shared" si="13"/>
        <v>8010</v>
      </c>
      <c r="T136" t="str">
        <f t="shared" si="14"/>
        <v>Austria</v>
      </c>
    </row>
    <row r="137" spans="1:20" x14ac:dyDescent="0.2">
      <c r="A137" s="1">
        <v>10383</v>
      </c>
      <c r="B137" s="3" t="s">
        <v>270</v>
      </c>
      <c r="C137" s="3">
        <v>8</v>
      </c>
      <c r="D137" s="4">
        <v>35415</v>
      </c>
      <c r="E137" s="4">
        <v>35443</v>
      </c>
      <c r="F137" s="4">
        <v>35417</v>
      </c>
      <c r="G137" s="3">
        <v>3</v>
      </c>
      <c r="H137" s="3">
        <v>34.24</v>
      </c>
      <c r="I137" s="3" t="s">
        <v>271</v>
      </c>
      <c r="J137" s="3" t="s">
        <v>272</v>
      </c>
      <c r="K137" s="3" t="s">
        <v>273</v>
      </c>
      <c r="L137" s="3" t="s">
        <v>274</v>
      </c>
      <c r="M137" s="3" t="s">
        <v>275</v>
      </c>
      <c r="N137" s="3" t="s">
        <v>169</v>
      </c>
      <c r="O137" s="2"/>
      <c r="P137" t="str">
        <f t="shared" si="11"/>
        <v>Brook Farm Stratford St. Mary</v>
      </c>
      <c r="Q137" t="str">
        <f t="shared" si="15"/>
        <v>Colchester</v>
      </c>
      <c r="R137" t="str">
        <f t="shared" si="12"/>
        <v>Essex</v>
      </c>
      <c r="S137" t="str">
        <f t="shared" si="13"/>
        <v>CO7 6JX</v>
      </c>
      <c r="T137" t="str">
        <f t="shared" si="14"/>
        <v>UK</v>
      </c>
    </row>
    <row r="138" spans="1:20" x14ac:dyDescent="0.2">
      <c r="A138" s="1">
        <v>10384</v>
      </c>
      <c r="B138" s="3" t="s">
        <v>137</v>
      </c>
      <c r="C138" s="3">
        <v>3</v>
      </c>
      <c r="D138" s="4">
        <v>35415</v>
      </c>
      <c r="E138" s="4">
        <v>35443</v>
      </c>
      <c r="F138" s="4">
        <v>35419</v>
      </c>
      <c r="G138" s="3">
        <v>3</v>
      </c>
      <c r="H138" s="3">
        <v>168.64</v>
      </c>
      <c r="I138" s="3" t="s">
        <v>138</v>
      </c>
      <c r="J138" s="3" t="s">
        <v>139</v>
      </c>
      <c r="K138" s="3" t="s">
        <v>140</v>
      </c>
      <c r="L138" s="3" t="s">
        <v>18</v>
      </c>
      <c r="M138" s="3" t="s">
        <v>141</v>
      </c>
      <c r="N138" s="3" t="s">
        <v>92</v>
      </c>
      <c r="O138" s="2"/>
      <c r="P138" t="str">
        <f t="shared" si="11"/>
        <v>Berguvsvägen  8</v>
      </c>
      <c r="Q138" t="str">
        <f t="shared" si="15"/>
        <v>Luleå</v>
      </c>
      <c r="R138" t="str">
        <f t="shared" si="12"/>
        <v>NULL</v>
      </c>
      <c r="S138" t="str">
        <f t="shared" si="13"/>
        <v>S-958 22</v>
      </c>
      <c r="T138" t="str">
        <f t="shared" si="14"/>
        <v>Sweden</v>
      </c>
    </row>
    <row r="139" spans="1:20" x14ac:dyDescent="0.2">
      <c r="A139" s="1">
        <v>10385</v>
      </c>
      <c r="B139" s="3" t="s">
        <v>116</v>
      </c>
      <c r="C139" s="3">
        <v>1</v>
      </c>
      <c r="D139" s="4">
        <v>35416</v>
      </c>
      <c r="E139" s="4">
        <v>35444</v>
      </c>
      <c r="F139" s="4">
        <v>35422</v>
      </c>
      <c r="G139" s="3">
        <v>2</v>
      </c>
      <c r="H139" s="3">
        <v>30.96</v>
      </c>
      <c r="I139" s="3" t="s">
        <v>117</v>
      </c>
      <c r="J139" s="3" t="s">
        <v>118</v>
      </c>
      <c r="K139" s="3" t="s">
        <v>119</v>
      </c>
      <c r="L139" s="3" t="s">
        <v>120</v>
      </c>
      <c r="M139" s="3">
        <v>82520</v>
      </c>
      <c r="N139" s="3" t="s">
        <v>86</v>
      </c>
      <c r="O139" s="2"/>
      <c r="P139" t="str">
        <f t="shared" si="11"/>
        <v>P.O. Box 555</v>
      </c>
      <c r="Q139" t="str">
        <f t="shared" si="15"/>
        <v>Lander</v>
      </c>
      <c r="R139" t="str">
        <f t="shared" si="12"/>
        <v>WY</v>
      </c>
      <c r="S139">
        <f t="shared" si="13"/>
        <v>82520</v>
      </c>
      <c r="T139" t="str">
        <f t="shared" si="14"/>
        <v>USA</v>
      </c>
    </row>
    <row r="140" spans="1:20" x14ac:dyDescent="0.2">
      <c r="A140" s="1">
        <v>10386</v>
      </c>
      <c r="B140" s="3" t="s">
        <v>258</v>
      </c>
      <c r="C140" s="3">
        <v>9</v>
      </c>
      <c r="D140" s="4">
        <v>35417</v>
      </c>
      <c r="E140" s="4">
        <v>35431</v>
      </c>
      <c r="F140" s="4">
        <v>35424</v>
      </c>
      <c r="G140" s="3">
        <v>3</v>
      </c>
      <c r="H140" s="3">
        <v>13.99</v>
      </c>
      <c r="I140" s="3" t="s">
        <v>259</v>
      </c>
      <c r="J140" s="3" t="s">
        <v>260</v>
      </c>
      <c r="K140" s="3">
        <v>92</v>
      </c>
      <c r="L140" s="3" t="s">
        <v>173</v>
      </c>
      <c r="M140" s="3" t="s">
        <v>55</v>
      </c>
      <c r="N140" s="3" t="s">
        <v>261</v>
      </c>
      <c r="O140" s="3" t="s">
        <v>31</v>
      </c>
      <c r="P140" t="str">
        <f t="shared" si="11"/>
        <v>Rua Orós 92</v>
      </c>
      <c r="Q140" t="str">
        <f t="shared" si="15"/>
        <v>Sao Paulo</v>
      </c>
      <c r="R140" t="str">
        <f t="shared" si="12"/>
        <v>SP</v>
      </c>
      <c r="S140" t="str">
        <f t="shared" si="13"/>
        <v>05442-030</v>
      </c>
      <c r="T140" t="str">
        <f t="shared" si="14"/>
        <v>Brazil</v>
      </c>
    </row>
    <row r="141" spans="1:20" x14ac:dyDescent="0.2">
      <c r="A141" s="1">
        <v>10387</v>
      </c>
      <c r="B141" s="3" t="s">
        <v>313</v>
      </c>
      <c r="C141" s="3">
        <v>1</v>
      </c>
      <c r="D141" s="4">
        <v>35417</v>
      </c>
      <c r="E141" s="4">
        <v>35445</v>
      </c>
      <c r="F141" s="4">
        <v>35419</v>
      </c>
      <c r="G141" s="3">
        <v>2</v>
      </c>
      <c r="H141" s="3">
        <v>93.63</v>
      </c>
      <c r="I141" s="3" t="s">
        <v>314</v>
      </c>
      <c r="J141" s="3" t="s">
        <v>315</v>
      </c>
      <c r="K141" s="3" t="s">
        <v>316</v>
      </c>
      <c r="L141" s="3" t="s">
        <v>18</v>
      </c>
      <c r="M141" s="3">
        <v>4110</v>
      </c>
      <c r="N141" s="3" t="s">
        <v>317</v>
      </c>
      <c r="O141" s="2"/>
      <c r="P141" t="str">
        <f t="shared" si="11"/>
        <v>Erling Skakkes gate 78</v>
      </c>
      <c r="Q141" t="str">
        <f t="shared" si="15"/>
        <v>Stavern</v>
      </c>
      <c r="R141" t="str">
        <f t="shared" si="12"/>
        <v>NULL</v>
      </c>
      <c r="S141">
        <f t="shared" si="13"/>
        <v>4110</v>
      </c>
      <c r="T141" t="str">
        <f t="shared" si="14"/>
        <v>Norway</v>
      </c>
    </row>
    <row r="142" spans="1:20" x14ac:dyDescent="0.2">
      <c r="A142" s="1">
        <v>10388</v>
      </c>
      <c r="B142" s="3" t="s">
        <v>276</v>
      </c>
      <c r="C142" s="3">
        <v>2</v>
      </c>
      <c r="D142" s="4">
        <v>35418</v>
      </c>
      <c r="E142" s="4">
        <v>35446</v>
      </c>
      <c r="F142" s="4">
        <v>35419</v>
      </c>
      <c r="G142" s="3">
        <v>1</v>
      </c>
      <c r="H142" s="3">
        <v>34.86</v>
      </c>
      <c r="I142" s="3" t="s">
        <v>277</v>
      </c>
      <c r="J142" s="3" t="s">
        <v>278</v>
      </c>
      <c r="K142" s="3" t="s">
        <v>167</v>
      </c>
      <c r="L142" s="3" t="s">
        <v>18</v>
      </c>
      <c r="M142" s="3" t="s">
        <v>279</v>
      </c>
      <c r="N142" s="3" t="s">
        <v>169</v>
      </c>
      <c r="O142" s="2"/>
      <c r="P142" t="str">
        <f t="shared" si="11"/>
        <v>90 Wadhurst Rd.</v>
      </c>
      <c r="Q142" t="str">
        <f t="shared" si="15"/>
        <v>London</v>
      </c>
      <c r="R142" t="str">
        <f t="shared" si="12"/>
        <v>NULL</v>
      </c>
      <c r="S142" t="str">
        <f t="shared" si="13"/>
        <v>OX15 4NB</v>
      </c>
      <c r="T142" t="str">
        <f t="shared" si="14"/>
        <v>UK</v>
      </c>
    </row>
    <row r="143" spans="1:20" x14ac:dyDescent="0.2">
      <c r="A143" s="1">
        <v>10389</v>
      </c>
      <c r="B143" s="3" t="s">
        <v>318</v>
      </c>
      <c r="C143" s="3">
        <v>4</v>
      </c>
      <c r="D143" s="4">
        <v>35419</v>
      </c>
      <c r="E143" s="4">
        <v>35447</v>
      </c>
      <c r="F143" s="4">
        <v>35423</v>
      </c>
      <c r="G143" s="3">
        <v>2</v>
      </c>
      <c r="H143" s="3">
        <v>47.42</v>
      </c>
      <c r="I143" s="3" t="s">
        <v>319</v>
      </c>
      <c r="J143" s="3" t="s">
        <v>320</v>
      </c>
      <c r="K143" s="3" t="s">
        <v>321</v>
      </c>
      <c r="L143" s="3" t="s">
        <v>322</v>
      </c>
      <c r="M143" s="3" t="s">
        <v>323</v>
      </c>
      <c r="N143" s="3" t="s">
        <v>249</v>
      </c>
      <c r="O143" s="2"/>
      <c r="P143" t="str">
        <f t="shared" si="11"/>
        <v>23 Tsawassen Blvd.</v>
      </c>
      <c r="Q143" t="str">
        <f t="shared" si="15"/>
        <v>Tsawassen</v>
      </c>
      <c r="R143" t="str">
        <f t="shared" si="12"/>
        <v>BC</v>
      </c>
      <c r="S143" t="str">
        <f t="shared" si="13"/>
        <v>T2F 8M4</v>
      </c>
      <c r="T143" t="str">
        <f t="shared" si="14"/>
        <v>Canada</v>
      </c>
    </row>
    <row r="144" spans="1:20" x14ac:dyDescent="0.2">
      <c r="A144" s="1">
        <v>10390</v>
      </c>
      <c r="B144" s="3" t="s">
        <v>63</v>
      </c>
      <c r="C144" s="3">
        <v>6</v>
      </c>
      <c r="D144" s="4">
        <v>35422</v>
      </c>
      <c r="E144" s="4">
        <v>35450</v>
      </c>
      <c r="F144" s="4">
        <v>35425</v>
      </c>
      <c r="G144" s="3">
        <v>1</v>
      </c>
      <c r="H144" s="3">
        <v>126.38</v>
      </c>
      <c r="I144" s="3" t="s">
        <v>64</v>
      </c>
      <c r="J144" s="3" t="s">
        <v>65</v>
      </c>
      <c r="K144" s="3" t="s">
        <v>66</v>
      </c>
      <c r="L144" s="3" t="s">
        <v>18</v>
      </c>
      <c r="M144" s="3">
        <v>8010</v>
      </c>
      <c r="N144" s="3" t="s">
        <v>67</v>
      </c>
      <c r="O144" s="2"/>
      <c r="P144" t="str">
        <f t="shared" si="11"/>
        <v>Kirchgasse 6</v>
      </c>
      <c r="Q144" t="str">
        <f t="shared" si="15"/>
        <v>Graz</v>
      </c>
      <c r="R144" t="str">
        <f t="shared" si="12"/>
        <v>NULL</v>
      </c>
      <c r="S144">
        <f t="shared" si="13"/>
        <v>8010</v>
      </c>
      <c r="T144" t="str">
        <f t="shared" si="14"/>
        <v>Austria</v>
      </c>
    </row>
    <row r="145" spans="1:20" x14ac:dyDescent="0.2">
      <c r="A145" s="1">
        <v>10391</v>
      </c>
      <c r="B145" s="3" t="s">
        <v>280</v>
      </c>
      <c r="C145" s="3">
        <v>3</v>
      </c>
      <c r="D145" s="4">
        <v>35422</v>
      </c>
      <c r="E145" s="4">
        <v>35450</v>
      </c>
      <c r="F145" s="4">
        <v>35430</v>
      </c>
      <c r="G145" s="3">
        <v>3</v>
      </c>
      <c r="H145" s="3">
        <v>5.45</v>
      </c>
      <c r="I145" s="3" t="s">
        <v>281</v>
      </c>
      <c r="J145" s="3" t="s">
        <v>282</v>
      </c>
      <c r="K145" s="3" t="s">
        <v>283</v>
      </c>
      <c r="L145" s="3" t="s">
        <v>18</v>
      </c>
      <c r="M145" s="3">
        <v>52066</v>
      </c>
      <c r="N145" s="3" t="s">
        <v>24</v>
      </c>
      <c r="O145" s="2"/>
      <c r="P145" t="str">
        <f t="shared" si="11"/>
        <v>Walserweg 21</v>
      </c>
      <c r="Q145" t="str">
        <f t="shared" si="15"/>
        <v>Aachen</v>
      </c>
      <c r="R145" t="str">
        <f t="shared" si="12"/>
        <v>NULL</v>
      </c>
      <c r="S145">
        <f t="shared" si="13"/>
        <v>52066</v>
      </c>
      <c r="T145" t="str">
        <f t="shared" si="14"/>
        <v>Germany</v>
      </c>
    </row>
    <row r="146" spans="1:20" x14ac:dyDescent="0.2">
      <c r="A146" s="1">
        <v>10392</v>
      </c>
      <c r="B146" s="3" t="s">
        <v>266</v>
      </c>
      <c r="C146" s="3">
        <v>2</v>
      </c>
      <c r="D146" s="4">
        <v>35423</v>
      </c>
      <c r="E146" s="4">
        <v>35451</v>
      </c>
      <c r="F146" s="4">
        <v>35431</v>
      </c>
      <c r="G146" s="3">
        <v>3</v>
      </c>
      <c r="H146" s="3">
        <v>122.46</v>
      </c>
      <c r="I146" s="3" t="s">
        <v>267</v>
      </c>
      <c r="J146" s="3" t="s">
        <v>268</v>
      </c>
      <c r="K146" s="3" t="s">
        <v>269</v>
      </c>
      <c r="L146" s="3" t="s">
        <v>18</v>
      </c>
      <c r="M146" s="3">
        <v>5020</v>
      </c>
      <c r="N146" s="3" t="s">
        <v>67</v>
      </c>
      <c r="O146" s="2"/>
      <c r="P146" t="str">
        <f t="shared" si="11"/>
        <v>Geislweg 14</v>
      </c>
      <c r="Q146" t="str">
        <f t="shared" si="15"/>
        <v>Salzburg</v>
      </c>
      <c r="R146" t="str">
        <f t="shared" si="12"/>
        <v>NULL</v>
      </c>
      <c r="S146">
        <f t="shared" si="13"/>
        <v>5020</v>
      </c>
      <c r="T146" t="str">
        <f t="shared" si="14"/>
        <v>Austria</v>
      </c>
    </row>
    <row r="147" spans="1:20" x14ac:dyDescent="0.2">
      <c r="A147" s="1">
        <v>10393</v>
      </c>
      <c r="B147" s="3" t="s">
        <v>226</v>
      </c>
      <c r="C147" s="3">
        <v>1</v>
      </c>
      <c r="D147" s="4">
        <v>35424</v>
      </c>
      <c r="E147" s="4">
        <v>35452</v>
      </c>
      <c r="F147" s="4">
        <v>35433</v>
      </c>
      <c r="G147" s="3">
        <v>3</v>
      </c>
      <c r="H147" s="3">
        <v>126.56</v>
      </c>
      <c r="I147" s="3" t="s">
        <v>227</v>
      </c>
      <c r="J147" s="3" t="s">
        <v>228</v>
      </c>
      <c r="K147" s="3" t="s">
        <v>229</v>
      </c>
      <c r="L147" s="3" t="s">
        <v>230</v>
      </c>
      <c r="M147" s="3">
        <v>83720</v>
      </c>
      <c r="N147" s="3" t="s">
        <v>86</v>
      </c>
      <c r="O147" s="2"/>
      <c r="P147" t="str">
        <f t="shared" si="11"/>
        <v>187 Suffolk Ln.</v>
      </c>
      <c r="Q147" t="str">
        <f t="shared" si="15"/>
        <v>Boise</v>
      </c>
      <c r="R147" t="str">
        <f t="shared" si="12"/>
        <v>ID</v>
      </c>
      <c r="S147">
        <f t="shared" si="13"/>
        <v>83720</v>
      </c>
      <c r="T147" t="str">
        <f t="shared" si="14"/>
        <v>USA</v>
      </c>
    </row>
    <row r="148" spans="1:20" x14ac:dyDescent="0.2">
      <c r="A148" s="1">
        <v>10394</v>
      </c>
      <c r="B148" s="3" t="s">
        <v>309</v>
      </c>
      <c r="C148" s="3">
        <v>1</v>
      </c>
      <c r="D148" s="4">
        <v>35424</v>
      </c>
      <c r="E148" s="4">
        <v>35452</v>
      </c>
      <c r="F148" s="4">
        <v>35433</v>
      </c>
      <c r="G148" s="3">
        <v>3</v>
      </c>
      <c r="H148" s="3">
        <v>30.34</v>
      </c>
      <c r="I148" s="3" t="s">
        <v>310</v>
      </c>
      <c r="J148" s="3" t="s">
        <v>311</v>
      </c>
      <c r="K148" s="3" t="s">
        <v>312</v>
      </c>
      <c r="L148" s="3" t="s">
        <v>202</v>
      </c>
      <c r="M148" s="3">
        <v>97827</v>
      </c>
      <c r="N148" s="3" t="s">
        <v>86</v>
      </c>
      <c r="O148" s="2"/>
      <c r="P148" t="str">
        <f t="shared" si="11"/>
        <v>City Center Plaza 516 Main St.</v>
      </c>
      <c r="Q148" t="str">
        <f t="shared" si="15"/>
        <v>Elgin</v>
      </c>
      <c r="R148" t="str">
        <f t="shared" si="12"/>
        <v>OR</v>
      </c>
      <c r="S148">
        <f t="shared" si="13"/>
        <v>97827</v>
      </c>
      <c r="T148" t="str">
        <f t="shared" si="14"/>
        <v>USA</v>
      </c>
    </row>
    <row r="149" spans="1:20" x14ac:dyDescent="0.2">
      <c r="A149" s="1">
        <v>10395</v>
      </c>
      <c r="B149" s="3" t="s">
        <v>57</v>
      </c>
      <c r="C149" s="3">
        <v>6</v>
      </c>
      <c r="D149" s="4">
        <v>35425</v>
      </c>
      <c r="E149" s="4">
        <v>35453</v>
      </c>
      <c r="F149" s="4">
        <v>35433</v>
      </c>
      <c r="G149" s="3">
        <v>1</v>
      </c>
      <c r="H149" s="3">
        <v>184.41</v>
      </c>
      <c r="I149" s="3" t="s">
        <v>58</v>
      </c>
      <c r="J149" s="3" t="s">
        <v>59</v>
      </c>
      <c r="K149" s="3" t="s">
        <v>60</v>
      </c>
      <c r="L149" s="3" t="s">
        <v>61</v>
      </c>
      <c r="M149" s="3">
        <v>5022</v>
      </c>
      <c r="N149" s="3" t="s">
        <v>62</v>
      </c>
      <c r="O149" s="2"/>
      <c r="P149" t="str">
        <f t="shared" si="11"/>
        <v>Carrera 22 con Ave. Carlos Soublette #8-35</v>
      </c>
      <c r="Q149" t="str">
        <f t="shared" si="15"/>
        <v>San Cristóbal</v>
      </c>
      <c r="R149" t="str">
        <f t="shared" si="12"/>
        <v>Táchira</v>
      </c>
      <c r="S149">
        <f t="shared" si="13"/>
        <v>5022</v>
      </c>
      <c r="T149" t="str">
        <f t="shared" si="14"/>
        <v>Venezuela</v>
      </c>
    </row>
    <row r="150" spans="1:20" x14ac:dyDescent="0.2">
      <c r="A150" s="1">
        <v>10396</v>
      </c>
      <c r="B150" s="3" t="s">
        <v>102</v>
      </c>
      <c r="C150" s="3">
        <v>1</v>
      </c>
      <c r="D150" s="4">
        <v>35426</v>
      </c>
      <c r="E150" s="4">
        <v>35440</v>
      </c>
      <c r="F150" s="4">
        <v>35436</v>
      </c>
      <c r="G150" s="3">
        <v>3</v>
      </c>
      <c r="H150" s="3">
        <v>135.35</v>
      </c>
      <c r="I150" s="3" t="s">
        <v>103</v>
      </c>
      <c r="J150" s="3" t="s">
        <v>104</v>
      </c>
      <c r="K150" s="3" t="s">
        <v>105</v>
      </c>
      <c r="L150" s="3" t="s">
        <v>18</v>
      </c>
      <c r="M150" s="3">
        <v>80805</v>
      </c>
      <c r="N150" s="3" t="s">
        <v>24</v>
      </c>
      <c r="O150" s="2"/>
      <c r="P150" t="str">
        <f t="shared" si="11"/>
        <v>Berliner Platz 43</v>
      </c>
      <c r="Q150" t="str">
        <f t="shared" si="15"/>
        <v>München</v>
      </c>
      <c r="R150" t="str">
        <f t="shared" si="12"/>
        <v>NULL</v>
      </c>
      <c r="S150">
        <f t="shared" si="13"/>
        <v>80805</v>
      </c>
      <c r="T150" t="str">
        <f t="shared" si="14"/>
        <v>Germany</v>
      </c>
    </row>
    <row r="151" spans="1:20" x14ac:dyDescent="0.2">
      <c r="A151" s="1">
        <v>10397</v>
      </c>
      <c r="B151" s="3" t="s">
        <v>250</v>
      </c>
      <c r="C151" s="3">
        <v>5</v>
      </c>
      <c r="D151" s="4">
        <v>35426</v>
      </c>
      <c r="E151" s="4">
        <v>35454</v>
      </c>
      <c r="F151" s="4">
        <v>35432</v>
      </c>
      <c r="G151" s="3">
        <v>1</v>
      </c>
      <c r="H151" s="3">
        <v>60.26</v>
      </c>
      <c r="I151" s="3" t="s">
        <v>251</v>
      </c>
      <c r="J151" s="3" t="s">
        <v>252</v>
      </c>
      <c r="K151" s="3" t="s">
        <v>237</v>
      </c>
      <c r="L151" s="3" t="s">
        <v>18</v>
      </c>
      <c r="M151" s="3">
        <v>1756</v>
      </c>
      <c r="N151" s="3" t="s">
        <v>238</v>
      </c>
      <c r="O151" s="2"/>
      <c r="P151" t="str">
        <f t="shared" si="11"/>
        <v>Estrada da saúde n. 58</v>
      </c>
      <c r="Q151" t="str">
        <f t="shared" si="15"/>
        <v>Lisboa</v>
      </c>
      <c r="R151" t="str">
        <f t="shared" si="12"/>
        <v>NULL</v>
      </c>
      <c r="S151">
        <f t="shared" si="13"/>
        <v>1756</v>
      </c>
      <c r="T151" t="str">
        <f t="shared" si="14"/>
        <v>Portugal</v>
      </c>
    </row>
    <row r="152" spans="1:20" x14ac:dyDescent="0.2">
      <c r="A152" s="1">
        <v>10398</v>
      </c>
      <c r="B152" s="3" t="s">
        <v>226</v>
      </c>
      <c r="C152" s="3">
        <v>2</v>
      </c>
      <c r="D152" s="4">
        <v>35429</v>
      </c>
      <c r="E152" s="4">
        <v>35457</v>
      </c>
      <c r="F152" s="4">
        <v>35439</v>
      </c>
      <c r="G152" s="3">
        <v>3</v>
      </c>
      <c r="H152" s="3">
        <v>89.16</v>
      </c>
      <c r="I152" s="3" t="s">
        <v>227</v>
      </c>
      <c r="J152" s="3" t="s">
        <v>228</v>
      </c>
      <c r="K152" s="3" t="s">
        <v>229</v>
      </c>
      <c r="L152" s="3" t="s">
        <v>230</v>
      </c>
      <c r="M152" s="3">
        <v>83720</v>
      </c>
      <c r="N152" s="3" t="s">
        <v>86</v>
      </c>
      <c r="O152" s="2"/>
      <c r="P152" t="str">
        <f t="shared" si="11"/>
        <v>187 Suffolk Ln.</v>
      </c>
      <c r="Q152" t="str">
        <f t="shared" si="15"/>
        <v>Boise</v>
      </c>
      <c r="R152" t="str">
        <f t="shared" si="12"/>
        <v>ID</v>
      </c>
      <c r="S152">
        <f t="shared" si="13"/>
        <v>83720</v>
      </c>
      <c r="T152" t="str">
        <f t="shared" si="14"/>
        <v>USA</v>
      </c>
    </row>
    <row r="153" spans="1:20" x14ac:dyDescent="0.2">
      <c r="A153" s="1">
        <v>10399</v>
      </c>
      <c r="B153" s="3" t="s">
        <v>295</v>
      </c>
      <c r="C153" s="3">
        <v>8</v>
      </c>
      <c r="D153" s="4">
        <v>35430</v>
      </c>
      <c r="E153" s="4">
        <v>35444</v>
      </c>
      <c r="F153" s="4">
        <v>35438</v>
      </c>
      <c r="G153" s="3">
        <v>3</v>
      </c>
      <c r="H153" s="3">
        <v>27.36</v>
      </c>
      <c r="I153" s="3" t="s">
        <v>296</v>
      </c>
      <c r="J153" s="3" t="s">
        <v>297</v>
      </c>
      <c r="K153" s="3" t="s">
        <v>298</v>
      </c>
      <c r="L153" s="3" t="s">
        <v>18</v>
      </c>
      <c r="M153" s="3">
        <v>8200</v>
      </c>
      <c r="N153" s="3" t="s">
        <v>257</v>
      </c>
      <c r="O153" s="2"/>
      <c r="P153" t="str">
        <f t="shared" si="11"/>
        <v>Smagsloget 45</v>
      </c>
      <c r="Q153" t="str">
        <f t="shared" si="15"/>
        <v>Århus</v>
      </c>
      <c r="R153" t="str">
        <f t="shared" si="12"/>
        <v>NULL</v>
      </c>
      <c r="S153">
        <f t="shared" si="13"/>
        <v>8200</v>
      </c>
      <c r="T153" t="str">
        <f t="shared" si="14"/>
        <v>Denmark</v>
      </c>
    </row>
    <row r="154" spans="1:20" x14ac:dyDescent="0.2">
      <c r="A154" s="1">
        <v>10400</v>
      </c>
      <c r="B154" s="3" t="s">
        <v>284</v>
      </c>
      <c r="C154" s="3">
        <v>1</v>
      </c>
      <c r="D154" s="4">
        <v>35431</v>
      </c>
      <c r="E154" s="4">
        <v>35459</v>
      </c>
      <c r="F154" s="4">
        <v>35446</v>
      </c>
      <c r="G154" s="3">
        <v>3</v>
      </c>
      <c r="H154" s="3">
        <v>83.93</v>
      </c>
      <c r="I154" s="3" t="s">
        <v>285</v>
      </c>
      <c r="J154" s="3" t="s">
        <v>286</v>
      </c>
      <c r="K154" s="3" t="s">
        <v>167</v>
      </c>
      <c r="L154" s="3" t="s">
        <v>18</v>
      </c>
      <c r="M154" s="3" t="s">
        <v>287</v>
      </c>
      <c r="N154" s="3" t="s">
        <v>169</v>
      </c>
      <c r="O154" s="2"/>
      <c r="P154" t="str">
        <f t="shared" si="11"/>
        <v>35 King George</v>
      </c>
      <c r="Q154" t="str">
        <f t="shared" si="15"/>
        <v>London</v>
      </c>
      <c r="R154" t="str">
        <f t="shared" si="12"/>
        <v>NULL</v>
      </c>
      <c r="S154" t="str">
        <f t="shared" si="13"/>
        <v>WX3 6FW</v>
      </c>
      <c r="T154" t="str">
        <f t="shared" si="14"/>
        <v>UK</v>
      </c>
    </row>
    <row r="155" spans="1:20" x14ac:dyDescent="0.2">
      <c r="A155" s="1">
        <v>10401</v>
      </c>
      <c r="B155" s="3" t="s">
        <v>81</v>
      </c>
      <c r="C155" s="3">
        <v>1</v>
      </c>
      <c r="D155" s="4">
        <v>35431</v>
      </c>
      <c r="E155" s="4">
        <v>35459</v>
      </c>
      <c r="F155" s="4">
        <v>35440</v>
      </c>
      <c r="G155" s="3">
        <v>1</v>
      </c>
      <c r="H155" s="3">
        <v>12.51</v>
      </c>
      <c r="I155" s="3" t="s">
        <v>82</v>
      </c>
      <c r="J155" s="3" t="s">
        <v>83</v>
      </c>
      <c r="K155" s="3" t="s">
        <v>84</v>
      </c>
      <c r="L155" s="3" t="s">
        <v>85</v>
      </c>
      <c r="M155" s="3">
        <v>87110</v>
      </c>
      <c r="N155" s="3" t="s">
        <v>86</v>
      </c>
      <c r="O155" s="2"/>
      <c r="P155" t="str">
        <f t="shared" si="11"/>
        <v>2817 Milton Dr.</v>
      </c>
      <c r="Q155" t="str">
        <f t="shared" si="15"/>
        <v>Albuquerque</v>
      </c>
      <c r="R155" t="str">
        <f t="shared" si="12"/>
        <v>NM</v>
      </c>
      <c r="S155">
        <f t="shared" si="13"/>
        <v>87110</v>
      </c>
      <c r="T155" t="str">
        <f t="shared" si="14"/>
        <v>USA</v>
      </c>
    </row>
    <row r="156" spans="1:20" x14ac:dyDescent="0.2">
      <c r="A156" s="1">
        <v>10402</v>
      </c>
      <c r="B156" s="3" t="s">
        <v>63</v>
      </c>
      <c r="C156" s="3">
        <v>8</v>
      </c>
      <c r="D156" s="4">
        <v>35432</v>
      </c>
      <c r="E156" s="4">
        <v>35474</v>
      </c>
      <c r="F156" s="4">
        <v>35440</v>
      </c>
      <c r="G156" s="3">
        <v>2</v>
      </c>
      <c r="H156" s="3">
        <v>67.88</v>
      </c>
      <c r="I156" s="3" t="s">
        <v>64</v>
      </c>
      <c r="J156" s="3" t="s">
        <v>65</v>
      </c>
      <c r="K156" s="3" t="s">
        <v>66</v>
      </c>
      <c r="L156" s="3" t="s">
        <v>18</v>
      </c>
      <c r="M156" s="3">
        <v>8010</v>
      </c>
      <c r="N156" s="3" t="s">
        <v>67</v>
      </c>
      <c r="O156" s="2"/>
      <c r="P156" t="str">
        <f t="shared" si="11"/>
        <v>Kirchgasse 6</v>
      </c>
      <c r="Q156" t="str">
        <f t="shared" si="15"/>
        <v>Graz</v>
      </c>
      <c r="R156" t="str">
        <f t="shared" si="12"/>
        <v>NULL</v>
      </c>
      <c r="S156">
        <f t="shared" si="13"/>
        <v>8010</v>
      </c>
      <c r="T156" t="str">
        <f t="shared" si="14"/>
        <v>Austria</v>
      </c>
    </row>
    <row r="157" spans="1:20" x14ac:dyDescent="0.2">
      <c r="A157" s="1">
        <v>10403</v>
      </c>
      <c r="B157" s="3" t="s">
        <v>63</v>
      </c>
      <c r="C157" s="3">
        <v>4</v>
      </c>
      <c r="D157" s="4">
        <v>35433</v>
      </c>
      <c r="E157" s="4">
        <v>35461</v>
      </c>
      <c r="F157" s="4">
        <v>35439</v>
      </c>
      <c r="G157" s="3">
        <v>3</v>
      </c>
      <c r="H157" s="3">
        <v>73.790000000000006</v>
      </c>
      <c r="I157" s="3" t="s">
        <v>64</v>
      </c>
      <c r="J157" s="3" t="s">
        <v>65</v>
      </c>
      <c r="K157" s="3" t="s">
        <v>66</v>
      </c>
      <c r="L157" s="3" t="s">
        <v>18</v>
      </c>
      <c r="M157" s="3">
        <v>8010</v>
      </c>
      <c r="N157" s="3" t="s">
        <v>67</v>
      </c>
      <c r="O157" s="2"/>
      <c r="P157" t="str">
        <f t="shared" si="11"/>
        <v>Kirchgasse 6</v>
      </c>
      <c r="Q157" t="str">
        <f t="shared" si="15"/>
        <v>Graz</v>
      </c>
      <c r="R157" t="str">
        <f t="shared" si="12"/>
        <v>NULL</v>
      </c>
      <c r="S157">
        <f t="shared" si="13"/>
        <v>8010</v>
      </c>
      <c r="T157" t="str">
        <f t="shared" si="14"/>
        <v>Austria</v>
      </c>
    </row>
    <row r="158" spans="1:20" x14ac:dyDescent="0.2">
      <c r="A158" s="1">
        <v>10404</v>
      </c>
      <c r="B158" s="3" t="s">
        <v>125</v>
      </c>
      <c r="C158" s="3">
        <v>2</v>
      </c>
      <c r="D158" s="4">
        <v>35433</v>
      </c>
      <c r="E158" s="4">
        <v>35461</v>
      </c>
      <c r="F158" s="4">
        <v>35438</v>
      </c>
      <c r="G158" s="3">
        <v>1</v>
      </c>
      <c r="H158" s="3">
        <v>155.97</v>
      </c>
      <c r="I158" s="3" t="s">
        <v>126</v>
      </c>
      <c r="J158" s="3" t="s">
        <v>127</v>
      </c>
      <c r="K158" s="3" t="s">
        <v>128</v>
      </c>
      <c r="L158" s="3" t="s">
        <v>18</v>
      </c>
      <c r="M158" s="3">
        <v>24100</v>
      </c>
      <c r="N158" s="3" t="s">
        <v>129</v>
      </c>
      <c r="O158" s="2"/>
      <c r="P158" t="str">
        <f t="shared" si="11"/>
        <v>Via Ludovico il Moro 22</v>
      </c>
      <c r="Q158" t="str">
        <f t="shared" si="15"/>
        <v>Bergamo</v>
      </c>
      <c r="R158" t="str">
        <f t="shared" si="12"/>
        <v>NULL</v>
      </c>
      <c r="S158">
        <f t="shared" si="13"/>
        <v>24100</v>
      </c>
      <c r="T158" t="str">
        <f t="shared" si="14"/>
        <v>Italy</v>
      </c>
    </row>
    <row r="159" spans="1:20" x14ac:dyDescent="0.2">
      <c r="A159" s="1">
        <v>10405</v>
      </c>
      <c r="B159" s="3" t="s">
        <v>324</v>
      </c>
      <c r="C159" s="3">
        <v>1</v>
      </c>
      <c r="D159" s="4">
        <v>35436</v>
      </c>
      <c r="E159" s="4">
        <v>35464</v>
      </c>
      <c r="F159" s="4">
        <v>35452</v>
      </c>
      <c r="G159" s="3">
        <v>1</v>
      </c>
      <c r="H159" s="3">
        <v>34.82</v>
      </c>
      <c r="I159" s="3" t="s">
        <v>325</v>
      </c>
      <c r="J159" s="3" t="s">
        <v>326</v>
      </c>
      <c r="K159" s="3" t="s">
        <v>327</v>
      </c>
      <c r="L159" s="3" t="s">
        <v>328</v>
      </c>
      <c r="M159" s="3">
        <v>4980</v>
      </c>
      <c r="N159" s="3" t="s">
        <v>62</v>
      </c>
      <c r="O159" s="2"/>
      <c r="P159" t="str">
        <f t="shared" si="11"/>
        <v>Ave. 5 de Mayo Porlamar</v>
      </c>
      <c r="Q159" t="str">
        <f t="shared" si="15"/>
        <v>I. de Margarita</v>
      </c>
      <c r="R159" t="str">
        <f t="shared" si="12"/>
        <v>Nueva Esparta</v>
      </c>
      <c r="S159">
        <f t="shared" si="13"/>
        <v>4980</v>
      </c>
      <c r="T159" t="str">
        <f t="shared" si="14"/>
        <v>Venezuela</v>
      </c>
    </row>
    <row r="160" spans="1:20" x14ac:dyDescent="0.2">
      <c r="A160" s="1">
        <v>10406</v>
      </c>
      <c r="B160" s="3" t="s">
        <v>299</v>
      </c>
      <c r="C160" s="3">
        <v>7</v>
      </c>
      <c r="D160" s="4">
        <v>35437</v>
      </c>
      <c r="E160" s="4">
        <v>35479</v>
      </c>
      <c r="F160" s="4">
        <v>35443</v>
      </c>
      <c r="G160" s="3">
        <v>1</v>
      </c>
      <c r="H160" s="3">
        <v>108.04</v>
      </c>
      <c r="I160" s="3" t="s">
        <v>300</v>
      </c>
      <c r="J160" s="3" t="s">
        <v>301</v>
      </c>
      <c r="K160" s="3">
        <v>891</v>
      </c>
      <c r="L160" s="3" t="s">
        <v>173</v>
      </c>
      <c r="M160" s="3" t="s">
        <v>55</v>
      </c>
      <c r="N160" s="3" t="s">
        <v>302</v>
      </c>
      <c r="O160" s="3" t="s">
        <v>31</v>
      </c>
      <c r="P160" t="str">
        <f t="shared" si="11"/>
        <v>Alameda dos Canàrios 891</v>
      </c>
      <c r="Q160" t="str">
        <f t="shared" si="15"/>
        <v>Sao Paulo</v>
      </c>
      <c r="R160" t="str">
        <f t="shared" si="12"/>
        <v>SP</v>
      </c>
      <c r="S160" t="str">
        <f t="shared" si="13"/>
        <v>05487-020</v>
      </c>
      <c r="T160" t="str">
        <f t="shared" si="14"/>
        <v>Brazil</v>
      </c>
    </row>
    <row r="161" spans="1:20" x14ac:dyDescent="0.2">
      <c r="A161" s="1">
        <v>10407</v>
      </c>
      <c r="B161" s="3" t="s">
        <v>73</v>
      </c>
      <c r="C161" s="3">
        <v>2</v>
      </c>
      <c r="D161" s="4">
        <v>35437</v>
      </c>
      <c r="E161" s="4">
        <v>35465</v>
      </c>
      <c r="F161" s="4">
        <v>35460</v>
      </c>
      <c r="G161" s="3">
        <v>2</v>
      </c>
      <c r="H161" s="3">
        <v>91.48</v>
      </c>
      <c r="I161" s="3" t="s">
        <v>74</v>
      </c>
      <c r="J161" s="3" t="s">
        <v>75</v>
      </c>
      <c r="K161" s="3" t="s">
        <v>76</v>
      </c>
      <c r="L161" s="3" t="s">
        <v>18</v>
      </c>
      <c r="M161" s="3">
        <v>50739</v>
      </c>
      <c r="N161" s="3" t="s">
        <v>24</v>
      </c>
      <c r="O161" s="2"/>
      <c r="P161" t="str">
        <f t="shared" si="11"/>
        <v>Mehrheimerstr. 369</v>
      </c>
      <c r="Q161" t="str">
        <f t="shared" si="15"/>
        <v>Köln</v>
      </c>
      <c r="R161" t="str">
        <f t="shared" si="12"/>
        <v>NULL</v>
      </c>
      <c r="S161">
        <f t="shared" si="13"/>
        <v>50739</v>
      </c>
      <c r="T161" t="str">
        <f t="shared" si="14"/>
        <v>Germany</v>
      </c>
    </row>
    <row r="162" spans="1:20" x14ac:dyDescent="0.2">
      <c r="A162" s="1">
        <v>10408</v>
      </c>
      <c r="B162" s="3" t="s">
        <v>329</v>
      </c>
      <c r="C162" s="3">
        <v>8</v>
      </c>
      <c r="D162" s="4">
        <v>35438</v>
      </c>
      <c r="E162" s="4">
        <v>35466</v>
      </c>
      <c r="F162" s="4">
        <v>35444</v>
      </c>
      <c r="G162" s="3">
        <v>1</v>
      </c>
      <c r="H162" s="3">
        <v>11.26</v>
      </c>
      <c r="I162" s="3" t="s">
        <v>330</v>
      </c>
      <c r="J162" s="3">
        <v>184</v>
      </c>
      <c r="K162" s="3" t="s">
        <v>331</v>
      </c>
      <c r="L162" s="3" t="s">
        <v>332</v>
      </c>
      <c r="M162" s="3" t="s">
        <v>18</v>
      </c>
      <c r="N162" s="3">
        <v>59000</v>
      </c>
      <c r="O162" s="3" t="s">
        <v>19</v>
      </c>
      <c r="P162" t="str">
        <f t="shared" si="11"/>
        <v>184  chaussée de Tournai</v>
      </c>
      <c r="Q162" t="str">
        <f t="shared" si="15"/>
        <v>Lille</v>
      </c>
      <c r="R162" t="str">
        <f t="shared" si="12"/>
        <v>NULL</v>
      </c>
      <c r="S162">
        <f t="shared" si="13"/>
        <v>59000</v>
      </c>
      <c r="T162" t="str">
        <f t="shared" si="14"/>
        <v>France</v>
      </c>
    </row>
    <row r="163" spans="1:20" x14ac:dyDescent="0.2">
      <c r="A163" s="1">
        <v>10409</v>
      </c>
      <c r="B163" s="3" t="s">
        <v>333</v>
      </c>
      <c r="C163" s="3">
        <v>3</v>
      </c>
      <c r="D163" s="4">
        <v>35439</v>
      </c>
      <c r="E163" s="4">
        <v>35467</v>
      </c>
      <c r="F163" s="4">
        <v>35444</v>
      </c>
      <c r="G163" s="3">
        <v>1</v>
      </c>
      <c r="H163" s="3">
        <v>29.83</v>
      </c>
      <c r="I163" s="3" t="s">
        <v>334</v>
      </c>
      <c r="J163" s="3" t="s">
        <v>335</v>
      </c>
      <c r="K163" s="3" t="s">
        <v>336</v>
      </c>
      <c r="L163" s="3" t="s">
        <v>18</v>
      </c>
      <c r="M163" s="3">
        <v>1010</v>
      </c>
      <c r="N163" s="3" t="s">
        <v>337</v>
      </c>
      <c r="O163" s="2"/>
      <c r="P163" t="str">
        <f t="shared" si="11"/>
        <v>Ing. Gustavo Moncada 8585 Piso 20-A</v>
      </c>
      <c r="Q163" t="str">
        <f t="shared" si="15"/>
        <v>Buenos Aires</v>
      </c>
      <c r="R163" t="str">
        <f t="shared" si="12"/>
        <v>NULL</v>
      </c>
      <c r="S163">
        <f t="shared" si="13"/>
        <v>1010</v>
      </c>
      <c r="T163" t="str">
        <f t="shared" si="14"/>
        <v>Argentina</v>
      </c>
    </row>
    <row r="164" spans="1:20" x14ac:dyDescent="0.2">
      <c r="A164" s="1">
        <v>10410</v>
      </c>
      <c r="B164" s="3" t="s">
        <v>318</v>
      </c>
      <c r="C164" s="3">
        <v>3</v>
      </c>
      <c r="D164" s="4">
        <v>35440</v>
      </c>
      <c r="E164" s="4">
        <v>35468</v>
      </c>
      <c r="F164" s="4">
        <v>35445</v>
      </c>
      <c r="G164" s="3">
        <v>3</v>
      </c>
      <c r="H164" s="3">
        <v>2.4</v>
      </c>
      <c r="I164" s="3" t="s">
        <v>319</v>
      </c>
      <c r="J164" s="3" t="s">
        <v>320</v>
      </c>
      <c r="K164" s="3" t="s">
        <v>321</v>
      </c>
      <c r="L164" s="3" t="s">
        <v>322</v>
      </c>
      <c r="M164" s="3" t="s">
        <v>323</v>
      </c>
      <c r="N164" s="3" t="s">
        <v>249</v>
      </c>
      <c r="O164" s="2"/>
      <c r="P164" t="str">
        <f t="shared" si="11"/>
        <v>23 Tsawassen Blvd.</v>
      </c>
      <c r="Q164" t="str">
        <f t="shared" si="15"/>
        <v>Tsawassen</v>
      </c>
      <c r="R164" t="str">
        <f t="shared" si="12"/>
        <v>BC</v>
      </c>
      <c r="S164" t="str">
        <f t="shared" si="13"/>
        <v>T2F 8M4</v>
      </c>
      <c r="T164" t="str">
        <f t="shared" si="14"/>
        <v>Canada</v>
      </c>
    </row>
    <row r="165" spans="1:20" x14ac:dyDescent="0.2">
      <c r="A165" s="1">
        <v>10411</v>
      </c>
      <c r="B165" s="3" t="s">
        <v>318</v>
      </c>
      <c r="C165" s="3">
        <v>9</v>
      </c>
      <c r="D165" s="4">
        <v>35440</v>
      </c>
      <c r="E165" s="4">
        <v>35468</v>
      </c>
      <c r="F165" s="4">
        <v>35451</v>
      </c>
      <c r="G165" s="3">
        <v>3</v>
      </c>
      <c r="H165" s="3">
        <v>23.65</v>
      </c>
      <c r="I165" s="3" t="s">
        <v>319</v>
      </c>
      <c r="J165" s="3" t="s">
        <v>320</v>
      </c>
      <c r="K165" s="3" t="s">
        <v>321</v>
      </c>
      <c r="L165" s="3" t="s">
        <v>322</v>
      </c>
      <c r="M165" s="3" t="s">
        <v>323</v>
      </c>
      <c r="N165" s="3" t="s">
        <v>249</v>
      </c>
      <c r="O165" s="2"/>
      <c r="P165" t="str">
        <f t="shared" si="11"/>
        <v>23 Tsawassen Blvd.</v>
      </c>
      <c r="Q165" t="str">
        <f t="shared" si="15"/>
        <v>Tsawassen</v>
      </c>
      <c r="R165" t="str">
        <f t="shared" si="12"/>
        <v>BC</v>
      </c>
      <c r="S165" t="str">
        <f t="shared" si="13"/>
        <v>T2F 8M4</v>
      </c>
      <c r="T165" t="str">
        <f t="shared" si="14"/>
        <v>Canada</v>
      </c>
    </row>
    <row r="166" spans="1:20" x14ac:dyDescent="0.2">
      <c r="A166" s="1">
        <v>10412</v>
      </c>
      <c r="B166" s="3" t="s">
        <v>97</v>
      </c>
      <c r="C166" s="3">
        <v>8</v>
      </c>
      <c r="D166" s="4">
        <v>35443</v>
      </c>
      <c r="E166" s="4">
        <v>35471</v>
      </c>
      <c r="F166" s="4">
        <v>35445</v>
      </c>
      <c r="G166" s="3">
        <v>2</v>
      </c>
      <c r="H166" s="3">
        <v>3.77</v>
      </c>
      <c r="I166" s="3" t="s">
        <v>98</v>
      </c>
      <c r="J166" s="3" t="s">
        <v>99</v>
      </c>
      <c r="K166" s="3" t="s">
        <v>100</v>
      </c>
      <c r="L166" s="3" t="s">
        <v>18</v>
      </c>
      <c r="M166" s="3">
        <v>90110</v>
      </c>
      <c r="N166" s="3" t="s">
        <v>101</v>
      </c>
      <c r="O166" s="2"/>
      <c r="P166" t="str">
        <f t="shared" si="11"/>
        <v>Torikatu 38</v>
      </c>
      <c r="Q166" t="str">
        <f t="shared" si="15"/>
        <v>Oulu</v>
      </c>
      <c r="R166" t="str">
        <f t="shared" si="12"/>
        <v>NULL</v>
      </c>
      <c r="S166">
        <f t="shared" si="13"/>
        <v>90110</v>
      </c>
      <c r="T166" t="str">
        <f t="shared" si="14"/>
        <v>Finland</v>
      </c>
    </row>
    <row r="167" spans="1:20" x14ac:dyDescent="0.2">
      <c r="A167" s="1">
        <v>10413</v>
      </c>
      <c r="B167" s="3" t="s">
        <v>262</v>
      </c>
      <c r="C167" s="3">
        <v>3</v>
      </c>
      <c r="D167" s="4">
        <v>35444</v>
      </c>
      <c r="E167" s="4">
        <v>35472</v>
      </c>
      <c r="F167" s="4">
        <v>35446</v>
      </c>
      <c r="G167" s="3">
        <v>2</v>
      </c>
      <c r="H167" s="3">
        <v>95.66</v>
      </c>
      <c r="I167" s="3" t="s">
        <v>263</v>
      </c>
      <c r="J167" s="3" t="s">
        <v>264</v>
      </c>
      <c r="K167" s="3" t="s">
        <v>265</v>
      </c>
      <c r="L167" s="3" t="s">
        <v>18</v>
      </c>
      <c r="M167" s="3">
        <v>31000</v>
      </c>
      <c r="N167" s="3" t="s">
        <v>19</v>
      </c>
      <c r="O167" s="2"/>
      <c r="P167" t="str">
        <f t="shared" si="11"/>
        <v>1 rue Alsace-Lorraine</v>
      </c>
      <c r="Q167" t="str">
        <f t="shared" si="15"/>
        <v>Toulouse</v>
      </c>
      <c r="R167" t="str">
        <f t="shared" si="12"/>
        <v>NULL</v>
      </c>
      <c r="S167">
        <f t="shared" si="13"/>
        <v>31000</v>
      </c>
      <c r="T167" t="str">
        <f t="shared" si="14"/>
        <v>France</v>
      </c>
    </row>
    <row r="168" spans="1:20" x14ac:dyDescent="0.2">
      <c r="A168" s="1">
        <v>10414</v>
      </c>
      <c r="B168" s="3" t="s">
        <v>258</v>
      </c>
      <c r="C168" s="3">
        <v>2</v>
      </c>
      <c r="D168" s="4">
        <v>35444</v>
      </c>
      <c r="E168" s="4">
        <v>35472</v>
      </c>
      <c r="F168" s="4">
        <v>35447</v>
      </c>
      <c r="G168" s="3">
        <v>3</v>
      </c>
      <c r="H168" s="3">
        <v>21.48</v>
      </c>
      <c r="I168" s="3" t="s">
        <v>259</v>
      </c>
      <c r="J168" s="3" t="s">
        <v>260</v>
      </c>
      <c r="K168" s="3">
        <v>92</v>
      </c>
      <c r="L168" s="3" t="s">
        <v>173</v>
      </c>
      <c r="M168" s="3" t="s">
        <v>55</v>
      </c>
      <c r="N168" s="3" t="s">
        <v>261</v>
      </c>
      <c r="O168" s="3" t="s">
        <v>31</v>
      </c>
      <c r="P168" t="str">
        <f t="shared" si="11"/>
        <v>Rua Orós 92</v>
      </c>
      <c r="Q168" t="str">
        <f t="shared" si="15"/>
        <v>Sao Paulo</v>
      </c>
      <c r="R168" t="str">
        <f t="shared" si="12"/>
        <v>SP</v>
      </c>
      <c r="S168" t="str">
        <f t="shared" si="13"/>
        <v>05442-030</v>
      </c>
      <c r="T168" t="str">
        <f t="shared" si="14"/>
        <v>Brazil</v>
      </c>
    </row>
    <row r="169" spans="1:20" x14ac:dyDescent="0.2">
      <c r="A169" s="1">
        <v>10415</v>
      </c>
      <c r="B169" s="3" t="s">
        <v>309</v>
      </c>
      <c r="C169" s="3">
        <v>3</v>
      </c>
      <c r="D169" s="4">
        <v>35445</v>
      </c>
      <c r="E169" s="4">
        <v>35473</v>
      </c>
      <c r="F169" s="4">
        <v>35454</v>
      </c>
      <c r="G169" s="3">
        <v>1</v>
      </c>
      <c r="H169" s="3">
        <v>0.2</v>
      </c>
      <c r="I169" s="3" t="s">
        <v>310</v>
      </c>
      <c r="J169" s="3" t="s">
        <v>311</v>
      </c>
      <c r="K169" s="3" t="s">
        <v>312</v>
      </c>
      <c r="L169" s="3" t="s">
        <v>202</v>
      </c>
      <c r="M169" s="3">
        <v>97827</v>
      </c>
      <c r="N169" s="3" t="s">
        <v>86</v>
      </c>
      <c r="O169" s="2"/>
      <c r="P169" t="str">
        <f t="shared" si="11"/>
        <v>City Center Plaza 516 Main St.</v>
      </c>
      <c r="Q169" t="str">
        <f t="shared" si="15"/>
        <v>Elgin</v>
      </c>
      <c r="R169" t="str">
        <f t="shared" si="12"/>
        <v>OR</v>
      </c>
      <c r="S169">
        <f t="shared" si="13"/>
        <v>97827</v>
      </c>
      <c r="T169" t="str">
        <f t="shared" si="14"/>
        <v>USA</v>
      </c>
    </row>
    <row r="170" spans="1:20" x14ac:dyDescent="0.2">
      <c r="A170" s="1">
        <v>10416</v>
      </c>
      <c r="B170" s="3" t="s">
        <v>97</v>
      </c>
      <c r="C170" s="3">
        <v>8</v>
      </c>
      <c r="D170" s="4">
        <v>35446</v>
      </c>
      <c r="E170" s="4">
        <v>35474</v>
      </c>
      <c r="F170" s="4">
        <v>35457</v>
      </c>
      <c r="G170" s="3">
        <v>3</v>
      </c>
      <c r="H170" s="3">
        <v>22.72</v>
      </c>
      <c r="I170" s="3" t="s">
        <v>98</v>
      </c>
      <c r="J170" s="3" t="s">
        <v>99</v>
      </c>
      <c r="K170" s="3" t="s">
        <v>100</v>
      </c>
      <c r="L170" s="3" t="s">
        <v>18</v>
      </c>
      <c r="M170" s="3">
        <v>90110</v>
      </c>
      <c r="N170" s="3" t="s">
        <v>101</v>
      </c>
      <c r="O170" s="2"/>
      <c r="P170" t="str">
        <f t="shared" si="11"/>
        <v>Torikatu 38</v>
      </c>
      <c r="Q170" t="str">
        <f t="shared" si="15"/>
        <v>Oulu</v>
      </c>
      <c r="R170" t="str">
        <f t="shared" si="12"/>
        <v>NULL</v>
      </c>
      <c r="S170">
        <f t="shared" si="13"/>
        <v>90110</v>
      </c>
      <c r="T170" t="str">
        <f t="shared" si="14"/>
        <v>Finland</v>
      </c>
    </row>
    <row r="171" spans="1:20" x14ac:dyDescent="0.2">
      <c r="A171" s="1">
        <v>10417</v>
      </c>
      <c r="B171" s="3" t="s">
        <v>253</v>
      </c>
      <c r="C171" s="3">
        <v>4</v>
      </c>
      <c r="D171" s="4">
        <v>35446</v>
      </c>
      <c r="E171" s="4">
        <v>35474</v>
      </c>
      <c r="F171" s="4">
        <v>35458</v>
      </c>
      <c r="G171" s="3">
        <v>3</v>
      </c>
      <c r="H171" s="3">
        <v>70.290000000000006</v>
      </c>
      <c r="I171" s="3" t="s">
        <v>254</v>
      </c>
      <c r="J171" s="3" t="s">
        <v>255</v>
      </c>
      <c r="K171" s="3" t="s">
        <v>256</v>
      </c>
      <c r="L171" s="3" t="s">
        <v>18</v>
      </c>
      <c r="M171" s="3">
        <v>1734</v>
      </c>
      <c r="N171" s="3" t="s">
        <v>257</v>
      </c>
      <c r="O171" s="2"/>
      <c r="P171" t="str">
        <f t="shared" si="11"/>
        <v>Vinbæltet 34</v>
      </c>
      <c r="Q171" t="str">
        <f t="shared" si="15"/>
        <v>Kobenhavn</v>
      </c>
      <c r="R171" t="str">
        <f t="shared" si="12"/>
        <v>NULL</v>
      </c>
      <c r="S171">
        <f t="shared" si="13"/>
        <v>1734</v>
      </c>
      <c r="T171" t="str">
        <f t="shared" si="14"/>
        <v>Denmark</v>
      </c>
    </row>
    <row r="172" spans="1:20" x14ac:dyDescent="0.2">
      <c r="A172" s="1">
        <v>10418</v>
      </c>
      <c r="B172" s="3" t="s">
        <v>121</v>
      </c>
      <c r="C172" s="3">
        <v>4</v>
      </c>
      <c r="D172" s="4">
        <v>35447</v>
      </c>
      <c r="E172" s="4">
        <v>35475</v>
      </c>
      <c r="F172" s="4">
        <v>35454</v>
      </c>
      <c r="G172" s="3">
        <v>1</v>
      </c>
      <c r="H172" s="3">
        <v>17.55</v>
      </c>
      <c r="I172" s="3" t="s">
        <v>122</v>
      </c>
      <c r="J172" s="3" t="s">
        <v>123</v>
      </c>
      <c r="K172" s="3" t="s">
        <v>124</v>
      </c>
      <c r="L172" s="3" t="s">
        <v>18</v>
      </c>
      <c r="M172" s="3">
        <v>1307</v>
      </c>
      <c r="N172" s="3" t="s">
        <v>24</v>
      </c>
      <c r="O172" s="2"/>
      <c r="P172" t="str">
        <f t="shared" si="11"/>
        <v>Taucherstraße 10</v>
      </c>
      <c r="Q172" t="str">
        <f t="shared" si="15"/>
        <v>Cunewalde</v>
      </c>
      <c r="R172" t="str">
        <f t="shared" si="12"/>
        <v>NULL</v>
      </c>
      <c r="S172">
        <f t="shared" si="13"/>
        <v>1307</v>
      </c>
      <c r="T172" t="str">
        <f t="shared" si="14"/>
        <v>Germany</v>
      </c>
    </row>
    <row r="173" spans="1:20" x14ac:dyDescent="0.2">
      <c r="A173" s="1">
        <v>10419</v>
      </c>
      <c r="B173" s="3" t="s">
        <v>47</v>
      </c>
      <c r="C173" s="3">
        <v>4</v>
      </c>
      <c r="D173" s="4">
        <v>35450</v>
      </c>
      <c r="E173" s="4">
        <v>35478</v>
      </c>
      <c r="F173" s="4">
        <v>35460</v>
      </c>
      <c r="G173" s="3">
        <v>2</v>
      </c>
      <c r="H173" s="3">
        <v>137.35</v>
      </c>
      <c r="I173" s="3" t="s">
        <v>48</v>
      </c>
      <c r="J173" s="3" t="s">
        <v>49</v>
      </c>
      <c r="K173" s="3" t="s">
        <v>50</v>
      </c>
      <c r="L173" s="3" t="s">
        <v>18</v>
      </c>
      <c r="M173" s="3">
        <v>1204</v>
      </c>
      <c r="N173" s="3" t="s">
        <v>46</v>
      </c>
      <c r="O173" s="2"/>
      <c r="P173" t="str">
        <f t="shared" si="11"/>
        <v>Starenweg 5</v>
      </c>
      <c r="Q173" t="str">
        <f t="shared" si="15"/>
        <v>Genève</v>
      </c>
      <c r="R173" t="str">
        <f t="shared" si="12"/>
        <v>NULL</v>
      </c>
      <c r="S173">
        <f t="shared" si="13"/>
        <v>1204</v>
      </c>
      <c r="T173" t="str">
        <f t="shared" si="14"/>
        <v>Switzerland</v>
      </c>
    </row>
    <row r="174" spans="1:20" x14ac:dyDescent="0.2">
      <c r="A174" s="1">
        <v>10420</v>
      </c>
      <c r="B174" s="3" t="s">
        <v>51</v>
      </c>
      <c r="C174" s="3">
        <v>3</v>
      </c>
      <c r="D174" s="4">
        <v>35451</v>
      </c>
      <c r="E174" s="4">
        <v>35479</v>
      </c>
      <c r="F174" s="4">
        <v>35457</v>
      </c>
      <c r="G174" s="3">
        <v>1</v>
      </c>
      <c r="H174" s="3">
        <v>44.12</v>
      </c>
      <c r="I174" s="3" t="s">
        <v>52</v>
      </c>
      <c r="J174" s="3" t="s">
        <v>53</v>
      </c>
      <c r="K174" s="3">
        <v>12</v>
      </c>
      <c r="L174" s="3" t="s">
        <v>54</v>
      </c>
      <c r="M174" s="3" t="s">
        <v>55</v>
      </c>
      <c r="N174" s="3" t="s">
        <v>56</v>
      </c>
      <c r="O174" s="3" t="s">
        <v>31</v>
      </c>
      <c r="P174" t="str">
        <f t="shared" si="11"/>
        <v>Rua do Mercado 12</v>
      </c>
      <c r="Q174" t="str">
        <f t="shared" si="15"/>
        <v>Resende</v>
      </c>
      <c r="R174" t="str">
        <f t="shared" si="12"/>
        <v>SP</v>
      </c>
      <c r="S174" t="str">
        <f t="shared" si="13"/>
        <v>08737-363</v>
      </c>
      <c r="T174" t="str">
        <f t="shared" si="14"/>
        <v>Brazil</v>
      </c>
    </row>
    <row r="175" spans="1:20" x14ac:dyDescent="0.2">
      <c r="A175" s="1">
        <v>10421</v>
      </c>
      <c r="B175" s="3" t="s">
        <v>77</v>
      </c>
      <c r="C175" s="3">
        <v>8</v>
      </c>
      <c r="D175" s="4">
        <v>35451</v>
      </c>
      <c r="E175" s="4">
        <v>35493</v>
      </c>
      <c r="F175" s="4">
        <v>35457</v>
      </c>
      <c r="G175" s="3">
        <v>1</v>
      </c>
      <c r="H175" s="3">
        <v>99.23</v>
      </c>
      <c r="I175" s="3" t="s">
        <v>78</v>
      </c>
      <c r="J175" s="3" t="s">
        <v>79</v>
      </c>
      <c r="K175" s="3">
        <v>12</v>
      </c>
      <c r="L175" s="3" t="s">
        <v>28</v>
      </c>
      <c r="M175" s="3" t="s">
        <v>29</v>
      </c>
      <c r="N175" s="3" t="s">
        <v>80</v>
      </c>
      <c r="O175" s="3" t="s">
        <v>31</v>
      </c>
      <c r="P175" t="str">
        <f t="shared" si="11"/>
        <v>Rua da Panificadora 12</v>
      </c>
      <c r="Q175" t="str">
        <f t="shared" si="15"/>
        <v>Rio de Janeiro</v>
      </c>
      <c r="R175" t="str">
        <f t="shared" si="12"/>
        <v>RJ</v>
      </c>
      <c r="S175" t="str">
        <f t="shared" si="13"/>
        <v>02389-673</v>
      </c>
      <c r="T175" t="str">
        <f t="shared" si="14"/>
        <v>Brazil</v>
      </c>
    </row>
    <row r="176" spans="1:20" x14ac:dyDescent="0.2">
      <c r="A176" s="1">
        <v>10422</v>
      </c>
      <c r="B176" s="3" t="s">
        <v>338</v>
      </c>
      <c r="C176" s="3">
        <v>2</v>
      </c>
      <c r="D176" s="4">
        <v>35452</v>
      </c>
      <c r="E176" s="4">
        <v>35480</v>
      </c>
      <c r="F176" s="4">
        <v>35461</v>
      </c>
      <c r="G176" s="3">
        <v>1</v>
      </c>
      <c r="H176" s="3">
        <v>3.02</v>
      </c>
      <c r="I176" s="3" t="s">
        <v>339</v>
      </c>
      <c r="J176" s="3" t="s">
        <v>340</v>
      </c>
      <c r="K176" s="3" t="s">
        <v>341</v>
      </c>
      <c r="L176" s="3" t="s">
        <v>18</v>
      </c>
      <c r="M176" s="3">
        <v>10100</v>
      </c>
      <c r="N176" s="3" t="s">
        <v>129</v>
      </c>
      <c r="O176" s="2"/>
      <c r="P176" t="str">
        <f t="shared" si="11"/>
        <v>Via Monte Bianco 34</v>
      </c>
      <c r="Q176" t="str">
        <f t="shared" si="15"/>
        <v>Torino</v>
      </c>
      <c r="R176" t="str">
        <f t="shared" si="12"/>
        <v>NULL</v>
      </c>
      <c r="S176">
        <f t="shared" si="13"/>
        <v>10100</v>
      </c>
      <c r="T176" t="str">
        <f t="shared" si="14"/>
        <v>Italy</v>
      </c>
    </row>
    <row r="177" spans="1:20" x14ac:dyDescent="0.2">
      <c r="A177" s="1">
        <v>10423</v>
      </c>
      <c r="B177" s="3" t="s">
        <v>342</v>
      </c>
      <c r="C177" s="3">
        <v>6</v>
      </c>
      <c r="D177" s="4">
        <v>35453</v>
      </c>
      <c r="E177" s="4">
        <v>35467</v>
      </c>
      <c r="F177" s="4">
        <v>35485</v>
      </c>
      <c r="G177" s="3">
        <v>3</v>
      </c>
      <c r="H177" s="3">
        <v>24.5</v>
      </c>
      <c r="I177" s="3" t="s">
        <v>343</v>
      </c>
      <c r="J177" s="3" t="s">
        <v>344</v>
      </c>
      <c r="K177" s="3">
        <v>442</v>
      </c>
      <c r="L177" s="3" t="s">
        <v>345</v>
      </c>
      <c r="M177" s="3" t="s">
        <v>55</v>
      </c>
      <c r="N177" s="3" t="s">
        <v>346</v>
      </c>
      <c r="O177" s="3" t="s">
        <v>31</v>
      </c>
      <c r="P177" t="str">
        <f t="shared" si="11"/>
        <v>Av. Brasil 442</v>
      </c>
      <c r="Q177" t="str">
        <f t="shared" si="15"/>
        <v>Campinas</v>
      </c>
      <c r="R177" t="str">
        <f t="shared" si="12"/>
        <v>SP</v>
      </c>
      <c r="S177" t="str">
        <f t="shared" si="13"/>
        <v>04876-786</v>
      </c>
      <c r="T177" t="str">
        <f t="shared" si="14"/>
        <v>Brazil</v>
      </c>
    </row>
    <row r="178" spans="1:20" x14ac:dyDescent="0.2">
      <c r="A178" s="1">
        <v>10424</v>
      </c>
      <c r="B178" s="3" t="s">
        <v>243</v>
      </c>
      <c r="C178" s="3">
        <v>7</v>
      </c>
      <c r="D178" s="4">
        <v>35453</v>
      </c>
      <c r="E178" s="4">
        <v>35481</v>
      </c>
      <c r="F178" s="4">
        <v>35457</v>
      </c>
      <c r="G178" s="3">
        <v>2</v>
      </c>
      <c r="H178" s="3">
        <v>370.61</v>
      </c>
      <c r="I178" s="3" t="s">
        <v>244</v>
      </c>
      <c r="J178" s="3" t="s">
        <v>245</v>
      </c>
      <c r="K178" s="3" t="s">
        <v>246</v>
      </c>
      <c r="L178" s="3" t="s">
        <v>247</v>
      </c>
      <c r="M178" s="3" t="s">
        <v>248</v>
      </c>
      <c r="N178" s="3" t="s">
        <v>249</v>
      </c>
      <c r="O178" s="2"/>
      <c r="P178" t="str">
        <f t="shared" si="11"/>
        <v>43 rue St. Laurent</v>
      </c>
      <c r="Q178" t="str">
        <f t="shared" si="15"/>
        <v>Montréal</v>
      </c>
      <c r="R178" t="str">
        <f t="shared" si="12"/>
        <v>Québec</v>
      </c>
      <c r="S178" t="str">
        <f t="shared" si="13"/>
        <v>H1J 1C3</v>
      </c>
      <c r="T178" t="str">
        <f t="shared" si="14"/>
        <v>Canada</v>
      </c>
    </row>
    <row r="179" spans="1:20" x14ac:dyDescent="0.2">
      <c r="A179" s="1">
        <v>10425</v>
      </c>
      <c r="B179" s="3" t="s">
        <v>262</v>
      </c>
      <c r="C179" s="3">
        <v>6</v>
      </c>
      <c r="D179" s="4">
        <v>35454</v>
      </c>
      <c r="E179" s="4">
        <v>35482</v>
      </c>
      <c r="F179" s="4">
        <v>35475</v>
      </c>
      <c r="G179" s="3">
        <v>2</v>
      </c>
      <c r="H179" s="3">
        <v>7.93</v>
      </c>
      <c r="I179" s="3" t="s">
        <v>263</v>
      </c>
      <c r="J179" s="3" t="s">
        <v>264</v>
      </c>
      <c r="K179" s="3" t="s">
        <v>265</v>
      </c>
      <c r="L179" s="3" t="s">
        <v>18</v>
      </c>
      <c r="M179" s="3">
        <v>31000</v>
      </c>
      <c r="N179" s="3" t="s">
        <v>19</v>
      </c>
      <c r="O179" s="2"/>
      <c r="P179" t="str">
        <f t="shared" si="11"/>
        <v>1 rue Alsace-Lorraine</v>
      </c>
      <c r="Q179" t="str">
        <f t="shared" si="15"/>
        <v>Toulouse</v>
      </c>
      <c r="R179" t="str">
        <f t="shared" si="12"/>
        <v>NULL</v>
      </c>
      <c r="S179">
        <f t="shared" si="13"/>
        <v>31000</v>
      </c>
      <c r="T179" t="str">
        <f t="shared" si="14"/>
        <v>France</v>
      </c>
    </row>
    <row r="180" spans="1:20" x14ac:dyDescent="0.2">
      <c r="A180" s="1">
        <v>10426</v>
      </c>
      <c r="B180" s="3" t="s">
        <v>291</v>
      </c>
      <c r="C180" s="3">
        <v>4</v>
      </c>
      <c r="D180" s="4">
        <v>35457</v>
      </c>
      <c r="E180" s="4">
        <v>35485</v>
      </c>
      <c r="F180" s="4">
        <v>35467</v>
      </c>
      <c r="G180" s="3">
        <v>1</v>
      </c>
      <c r="H180" s="3">
        <v>18.690000000000001</v>
      </c>
      <c r="I180" s="3" t="s">
        <v>292</v>
      </c>
      <c r="J180" s="3" t="s">
        <v>293</v>
      </c>
      <c r="K180" s="3">
        <v>23</v>
      </c>
      <c r="L180" s="3" t="s">
        <v>294</v>
      </c>
      <c r="M180" s="3" t="s">
        <v>18</v>
      </c>
      <c r="N180" s="3">
        <v>8022</v>
      </c>
      <c r="O180" s="3" t="s">
        <v>150</v>
      </c>
      <c r="P180" t="str">
        <f t="shared" si="11"/>
        <v>Rambla de Cataluña 23</v>
      </c>
      <c r="Q180" t="str">
        <f t="shared" si="15"/>
        <v>Barcelona</v>
      </c>
      <c r="R180" t="str">
        <f t="shared" si="12"/>
        <v>NULL</v>
      </c>
      <c r="S180">
        <f t="shared" si="13"/>
        <v>8022</v>
      </c>
      <c r="T180" t="str">
        <f t="shared" si="14"/>
        <v>Spain</v>
      </c>
    </row>
    <row r="181" spans="1:20" x14ac:dyDescent="0.2">
      <c r="A181" s="1">
        <v>10427</v>
      </c>
      <c r="B181" s="3" t="s">
        <v>266</v>
      </c>
      <c r="C181" s="3">
        <v>4</v>
      </c>
      <c r="D181" s="4">
        <v>35457</v>
      </c>
      <c r="E181" s="4">
        <v>35485</v>
      </c>
      <c r="F181" s="4">
        <v>35492</v>
      </c>
      <c r="G181" s="3">
        <v>2</v>
      </c>
      <c r="H181" s="3">
        <v>31.29</v>
      </c>
      <c r="I181" s="3" t="s">
        <v>267</v>
      </c>
      <c r="J181" s="3" t="s">
        <v>268</v>
      </c>
      <c r="K181" s="3" t="s">
        <v>269</v>
      </c>
      <c r="L181" s="3" t="s">
        <v>18</v>
      </c>
      <c r="M181" s="3">
        <v>5020</v>
      </c>
      <c r="N181" s="3" t="s">
        <v>67</v>
      </c>
      <c r="O181" s="2"/>
      <c r="P181" t="str">
        <f t="shared" si="11"/>
        <v>Geislweg 14</v>
      </c>
      <c r="Q181" t="str">
        <f t="shared" si="15"/>
        <v>Salzburg</v>
      </c>
      <c r="R181" t="str">
        <f t="shared" si="12"/>
        <v>NULL</v>
      </c>
      <c r="S181">
        <f t="shared" si="13"/>
        <v>5020</v>
      </c>
      <c r="T181" t="str">
        <f t="shared" si="14"/>
        <v>Austria</v>
      </c>
    </row>
    <row r="182" spans="1:20" x14ac:dyDescent="0.2">
      <c r="A182" s="1">
        <v>10428</v>
      </c>
      <c r="B182" s="3" t="s">
        <v>160</v>
      </c>
      <c r="C182" s="3">
        <v>7</v>
      </c>
      <c r="D182" s="4">
        <v>35458</v>
      </c>
      <c r="E182" s="4">
        <v>35486</v>
      </c>
      <c r="F182" s="4">
        <v>35465</v>
      </c>
      <c r="G182" s="3">
        <v>1</v>
      </c>
      <c r="H182" s="3">
        <v>11.09</v>
      </c>
      <c r="I182" s="3" t="s">
        <v>161</v>
      </c>
      <c r="J182" s="3" t="s">
        <v>162</v>
      </c>
      <c r="K182" s="3" t="s">
        <v>163</v>
      </c>
      <c r="L182" s="3" t="s">
        <v>18</v>
      </c>
      <c r="M182" s="3">
        <v>42100</v>
      </c>
      <c r="N182" s="3" t="s">
        <v>129</v>
      </c>
      <c r="O182" s="2"/>
      <c r="P182" t="str">
        <f t="shared" si="11"/>
        <v>Strada Provinciale 124</v>
      </c>
      <c r="Q182" t="str">
        <f t="shared" si="15"/>
        <v>Reggio Emilia</v>
      </c>
      <c r="R182" t="str">
        <f t="shared" si="12"/>
        <v>NULL</v>
      </c>
      <c r="S182">
        <f t="shared" si="13"/>
        <v>42100</v>
      </c>
      <c r="T182" t="str">
        <f t="shared" si="14"/>
        <v>Italy</v>
      </c>
    </row>
    <row r="183" spans="1:20" x14ac:dyDescent="0.2">
      <c r="A183" s="1">
        <v>10429</v>
      </c>
      <c r="B183" s="3" t="s">
        <v>179</v>
      </c>
      <c r="C183" s="3">
        <v>3</v>
      </c>
      <c r="D183" s="4">
        <v>35459</v>
      </c>
      <c r="E183" s="4">
        <v>35501</v>
      </c>
      <c r="F183" s="4">
        <v>35468</v>
      </c>
      <c r="G183" s="3">
        <v>2</v>
      </c>
      <c r="H183" s="3">
        <v>56.63</v>
      </c>
      <c r="I183" s="3" t="s">
        <v>180</v>
      </c>
      <c r="J183" s="3" t="s">
        <v>181</v>
      </c>
      <c r="K183" s="3" t="s">
        <v>182</v>
      </c>
      <c r="L183" s="3" t="s">
        <v>183</v>
      </c>
      <c r="M183" s="3" t="s">
        <v>18</v>
      </c>
      <c r="N183" s="3" t="s">
        <v>184</v>
      </c>
      <c r="O183" s="2"/>
      <c r="P183" t="str">
        <f t="shared" si="11"/>
        <v>8 Johnstown Road</v>
      </c>
      <c r="Q183" t="str">
        <f t="shared" si="15"/>
        <v>Cork</v>
      </c>
      <c r="R183" t="str">
        <f t="shared" si="12"/>
        <v>Co. Cork</v>
      </c>
      <c r="S183" t="str">
        <f t="shared" si="13"/>
        <v>NULL</v>
      </c>
      <c r="T183" t="str">
        <f t="shared" si="14"/>
        <v>Ireland</v>
      </c>
    </row>
    <row r="184" spans="1:20" x14ac:dyDescent="0.2">
      <c r="A184" s="1">
        <v>10430</v>
      </c>
      <c r="B184" s="3" t="s">
        <v>63</v>
      </c>
      <c r="C184" s="3">
        <v>4</v>
      </c>
      <c r="D184" s="4">
        <v>35460</v>
      </c>
      <c r="E184" s="4">
        <v>35474</v>
      </c>
      <c r="F184" s="4">
        <v>35464</v>
      </c>
      <c r="G184" s="3">
        <v>1</v>
      </c>
      <c r="H184" s="3">
        <v>458.78</v>
      </c>
      <c r="I184" s="3" t="s">
        <v>64</v>
      </c>
      <c r="J184" s="3" t="s">
        <v>65</v>
      </c>
      <c r="K184" s="3" t="s">
        <v>66</v>
      </c>
      <c r="L184" s="3" t="s">
        <v>18</v>
      </c>
      <c r="M184" s="3">
        <v>8010</v>
      </c>
      <c r="N184" s="3" t="s">
        <v>67</v>
      </c>
      <c r="O184" s="2"/>
      <c r="P184" t="str">
        <f t="shared" si="11"/>
        <v>Kirchgasse 6</v>
      </c>
      <c r="Q184" t="str">
        <f t="shared" si="15"/>
        <v>Graz</v>
      </c>
      <c r="R184" t="str">
        <f t="shared" si="12"/>
        <v>NULL</v>
      </c>
      <c r="S184">
        <f t="shared" si="13"/>
        <v>8010</v>
      </c>
      <c r="T184" t="str">
        <f t="shared" si="14"/>
        <v>Austria</v>
      </c>
    </row>
    <row r="185" spans="1:20" x14ac:dyDescent="0.2">
      <c r="A185" s="1">
        <v>10431</v>
      </c>
      <c r="B185" s="3" t="s">
        <v>318</v>
      </c>
      <c r="C185" s="3">
        <v>4</v>
      </c>
      <c r="D185" s="4">
        <v>35460</v>
      </c>
      <c r="E185" s="4">
        <v>35474</v>
      </c>
      <c r="F185" s="4">
        <v>35468</v>
      </c>
      <c r="G185" s="3">
        <v>2</v>
      </c>
      <c r="H185" s="3">
        <v>44.17</v>
      </c>
      <c r="I185" s="3" t="s">
        <v>319</v>
      </c>
      <c r="J185" s="3" t="s">
        <v>320</v>
      </c>
      <c r="K185" s="3" t="s">
        <v>321</v>
      </c>
      <c r="L185" s="3" t="s">
        <v>322</v>
      </c>
      <c r="M185" s="3" t="s">
        <v>323</v>
      </c>
      <c r="N185" s="3" t="s">
        <v>249</v>
      </c>
      <c r="O185" s="2"/>
      <c r="P185" t="str">
        <f t="shared" si="11"/>
        <v>23 Tsawassen Blvd.</v>
      </c>
      <c r="Q185" t="str">
        <f t="shared" si="15"/>
        <v>Tsawassen</v>
      </c>
      <c r="R185" t="str">
        <f t="shared" si="12"/>
        <v>BC</v>
      </c>
      <c r="S185" t="str">
        <f t="shared" si="13"/>
        <v>T2F 8M4</v>
      </c>
      <c r="T185" t="str">
        <f t="shared" si="14"/>
        <v>Canada</v>
      </c>
    </row>
    <row r="186" spans="1:20" x14ac:dyDescent="0.2">
      <c r="A186" s="1">
        <v>10432</v>
      </c>
      <c r="B186" s="3" t="s">
        <v>116</v>
      </c>
      <c r="C186" s="3">
        <v>3</v>
      </c>
      <c r="D186" s="4">
        <v>35461</v>
      </c>
      <c r="E186" s="4">
        <v>35475</v>
      </c>
      <c r="F186" s="4">
        <v>35468</v>
      </c>
      <c r="G186" s="3">
        <v>2</v>
      </c>
      <c r="H186" s="3">
        <v>4.34</v>
      </c>
      <c r="I186" s="3" t="s">
        <v>117</v>
      </c>
      <c r="J186" s="3" t="s">
        <v>118</v>
      </c>
      <c r="K186" s="3" t="s">
        <v>119</v>
      </c>
      <c r="L186" s="3" t="s">
        <v>120</v>
      </c>
      <c r="M186" s="3">
        <v>82520</v>
      </c>
      <c r="N186" s="3" t="s">
        <v>86</v>
      </c>
      <c r="O186" s="2"/>
      <c r="P186" t="str">
        <f t="shared" si="11"/>
        <v>P.O. Box 555</v>
      </c>
      <c r="Q186" t="str">
        <f t="shared" si="15"/>
        <v>Lander</v>
      </c>
      <c r="R186" t="str">
        <f t="shared" si="12"/>
        <v>WY</v>
      </c>
      <c r="S186">
        <f t="shared" si="13"/>
        <v>82520</v>
      </c>
      <c r="T186" t="str">
        <f t="shared" si="14"/>
        <v>USA</v>
      </c>
    </row>
    <row r="187" spans="1:20" x14ac:dyDescent="0.2">
      <c r="A187" s="1">
        <v>10433</v>
      </c>
      <c r="B187" s="3" t="s">
        <v>250</v>
      </c>
      <c r="C187" s="3">
        <v>3</v>
      </c>
      <c r="D187" s="4">
        <v>35464</v>
      </c>
      <c r="E187" s="4">
        <v>35492</v>
      </c>
      <c r="F187" s="4">
        <v>35493</v>
      </c>
      <c r="G187" s="3">
        <v>3</v>
      </c>
      <c r="H187" s="3">
        <v>73.83</v>
      </c>
      <c r="I187" s="3" t="s">
        <v>251</v>
      </c>
      <c r="J187" s="3" t="s">
        <v>252</v>
      </c>
      <c r="K187" s="3" t="s">
        <v>237</v>
      </c>
      <c r="L187" s="3" t="s">
        <v>18</v>
      </c>
      <c r="M187" s="3">
        <v>1756</v>
      </c>
      <c r="N187" s="3" t="s">
        <v>238</v>
      </c>
      <c r="O187" s="2"/>
      <c r="P187" t="str">
        <f t="shared" si="11"/>
        <v>Estrada da saúde n. 58</v>
      </c>
      <c r="Q187" t="str">
        <f t="shared" si="15"/>
        <v>Lisboa</v>
      </c>
      <c r="R187" t="str">
        <f t="shared" si="12"/>
        <v>NULL</v>
      </c>
      <c r="S187">
        <f t="shared" si="13"/>
        <v>1756</v>
      </c>
      <c r="T187" t="str">
        <f t="shared" si="14"/>
        <v>Portugal</v>
      </c>
    </row>
    <row r="188" spans="1:20" x14ac:dyDescent="0.2">
      <c r="A188" s="1">
        <v>10434</v>
      </c>
      <c r="B188" s="3" t="s">
        <v>87</v>
      </c>
      <c r="C188" s="3">
        <v>3</v>
      </c>
      <c r="D188" s="4">
        <v>35464</v>
      </c>
      <c r="E188" s="4">
        <v>35492</v>
      </c>
      <c r="F188" s="4">
        <v>35474</v>
      </c>
      <c r="G188" s="3">
        <v>2</v>
      </c>
      <c r="H188" s="3">
        <v>17.920000000000002</v>
      </c>
      <c r="I188" s="3" t="s">
        <v>88</v>
      </c>
      <c r="J188" s="3" t="s">
        <v>89</v>
      </c>
      <c r="K188" s="3" t="s">
        <v>90</v>
      </c>
      <c r="L188" s="3" t="s">
        <v>18</v>
      </c>
      <c r="M188" s="3" t="s">
        <v>91</v>
      </c>
      <c r="N188" s="3" t="s">
        <v>92</v>
      </c>
      <c r="O188" s="2"/>
      <c r="P188" t="str">
        <f t="shared" si="11"/>
        <v>Åkergatan 24</v>
      </c>
      <c r="Q188" t="str">
        <f t="shared" si="15"/>
        <v>Bräcke</v>
      </c>
      <c r="R188" t="str">
        <f t="shared" si="12"/>
        <v>NULL</v>
      </c>
      <c r="S188" t="str">
        <f t="shared" si="13"/>
        <v>S-844 67</v>
      </c>
      <c r="T188" t="str">
        <f t="shared" si="14"/>
        <v>Sweden</v>
      </c>
    </row>
    <row r="189" spans="1:20" x14ac:dyDescent="0.2">
      <c r="A189" s="1">
        <v>10435</v>
      </c>
      <c r="B189" s="3" t="s">
        <v>347</v>
      </c>
      <c r="C189" s="3">
        <v>8</v>
      </c>
      <c r="D189" s="4">
        <v>35465</v>
      </c>
      <c r="E189" s="4">
        <v>35507</v>
      </c>
      <c r="F189" s="4">
        <v>35468</v>
      </c>
      <c r="G189" s="3">
        <v>2</v>
      </c>
      <c r="H189" s="3">
        <v>9.2100000000000009</v>
      </c>
      <c r="I189" s="3" t="s">
        <v>348</v>
      </c>
      <c r="J189" s="3" t="s">
        <v>349</v>
      </c>
      <c r="K189" s="3" t="s">
        <v>167</v>
      </c>
      <c r="L189" s="3" t="s">
        <v>18</v>
      </c>
      <c r="M189" s="3" t="s">
        <v>350</v>
      </c>
      <c r="N189" s="3" t="s">
        <v>169</v>
      </c>
      <c r="O189" s="2"/>
      <c r="P189" t="str">
        <f t="shared" si="11"/>
        <v>Berkeley Gardens 12  Brewery</v>
      </c>
      <c r="Q189" t="str">
        <f t="shared" si="15"/>
        <v>London</v>
      </c>
      <c r="R189" t="str">
        <f t="shared" si="12"/>
        <v>NULL</v>
      </c>
      <c r="S189" t="str">
        <f t="shared" si="13"/>
        <v>WX1 6LT</v>
      </c>
      <c r="T189" t="str">
        <f t="shared" si="14"/>
        <v>UK</v>
      </c>
    </row>
    <row r="190" spans="1:20" x14ac:dyDescent="0.2">
      <c r="A190" s="1">
        <v>10436</v>
      </c>
      <c r="B190" s="3" t="s">
        <v>93</v>
      </c>
      <c r="C190" s="3">
        <v>3</v>
      </c>
      <c r="D190" s="4">
        <v>35466</v>
      </c>
      <c r="E190" s="4">
        <v>35494</v>
      </c>
      <c r="F190" s="4">
        <v>35472</v>
      </c>
      <c r="G190" s="3">
        <v>2</v>
      </c>
      <c r="H190" s="3">
        <v>156.66</v>
      </c>
      <c r="I190" s="3" t="s">
        <v>94</v>
      </c>
      <c r="J190" s="3">
        <v>24</v>
      </c>
      <c r="K190" s="3" t="s">
        <v>95</v>
      </c>
      <c r="L190" s="3" t="s">
        <v>96</v>
      </c>
      <c r="M190" s="3" t="s">
        <v>18</v>
      </c>
      <c r="N190" s="3">
        <v>67000</v>
      </c>
      <c r="O190" s="3" t="s">
        <v>19</v>
      </c>
      <c r="P190" t="str">
        <f t="shared" si="11"/>
        <v>24  place Kléber</v>
      </c>
      <c r="Q190" t="str">
        <f t="shared" si="15"/>
        <v>Strasbourg</v>
      </c>
      <c r="R190" t="str">
        <f t="shared" si="12"/>
        <v>NULL</v>
      </c>
      <c r="S190">
        <f t="shared" si="13"/>
        <v>67000</v>
      </c>
      <c r="T190" t="str">
        <f t="shared" si="14"/>
        <v>France</v>
      </c>
    </row>
    <row r="191" spans="1:20" x14ac:dyDescent="0.2">
      <c r="A191" s="1">
        <v>10437</v>
      </c>
      <c r="B191" s="3" t="s">
        <v>97</v>
      </c>
      <c r="C191" s="3">
        <v>8</v>
      </c>
      <c r="D191" s="4">
        <v>35466</v>
      </c>
      <c r="E191" s="4">
        <v>35494</v>
      </c>
      <c r="F191" s="4">
        <v>35473</v>
      </c>
      <c r="G191" s="3">
        <v>1</v>
      </c>
      <c r="H191" s="3">
        <v>19.97</v>
      </c>
      <c r="I191" s="3" t="s">
        <v>98</v>
      </c>
      <c r="J191" s="3" t="s">
        <v>99</v>
      </c>
      <c r="K191" s="3" t="s">
        <v>100</v>
      </c>
      <c r="L191" s="3" t="s">
        <v>18</v>
      </c>
      <c r="M191" s="3">
        <v>90110</v>
      </c>
      <c r="N191" s="3" t="s">
        <v>101</v>
      </c>
      <c r="O191" s="2"/>
      <c r="P191" t="str">
        <f t="shared" si="11"/>
        <v>Torikatu 38</v>
      </c>
      <c r="Q191" t="str">
        <f t="shared" si="15"/>
        <v>Oulu</v>
      </c>
      <c r="R191" t="str">
        <f t="shared" si="12"/>
        <v>NULL</v>
      </c>
      <c r="S191">
        <f t="shared" si="13"/>
        <v>90110</v>
      </c>
      <c r="T191" t="str">
        <f t="shared" si="14"/>
        <v>Finland</v>
      </c>
    </row>
    <row r="192" spans="1:20" x14ac:dyDescent="0.2">
      <c r="A192" s="1">
        <v>10438</v>
      </c>
      <c r="B192" s="3" t="s">
        <v>20</v>
      </c>
      <c r="C192" s="3">
        <v>3</v>
      </c>
      <c r="D192" s="4">
        <v>35467</v>
      </c>
      <c r="E192" s="4">
        <v>35495</v>
      </c>
      <c r="F192" s="4">
        <v>35475</v>
      </c>
      <c r="G192" s="3">
        <v>2</v>
      </c>
      <c r="H192" s="3">
        <v>8.24</v>
      </c>
      <c r="I192" s="3" t="s">
        <v>21</v>
      </c>
      <c r="J192" s="3" t="s">
        <v>22</v>
      </c>
      <c r="K192" s="3" t="s">
        <v>23</v>
      </c>
      <c r="L192" s="3" t="s">
        <v>18</v>
      </c>
      <c r="M192" s="3">
        <v>44087</v>
      </c>
      <c r="N192" s="3" t="s">
        <v>24</v>
      </c>
      <c r="O192" s="2"/>
      <c r="P192" t="str">
        <f t="shared" si="11"/>
        <v>Luisenstr. 48</v>
      </c>
      <c r="Q192" t="str">
        <f t="shared" si="15"/>
        <v>Münster</v>
      </c>
      <c r="R192" t="str">
        <f t="shared" si="12"/>
        <v>NULL</v>
      </c>
      <c r="S192">
        <f t="shared" si="13"/>
        <v>44087</v>
      </c>
      <c r="T192" t="str">
        <f t="shared" si="14"/>
        <v>Germany</v>
      </c>
    </row>
    <row r="193" spans="1:20" x14ac:dyDescent="0.2">
      <c r="A193" s="1">
        <v>10439</v>
      </c>
      <c r="B193" s="3" t="s">
        <v>243</v>
      </c>
      <c r="C193" s="3">
        <v>6</v>
      </c>
      <c r="D193" s="4">
        <v>35468</v>
      </c>
      <c r="E193" s="4">
        <v>35496</v>
      </c>
      <c r="F193" s="4">
        <v>35471</v>
      </c>
      <c r="G193" s="3">
        <v>3</v>
      </c>
      <c r="H193" s="3">
        <v>4.07</v>
      </c>
      <c r="I193" s="3" t="s">
        <v>244</v>
      </c>
      <c r="J193" s="3" t="s">
        <v>245</v>
      </c>
      <c r="K193" s="3" t="s">
        <v>246</v>
      </c>
      <c r="L193" s="3" t="s">
        <v>247</v>
      </c>
      <c r="M193" s="3" t="s">
        <v>248</v>
      </c>
      <c r="N193" s="3" t="s">
        <v>249</v>
      </c>
      <c r="O193" s="2"/>
      <c r="P193" t="str">
        <f t="shared" si="11"/>
        <v>43 rue St. Laurent</v>
      </c>
      <c r="Q193" t="str">
        <f t="shared" si="15"/>
        <v>Montréal</v>
      </c>
      <c r="R193" t="str">
        <f t="shared" si="12"/>
        <v>Québec</v>
      </c>
      <c r="S193" t="str">
        <f t="shared" si="13"/>
        <v>H1J 1C3</v>
      </c>
      <c r="T193" t="str">
        <f t="shared" si="14"/>
        <v>Canada</v>
      </c>
    </row>
    <row r="194" spans="1:20" x14ac:dyDescent="0.2">
      <c r="A194" s="1">
        <v>10440</v>
      </c>
      <c r="B194" s="3" t="s">
        <v>226</v>
      </c>
      <c r="C194" s="3">
        <v>4</v>
      </c>
      <c r="D194" s="4">
        <v>35471</v>
      </c>
      <c r="E194" s="4">
        <v>35499</v>
      </c>
      <c r="F194" s="4">
        <v>35489</v>
      </c>
      <c r="G194" s="3">
        <v>2</v>
      </c>
      <c r="H194" s="3">
        <v>86.53</v>
      </c>
      <c r="I194" s="3" t="s">
        <v>227</v>
      </c>
      <c r="J194" s="3" t="s">
        <v>228</v>
      </c>
      <c r="K194" s="3" t="s">
        <v>229</v>
      </c>
      <c r="L194" s="3" t="s">
        <v>230</v>
      </c>
      <c r="M194" s="3">
        <v>83720</v>
      </c>
      <c r="N194" s="3" t="s">
        <v>86</v>
      </c>
      <c r="O194" s="2"/>
      <c r="P194" t="str">
        <f t="shared" ref="P194:P257" si="16">IF(O194&lt;&gt;"",J194&amp;" "&amp;K194,J194)</f>
        <v>187 Suffolk Ln.</v>
      </c>
      <c r="Q194" t="str">
        <f t="shared" si="15"/>
        <v>Boise</v>
      </c>
      <c r="R194" t="str">
        <f t="shared" si="12"/>
        <v>ID</v>
      </c>
      <c r="S194">
        <f t="shared" si="13"/>
        <v>83720</v>
      </c>
      <c r="T194" t="str">
        <f t="shared" si="14"/>
        <v>USA</v>
      </c>
    </row>
    <row r="195" spans="1:20" x14ac:dyDescent="0.2">
      <c r="A195" s="1">
        <v>10441</v>
      </c>
      <c r="B195" s="3" t="s">
        <v>193</v>
      </c>
      <c r="C195" s="3">
        <v>3</v>
      </c>
      <c r="D195" s="4">
        <v>35471</v>
      </c>
      <c r="E195" s="4">
        <v>35513</v>
      </c>
      <c r="F195" s="4">
        <v>35503</v>
      </c>
      <c r="G195" s="3">
        <v>2</v>
      </c>
      <c r="H195" s="3">
        <v>73.02</v>
      </c>
      <c r="I195" s="3" t="s">
        <v>194</v>
      </c>
      <c r="J195" s="3" t="s">
        <v>195</v>
      </c>
      <c r="K195" s="3" t="s">
        <v>196</v>
      </c>
      <c r="L195" s="3" t="s">
        <v>197</v>
      </c>
      <c r="M195" s="3">
        <v>99508</v>
      </c>
      <c r="N195" s="3" t="s">
        <v>86</v>
      </c>
      <c r="O195" s="2"/>
      <c r="P195" t="str">
        <f t="shared" si="16"/>
        <v>2743 Bering St.</v>
      </c>
      <c r="Q195" t="str">
        <f t="shared" si="15"/>
        <v>Anchorage</v>
      </c>
      <c r="R195" t="str">
        <f t="shared" ref="R195:R258" si="17">IF(O195&lt;&gt;"",M195,L195)</f>
        <v>AK</v>
      </c>
      <c r="S195">
        <f t="shared" ref="S195:S258" si="18">IF(O195&lt;&gt;"",N195,M195)</f>
        <v>99508</v>
      </c>
      <c r="T195" t="str">
        <f t="shared" ref="T195:T258" si="19">IF(O195&lt;&gt;"",O195,N195)</f>
        <v>USA</v>
      </c>
    </row>
    <row r="196" spans="1:20" x14ac:dyDescent="0.2">
      <c r="A196" s="1">
        <v>10442</v>
      </c>
      <c r="B196" s="3" t="s">
        <v>63</v>
      </c>
      <c r="C196" s="3">
        <v>3</v>
      </c>
      <c r="D196" s="4">
        <v>35472</v>
      </c>
      <c r="E196" s="4">
        <v>35500</v>
      </c>
      <c r="F196" s="4">
        <v>35479</v>
      </c>
      <c r="G196" s="3">
        <v>2</v>
      </c>
      <c r="H196" s="3">
        <v>47.94</v>
      </c>
      <c r="I196" s="3" t="s">
        <v>64</v>
      </c>
      <c r="J196" s="3" t="s">
        <v>65</v>
      </c>
      <c r="K196" s="3" t="s">
        <v>66</v>
      </c>
      <c r="L196" s="3" t="s">
        <v>18</v>
      </c>
      <c r="M196" s="3">
        <v>8010</v>
      </c>
      <c r="N196" s="3" t="s">
        <v>67</v>
      </c>
      <c r="O196" s="2"/>
      <c r="P196" t="str">
        <f t="shared" si="16"/>
        <v>Kirchgasse 6</v>
      </c>
      <c r="Q196" t="str">
        <f t="shared" si="15"/>
        <v>Graz</v>
      </c>
      <c r="R196" t="str">
        <f t="shared" si="17"/>
        <v>NULL</v>
      </c>
      <c r="S196">
        <f t="shared" si="18"/>
        <v>8010</v>
      </c>
      <c r="T196" t="str">
        <f t="shared" si="19"/>
        <v>Austria</v>
      </c>
    </row>
    <row r="197" spans="1:20" x14ac:dyDescent="0.2">
      <c r="A197" s="1">
        <v>10443</v>
      </c>
      <c r="B197" s="3" t="s">
        <v>160</v>
      </c>
      <c r="C197" s="3">
        <v>8</v>
      </c>
      <c r="D197" s="4">
        <v>35473</v>
      </c>
      <c r="E197" s="4">
        <v>35501</v>
      </c>
      <c r="F197" s="4">
        <v>35475</v>
      </c>
      <c r="G197" s="3">
        <v>1</v>
      </c>
      <c r="H197" s="3">
        <v>13.95</v>
      </c>
      <c r="I197" s="3" t="s">
        <v>161</v>
      </c>
      <c r="J197" s="3" t="s">
        <v>162</v>
      </c>
      <c r="K197" s="3" t="s">
        <v>163</v>
      </c>
      <c r="L197" s="3" t="s">
        <v>18</v>
      </c>
      <c r="M197" s="3">
        <v>42100</v>
      </c>
      <c r="N197" s="3" t="s">
        <v>129</v>
      </c>
      <c r="O197" s="2"/>
      <c r="P197" t="str">
        <f t="shared" si="16"/>
        <v>Strada Provinciale 124</v>
      </c>
      <c r="Q197" t="str">
        <f t="shared" si="15"/>
        <v>Reggio Emilia</v>
      </c>
      <c r="R197" t="str">
        <f t="shared" si="17"/>
        <v>NULL</v>
      </c>
      <c r="S197">
        <f t="shared" si="18"/>
        <v>42100</v>
      </c>
      <c r="T197" t="str">
        <f t="shared" si="19"/>
        <v>Italy</v>
      </c>
    </row>
    <row r="198" spans="1:20" x14ac:dyDescent="0.2">
      <c r="A198" s="1">
        <v>10444</v>
      </c>
      <c r="B198" s="3" t="s">
        <v>137</v>
      </c>
      <c r="C198" s="3">
        <v>3</v>
      </c>
      <c r="D198" s="4">
        <v>35473</v>
      </c>
      <c r="E198" s="4">
        <v>35501</v>
      </c>
      <c r="F198" s="4">
        <v>35482</v>
      </c>
      <c r="G198" s="3">
        <v>3</v>
      </c>
      <c r="H198" s="3">
        <v>3.5</v>
      </c>
      <c r="I198" s="3" t="s">
        <v>138</v>
      </c>
      <c r="J198" s="3" t="s">
        <v>139</v>
      </c>
      <c r="K198" s="3" t="s">
        <v>140</v>
      </c>
      <c r="L198" s="3" t="s">
        <v>18</v>
      </c>
      <c r="M198" s="3" t="s">
        <v>141</v>
      </c>
      <c r="N198" s="3" t="s">
        <v>92</v>
      </c>
      <c r="O198" s="2"/>
      <c r="P198" t="str">
        <f t="shared" si="16"/>
        <v>Berguvsvägen  8</v>
      </c>
      <c r="Q198" t="str">
        <f t="shared" si="15"/>
        <v>Luleå</v>
      </c>
      <c r="R198" t="str">
        <f t="shared" si="17"/>
        <v>NULL</v>
      </c>
      <c r="S198" t="str">
        <f t="shared" si="18"/>
        <v>S-958 22</v>
      </c>
      <c r="T198" t="str">
        <f t="shared" si="19"/>
        <v>Sweden</v>
      </c>
    </row>
    <row r="199" spans="1:20" x14ac:dyDescent="0.2">
      <c r="A199" s="1">
        <v>10445</v>
      </c>
      <c r="B199" s="3" t="s">
        <v>137</v>
      </c>
      <c r="C199" s="3">
        <v>3</v>
      </c>
      <c r="D199" s="4">
        <v>35474</v>
      </c>
      <c r="E199" s="4">
        <v>35502</v>
      </c>
      <c r="F199" s="4">
        <v>35481</v>
      </c>
      <c r="G199" s="3">
        <v>1</v>
      </c>
      <c r="H199" s="3">
        <v>9.3000000000000007</v>
      </c>
      <c r="I199" s="3" t="s">
        <v>138</v>
      </c>
      <c r="J199" s="3" t="s">
        <v>139</v>
      </c>
      <c r="K199" s="3" t="s">
        <v>140</v>
      </c>
      <c r="L199" s="3" t="s">
        <v>18</v>
      </c>
      <c r="M199" s="3" t="s">
        <v>141</v>
      </c>
      <c r="N199" s="3" t="s">
        <v>92</v>
      </c>
      <c r="O199" s="2"/>
      <c r="P199" t="str">
        <f t="shared" si="16"/>
        <v>Berguvsvägen  8</v>
      </c>
      <c r="Q199" t="str">
        <f t="shared" ref="Q199:Q262" si="20">IF(O199&lt;&gt;"",L199,K199)</f>
        <v>Luleå</v>
      </c>
      <c r="R199" t="str">
        <f t="shared" si="17"/>
        <v>NULL</v>
      </c>
      <c r="S199" t="str">
        <f t="shared" si="18"/>
        <v>S-958 22</v>
      </c>
      <c r="T199" t="str">
        <f t="shared" si="19"/>
        <v>Sweden</v>
      </c>
    </row>
    <row r="200" spans="1:20" x14ac:dyDescent="0.2">
      <c r="A200" s="1">
        <v>10446</v>
      </c>
      <c r="B200" s="3" t="s">
        <v>20</v>
      </c>
      <c r="C200" s="3">
        <v>6</v>
      </c>
      <c r="D200" s="4">
        <v>35475</v>
      </c>
      <c r="E200" s="4">
        <v>35503</v>
      </c>
      <c r="F200" s="4">
        <v>35480</v>
      </c>
      <c r="G200" s="3">
        <v>1</v>
      </c>
      <c r="H200" s="3">
        <v>14.68</v>
      </c>
      <c r="I200" s="3" t="s">
        <v>21</v>
      </c>
      <c r="J200" s="3" t="s">
        <v>22</v>
      </c>
      <c r="K200" s="3" t="s">
        <v>23</v>
      </c>
      <c r="L200" s="3" t="s">
        <v>18</v>
      </c>
      <c r="M200" s="3">
        <v>44087</v>
      </c>
      <c r="N200" s="3" t="s">
        <v>24</v>
      </c>
      <c r="O200" s="2"/>
      <c r="P200" t="str">
        <f t="shared" si="16"/>
        <v>Luisenstr. 48</v>
      </c>
      <c r="Q200" t="str">
        <f t="shared" si="20"/>
        <v>Münster</v>
      </c>
      <c r="R200" t="str">
        <f t="shared" si="17"/>
        <v>NULL</v>
      </c>
      <c r="S200">
        <f t="shared" si="18"/>
        <v>44087</v>
      </c>
      <c r="T200" t="str">
        <f t="shared" si="19"/>
        <v>Germany</v>
      </c>
    </row>
    <row r="201" spans="1:20" x14ac:dyDescent="0.2">
      <c r="A201" s="1">
        <v>10447</v>
      </c>
      <c r="B201" s="3" t="s">
        <v>156</v>
      </c>
      <c r="C201" s="3">
        <v>4</v>
      </c>
      <c r="D201" s="4">
        <v>35475</v>
      </c>
      <c r="E201" s="4">
        <v>35503</v>
      </c>
      <c r="F201" s="4">
        <v>35496</v>
      </c>
      <c r="G201" s="3">
        <v>2</v>
      </c>
      <c r="H201" s="3">
        <v>68.66</v>
      </c>
      <c r="I201" s="3" t="s">
        <v>157</v>
      </c>
      <c r="J201" s="3" t="s">
        <v>158</v>
      </c>
      <c r="K201" s="3">
        <v>267</v>
      </c>
      <c r="L201" s="3" t="s">
        <v>28</v>
      </c>
      <c r="M201" s="3" t="s">
        <v>29</v>
      </c>
      <c r="N201" s="3" t="s">
        <v>159</v>
      </c>
      <c r="O201" s="3" t="s">
        <v>31</v>
      </c>
      <c r="P201" t="str">
        <f t="shared" si="16"/>
        <v>Av. Copacabana 267</v>
      </c>
      <c r="Q201" t="str">
        <f t="shared" si="20"/>
        <v>Rio de Janeiro</v>
      </c>
      <c r="R201" t="str">
        <f t="shared" si="17"/>
        <v>RJ</v>
      </c>
      <c r="S201" t="str">
        <f t="shared" si="18"/>
        <v>02389-890</v>
      </c>
      <c r="T201" t="str">
        <f t="shared" si="19"/>
        <v>Brazil</v>
      </c>
    </row>
    <row r="202" spans="1:20" x14ac:dyDescent="0.2">
      <c r="A202" s="1">
        <v>10448</v>
      </c>
      <c r="B202" s="3" t="s">
        <v>351</v>
      </c>
      <c r="C202" s="3">
        <v>4</v>
      </c>
      <c r="D202" s="4">
        <v>35478</v>
      </c>
      <c r="E202" s="4">
        <v>35506</v>
      </c>
      <c r="F202" s="4">
        <v>35485</v>
      </c>
      <c r="G202" s="3">
        <v>2</v>
      </c>
      <c r="H202" s="3">
        <v>38.82</v>
      </c>
      <c r="I202" s="3" t="s">
        <v>352</v>
      </c>
      <c r="J202" s="3" t="s">
        <v>353</v>
      </c>
      <c r="K202" s="3" t="s">
        <v>336</v>
      </c>
      <c r="L202" s="3" t="s">
        <v>18</v>
      </c>
      <c r="M202" s="3">
        <v>1010</v>
      </c>
      <c r="N202" s="3" t="s">
        <v>337</v>
      </c>
      <c r="O202" s="2"/>
      <c r="P202" t="str">
        <f t="shared" si="16"/>
        <v>Av. del Libertador 900</v>
      </c>
      <c r="Q202" t="str">
        <f t="shared" si="20"/>
        <v>Buenos Aires</v>
      </c>
      <c r="R202" t="str">
        <f t="shared" si="17"/>
        <v>NULL</v>
      </c>
      <c r="S202">
        <f t="shared" si="18"/>
        <v>1010</v>
      </c>
      <c r="T202" t="str">
        <f t="shared" si="19"/>
        <v>Argentina</v>
      </c>
    </row>
    <row r="203" spans="1:20" x14ac:dyDescent="0.2">
      <c r="A203" s="1">
        <v>10449</v>
      </c>
      <c r="B203" s="3" t="s">
        <v>93</v>
      </c>
      <c r="C203" s="3">
        <v>3</v>
      </c>
      <c r="D203" s="4">
        <v>35479</v>
      </c>
      <c r="E203" s="4">
        <v>35507</v>
      </c>
      <c r="F203" s="4">
        <v>35488</v>
      </c>
      <c r="G203" s="3">
        <v>2</v>
      </c>
      <c r="H203" s="3">
        <v>53.3</v>
      </c>
      <c r="I203" s="3" t="s">
        <v>94</v>
      </c>
      <c r="J203" s="3">
        <v>24</v>
      </c>
      <c r="K203" s="3" t="s">
        <v>95</v>
      </c>
      <c r="L203" s="3" t="s">
        <v>96</v>
      </c>
      <c r="M203" s="3" t="s">
        <v>18</v>
      </c>
      <c r="N203" s="3">
        <v>67000</v>
      </c>
      <c r="O203" s="3" t="s">
        <v>19</v>
      </c>
      <c r="P203" t="str">
        <f t="shared" si="16"/>
        <v>24  place Kléber</v>
      </c>
      <c r="Q203" t="str">
        <f t="shared" si="20"/>
        <v>Strasbourg</v>
      </c>
      <c r="R203" t="str">
        <f t="shared" si="17"/>
        <v>NULL</v>
      </c>
      <c r="S203">
        <f t="shared" si="18"/>
        <v>67000</v>
      </c>
      <c r="T203" t="str">
        <f t="shared" si="19"/>
        <v>France</v>
      </c>
    </row>
    <row r="204" spans="1:20" x14ac:dyDescent="0.2">
      <c r="A204" s="1">
        <v>10450</v>
      </c>
      <c r="B204" s="3" t="s">
        <v>32</v>
      </c>
      <c r="C204" s="3">
        <v>8</v>
      </c>
      <c r="D204" s="4">
        <v>35480</v>
      </c>
      <c r="E204" s="4">
        <v>35508</v>
      </c>
      <c r="F204" s="4">
        <v>35500</v>
      </c>
      <c r="G204" s="3">
        <v>2</v>
      </c>
      <c r="H204" s="3">
        <v>7.23</v>
      </c>
      <c r="I204" s="3" t="s">
        <v>33</v>
      </c>
      <c r="J204" s="3">
        <v>2</v>
      </c>
      <c r="K204" s="3" t="s">
        <v>34</v>
      </c>
      <c r="L204" s="3" t="s">
        <v>35</v>
      </c>
      <c r="M204" s="3" t="s">
        <v>18</v>
      </c>
      <c r="N204" s="3">
        <v>69004</v>
      </c>
      <c r="O204" s="3" t="s">
        <v>19</v>
      </c>
      <c r="P204" t="str">
        <f t="shared" si="16"/>
        <v>2  rue du Commerce</v>
      </c>
      <c r="Q204" t="str">
        <f t="shared" si="20"/>
        <v>Lyon</v>
      </c>
      <c r="R204" t="str">
        <f t="shared" si="17"/>
        <v>NULL</v>
      </c>
      <c r="S204">
        <f t="shared" si="18"/>
        <v>69004</v>
      </c>
      <c r="T204" t="str">
        <f t="shared" si="19"/>
        <v>France</v>
      </c>
    </row>
    <row r="205" spans="1:20" x14ac:dyDescent="0.2">
      <c r="A205" s="1">
        <v>10451</v>
      </c>
      <c r="B205" s="3" t="s">
        <v>121</v>
      </c>
      <c r="C205" s="3">
        <v>4</v>
      </c>
      <c r="D205" s="4">
        <v>35480</v>
      </c>
      <c r="E205" s="4">
        <v>35494</v>
      </c>
      <c r="F205" s="4">
        <v>35501</v>
      </c>
      <c r="G205" s="3">
        <v>3</v>
      </c>
      <c r="H205" s="3">
        <v>189.09</v>
      </c>
      <c r="I205" s="3" t="s">
        <v>122</v>
      </c>
      <c r="J205" s="3" t="s">
        <v>123</v>
      </c>
      <c r="K205" s="3" t="s">
        <v>124</v>
      </c>
      <c r="L205" s="3" t="s">
        <v>18</v>
      </c>
      <c r="M205" s="3">
        <v>1307</v>
      </c>
      <c r="N205" s="3" t="s">
        <v>24</v>
      </c>
      <c r="O205" s="2"/>
      <c r="P205" t="str">
        <f t="shared" si="16"/>
        <v>Taucherstraße 10</v>
      </c>
      <c r="Q205" t="str">
        <f t="shared" si="20"/>
        <v>Cunewalde</v>
      </c>
      <c r="R205" t="str">
        <f t="shared" si="17"/>
        <v>NULL</v>
      </c>
      <c r="S205">
        <f t="shared" si="18"/>
        <v>1307</v>
      </c>
      <c r="T205" t="str">
        <f t="shared" si="19"/>
        <v>Germany</v>
      </c>
    </row>
    <row r="206" spans="1:20" x14ac:dyDescent="0.2">
      <c r="A206" s="1">
        <v>10452</v>
      </c>
      <c r="B206" s="3" t="s">
        <v>226</v>
      </c>
      <c r="C206" s="3">
        <v>8</v>
      </c>
      <c r="D206" s="4">
        <v>35481</v>
      </c>
      <c r="E206" s="4">
        <v>35509</v>
      </c>
      <c r="F206" s="4">
        <v>35487</v>
      </c>
      <c r="G206" s="3">
        <v>1</v>
      </c>
      <c r="H206" s="3">
        <v>140.26</v>
      </c>
      <c r="I206" s="3" t="s">
        <v>227</v>
      </c>
      <c r="J206" s="3" t="s">
        <v>228</v>
      </c>
      <c r="K206" s="3" t="s">
        <v>229</v>
      </c>
      <c r="L206" s="3" t="s">
        <v>230</v>
      </c>
      <c r="M206" s="3">
        <v>83720</v>
      </c>
      <c r="N206" s="3" t="s">
        <v>86</v>
      </c>
      <c r="O206" s="2"/>
      <c r="P206" t="str">
        <f t="shared" si="16"/>
        <v>187 Suffolk Ln.</v>
      </c>
      <c r="Q206" t="str">
        <f t="shared" si="20"/>
        <v>Boise</v>
      </c>
      <c r="R206" t="str">
        <f t="shared" si="17"/>
        <v>ID</v>
      </c>
      <c r="S206">
        <f t="shared" si="18"/>
        <v>83720</v>
      </c>
      <c r="T206" t="str">
        <f t="shared" si="19"/>
        <v>USA</v>
      </c>
    </row>
    <row r="207" spans="1:20" x14ac:dyDescent="0.2">
      <c r="A207" s="1">
        <v>10453</v>
      </c>
      <c r="B207" s="3" t="s">
        <v>270</v>
      </c>
      <c r="C207" s="3">
        <v>1</v>
      </c>
      <c r="D207" s="4">
        <v>35482</v>
      </c>
      <c r="E207" s="4">
        <v>35510</v>
      </c>
      <c r="F207" s="4">
        <v>35487</v>
      </c>
      <c r="G207" s="3">
        <v>2</v>
      </c>
      <c r="H207" s="3">
        <v>25.36</v>
      </c>
      <c r="I207" s="3" t="s">
        <v>271</v>
      </c>
      <c r="J207" s="3" t="s">
        <v>272</v>
      </c>
      <c r="K207" s="3" t="s">
        <v>273</v>
      </c>
      <c r="L207" s="3" t="s">
        <v>274</v>
      </c>
      <c r="M207" s="3" t="s">
        <v>275</v>
      </c>
      <c r="N207" s="3" t="s">
        <v>169</v>
      </c>
      <c r="O207" s="2"/>
      <c r="P207" t="str">
        <f t="shared" si="16"/>
        <v>Brook Farm Stratford St. Mary</v>
      </c>
      <c r="Q207" t="str">
        <f t="shared" si="20"/>
        <v>Colchester</v>
      </c>
      <c r="R207" t="str">
        <f t="shared" si="17"/>
        <v>Essex</v>
      </c>
      <c r="S207" t="str">
        <f t="shared" si="18"/>
        <v>CO7 6JX</v>
      </c>
      <c r="T207" t="str">
        <f t="shared" si="19"/>
        <v>UK</v>
      </c>
    </row>
    <row r="208" spans="1:20" x14ac:dyDescent="0.2">
      <c r="A208" s="1">
        <v>10454</v>
      </c>
      <c r="B208" s="3" t="s">
        <v>262</v>
      </c>
      <c r="C208" s="3">
        <v>4</v>
      </c>
      <c r="D208" s="4">
        <v>35482</v>
      </c>
      <c r="E208" s="4">
        <v>35510</v>
      </c>
      <c r="F208" s="4">
        <v>35486</v>
      </c>
      <c r="G208" s="3">
        <v>3</v>
      </c>
      <c r="H208" s="3">
        <v>2.74</v>
      </c>
      <c r="I208" s="3" t="s">
        <v>263</v>
      </c>
      <c r="J208" s="3" t="s">
        <v>264</v>
      </c>
      <c r="K208" s="3" t="s">
        <v>265</v>
      </c>
      <c r="L208" s="3" t="s">
        <v>18</v>
      </c>
      <c r="M208" s="3">
        <v>31000</v>
      </c>
      <c r="N208" s="3" t="s">
        <v>19</v>
      </c>
      <c r="O208" s="2"/>
      <c r="P208" t="str">
        <f t="shared" si="16"/>
        <v>1 rue Alsace-Lorraine</v>
      </c>
      <c r="Q208" t="str">
        <f t="shared" si="20"/>
        <v>Toulouse</v>
      </c>
      <c r="R208" t="str">
        <f t="shared" si="17"/>
        <v>NULL</v>
      </c>
      <c r="S208">
        <f t="shared" si="18"/>
        <v>31000</v>
      </c>
      <c r="T208" t="str">
        <f t="shared" si="19"/>
        <v>France</v>
      </c>
    </row>
    <row r="209" spans="1:20" x14ac:dyDescent="0.2">
      <c r="A209" s="1">
        <v>10455</v>
      </c>
      <c r="B209" s="3" t="s">
        <v>97</v>
      </c>
      <c r="C209" s="3">
        <v>8</v>
      </c>
      <c r="D209" s="4">
        <v>35485</v>
      </c>
      <c r="E209" s="4">
        <v>35527</v>
      </c>
      <c r="F209" s="4">
        <v>35492</v>
      </c>
      <c r="G209" s="3">
        <v>2</v>
      </c>
      <c r="H209" s="3">
        <v>180.45</v>
      </c>
      <c r="I209" s="3" t="s">
        <v>98</v>
      </c>
      <c r="J209" s="3" t="s">
        <v>99</v>
      </c>
      <c r="K209" s="3" t="s">
        <v>100</v>
      </c>
      <c r="L209" s="3" t="s">
        <v>18</v>
      </c>
      <c r="M209" s="3">
        <v>90110</v>
      </c>
      <c r="N209" s="3" t="s">
        <v>101</v>
      </c>
      <c r="O209" s="2"/>
      <c r="P209" t="str">
        <f t="shared" si="16"/>
        <v>Torikatu 38</v>
      </c>
      <c r="Q209" t="str">
        <f t="shared" si="20"/>
        <v>Oulu</v>
      </c>
      <c r="R209" t="str">
        <f t="shared" si="17"/>
        <v>NULL</v>
      </c>
      <c r="S209">
        <f t="shared" si="18"/>
        <v>90110</v>
      </c>
      <c r="T209" t="str">
        <f t="shared" si="19"/>
        <v>Finland</v>
      </c>
    </row>
    <row r="210" spans="1:20" x14ac:dyDescent="0.2">
      <c r="A210" s="1">
        <v>10456</v>
      </c>
      <c r="B210" s="3" t="s">
        <v>222</v>
      </c>
      <c r="C210" s="3">
        <v>8</v>
      </c>
      <c r="D210" s="4">
        <v>35486</v>
      </c>
      <c r="E210" s="4">
        <v>35528</v>
      </c>
      <c r="F210" s="4">
        <v>35489</v>
      </c>
      <c r="G210" s="3">
        <v>2</v>
      </c>
      <c r="H210" s="3">
        <v>8.1199999999999992</v>
      </c>
      <c r="I210" s="3" t="s">
        <v>223</v>
      </c>
      <c r="J210" s="3" t="s">
        <v>224</v>
      </c>
      <c r="K210" s="3" t="s">
        <v>225</v>
      </c>
      <c r="L210" s="3" t="s">
        <v>18</v>
      </c>
      <c r="M210" s="3">
        <v>14776</v>
      </c>
      <c r="N210" s="3" t="s">
        <v>24</v>
      </c>
      <c r="O210" s="2"/>
      <c r="P210" t="str">
        <f t="shared" si="16"/>
        <v>Maubelstr. 90</v>
      </c>
      <c r="Q210" t="str">
        <f t="shared" si="20"/>
        <v>Brandenburg</v>
      </c>
      <c r="R210" t="str">
        <f t="shared" si="17"/>
        <v>NULL</v>
      </c>
      <c r="S210">
        <f t="shared" si="18"/>
        <v>14776</v>
      </c>
      <c r="T210" t="str">
        <f t="shared" si="19"/>
        <v>Germany</v>
      </c>
    </row>
    <row r="211" spans="1:20" x14ac:dyDescent="0.2">
      <c r="A211" s="1">
        <v>10457</v>
      </c>
      <c r="B211" s="3" t="s">
        <v>222</v>
      </c>
      <c r="C211" s="3">
        <v>2</v>
      </c>
      <c r="D211" s="4">
        <v>35486</v>
      </c>
      <c r="E211" s="4">
        <v>35514</v>
      </c>
      <c r="F211" s="4">
        <v>35492</v>
      </c>
      <c r="G211" s="3">
        <v>1</v>
      </c>
      <c r="H211" s="3">
        <v>11.57</v>
      </c>
      <c r="I211" s="3" t="s">
        <v>223</v>
      </c>
      <c r="J211" s="3" t="s">
        <v>224</v>
      </c>
      <c r="K211" s="3" t="s">
        <v>225</v>
      </c>
      <c r="L211" s="3" t="s">
        <v>18</v>
      </c>
      <c r="M211" s="3">
        <v>14776</v>
      </c>
      <c r="N211" s="3" t="s">
        <v>24</v>
      </c>
      <c r="O211" s="2"/>
      <c r="P211" t="str">
        <f t="shared" si="16"/>
        <v>Maubelstr. 90</v>
      </c>
      <c r="Q211" t="str">
        <f t="shared" si="20"/>
        <v>Brandenburg</v>
      </c>
      <c r="R211" t="str">
        <f t="shared" si="17"/>
        <v>NULL</v>
      </c>
      <c r="S211">
        <f t="shared" si="18"/>
        <v>14776</v>
      </c>
      <c r="T211" t="str">
        <f t="shared" si="19"/>
        <v>Germany</v>
      </c>
    </row>
    <row r="212" spans="1:20" x14ac:dyDescent="0.2">
      <c r="A212" s="1">
        <v>10458</v>
      </c>
      <c r="B212" s="3" t="s">
        <v>36</v>
      </c>
      <c r="C212" s="3">
        <v>7</v>
      </c>
      <c r="D212" s="4">
        <v>35487</v>
      </c>
      <c r="E212" s="4">
        <v>35515</v>
      </c>
      <c r="F212" s="4">
        <v>35493</v>
      </c>
      <c r="G212" s="3">
        <v>3</v>
      </c>
      <c r="H212" s="3">
        <v>147.06</v>
      </c>
      <c r="I212" s="3" t="s">
        <v>37</v>
      </c>
      <c r="J212" s="3" t="s">
        <v>38</v>
      </c>
      <c r="K212" s="3">
        <v>255</v>
      </c>
      <c r="L212" s="3" t="s">
        <v>39</v>
      </c>
      <c r="M212" s="3" t="s">
        <v>18</v>
      </c>
      <c r="N212" s="3" t="s">
        <v>40</v>
      </c>
      <c r="O212" s="3" t="s">
        <v>41</v>
      </c>
      <c r="P212" t="str">
        <f t="shared" si="16"/>
        <v>Boulevard Tirou 255</v>
      </c>
      <c r="Q212" t="str">
        <f t="shared" si="20"/>
        <v>Charleroi</v>
      </c>
      <c r="R212" t="str">
        <f t="shared" si="17"/>
        <v>NULL</v>
      </c>
      <c r="S212" t="str">
        <f t="shared" si="18"/>
        <v>B-6000</v>
      </c>
      <c r="T212" t="str">
        <f t="shared" si="19"/>
        <v>Belgium</v>
      </c>
    </row>
    <row r="213" spans="1:20" x14ac:dyDescent="0.2">
      <c r="A213" s="1">
        <v>10459</v>
      </c>
      <c r="B213" s="3" t="s">
        <v>32</v>
      </c>
      <c r="C213" s="3">
        <v>4</v>
      </c>
      <c r="D213" s="4">
        <v>35488</v>
      </c>
      <c r="E213" s="4">
        <v>35516</v>
      </c>
      <c r="F213" s="4">
        <v>35489</v>
      </c>
      <c r="G213" s="3">
        <v>2</v>
      </c>
      <c r="H213" s="3">
        <v>25.09</v>
      </c>
      <c r="I213" s="3" t="s">
        <v>33</v>
      </c>
      <c r="J213" s="3">
        <v>2</v>
      </c>
      <c r="K213" s="3" t="s">
        <v>34</v>
      </c>
      <c r="L213" s="3" t="s">
        <v>35</v>
      </c>
      <c r="M213" s="3" t="s">
        <v>18</v>
      </c>
      <c r="N213" s="3">
        <v>69004</v>
      </c>
      <c r="O213" s="3" t="s">
        <v>19</v>
      </c>
      <c r="P213" t="str">
        <f t="shared" si="16"/>
        <v>2  rue du Commerce</v>
      </c>
      <c r="Q213" t="str">
        <f t="shared" si="20"/>
        <v>Lyon</v>
      </c>
      <c r="R213" t="str">
        <f t="shared" si="17"/>
        <v>NULL</v>
      </c>
      <c r="S213">
        <f t="shared" si="18"/>
        <v>69004</v>
      </c>
      <c r="T213" t="str">
        <f t="shared" si="19"/>
        <v>France</v>
      </c>
    </row>
    <row r="214" spans="1:20" x14ac:dyDescent="0.2">
      <c r="A214" s="1">
        <v>10460</v>
      </c>
      <c r="B214" s="3" t="s">
        <v>87</v>
      </c>
      <c r="C214" s="3">
        <v>8</v>
      </c>
      <c r="D214" s="4">
        <v>35489</v>
      </c>
      <c r="E214" s="4">
        <v>35517</v>
      </c>
      <c r="F214" s="4">
        <v>35492</v>
      </c>
      <c r="G214" s="3">
        <v>1</v>
      </c>
      <c r="H214" s="3">
        <v>16.27</v>
      </c>
      <c r="I214" s="3" t="s">
        <v>88</v>
      </c>
      <c r="J214" s="3" t="s">
        <v>89</v>
      </c>
      <c r="K214" s="3" t="s">
        <v>90</v>
      </c>
      <c r="L214" s="3" t="s">
        <v>18</v>
      </c>
      <c r="M214" s="3" t="s">
        <v>91</v>
      </c>
      <c r="N214" s="3" t="s">
        <v>92</v>
      </c>
      <c r="O214" s="2"/>
      <c r="P214" t="str">
        <f t="shared" si="16"/>
        <v>Åkergatan 24</v>
      </c>
      <c r="Q214" t="str">
        <f t="shared" si="20"/>
        <v>Bräcke</v>
      </c>
      <c r="R214" t="str">
        <f t="shared" si="17"/>
        <v>NULL</v>
      </c>
      <c r="S214" t="str">
        <f t="shared" si="18"/>
        <v>S-844 67</v>
      </c>
      <c r="T214" t="str">
        <f t="shared" si="19"/>
        <v>Sweden</v>
      </c>
    </row>
    <row r="215" spans="1:20" x14ac:dyDescent="0.2">
      <c r="A215" s="1">
        <v>10461</v>
      </c>
      <c r="B215" s="3" t="s">
        <v>151</v>
      </c>
      <c r="C215" s="3">
        <v>1</v>
      </c>
      <c r="D215" s="4">
        <v>35489</v>
      </c>
      <c r="E215" s="4">
        <v>35517</v>
      </c>
      <c r="F215" s="4">
        <v>35494</v>
      </c>
      <c r="G215" s="3">
        <v>3</v>
      </c>
      <c r="H215" s="3">
        <v>148.61000000000001</v>
      </c>
      <c r="I215" s="3" t="s">
        <v>152</v>
      </c>
      <c r="J215" s="3" t="s">
        <v>153</v>
      </c>
      <c r="K215" s="3" t="s">
        <v>154</v>
      </c>
      <c r="L215" s="3" t="s">
        <v>155</v>
      </c>
      <c r="M215" s="3">
        <v>3508</v>
      </c>
      <c r="N215" s="3" t="s">
        <v>62</v>
      </c>
      <c r="O215" s="2"/>
      <c r="P215" t="str">
        <f t="shared" si="16"/>
        <v>Carrera 52 con Ave. Bolívar #65-98 Llano Largo</v>
      </c>
      <c r="Q215" t="str">
        <f t="shared" si="20"/>
        <v>Barquisimeto</v>
      </c>
      <c r="R215" t="str">
        <f t="shared" si="17"/>
        <v>Lara</v>
      </c>
      <c r="S215">
        <f t="shared" si="18"/>
        <v>3508</v>
      </c>
      <c r="T215" t="str">
        <f t="shared" si="19"/>
        <v>Venezuela</v>
      </c>
    </row>
    <row r="216" spans="1:20" x14ac:dyDescent="0.2">
      <c r="A216" s="1">
        <v>10462</v>
      </c>
      <c r="B216" s="3" t="s">
        <v>347</v>
      </c>
      <c r="C216" s="3">
        <v>2</v>
      </c>
      <c r="D216" s="4">
        <v>35492</v>
      </c>
      <c r="E216" s="4">
        <v>35520</v>
      </c>
      <c r="F216" s="4">
        <v>35507</v>
      </c>
      <c r="G216" s="3">
        <v>1</v>
      </c>
      <c r="H216" s="3">
        <v>6.17</v>
      </c>
      <c r="I216" s="3" t="s">
        <v>348</v>
      </c>
      <c r="J216" s="3" t="s">
        <v>349</v>
      </c>
      <c r="K216" s="3" t="s">
        <v>167</v>
      </c>
      <c r="L216" s="3" t="s">
        <v>18</v>
      </c>
      <c r="M216" s="3" t="s">
        <v>350</v>
      </c>
      <c r="N216" s="3" t="s">
        <v>169</v>
      </c>
      <c r="O216" s="2"/>
      <c r="P216" t="str">
        <f t="shared" si="16"/>
        <v>Berkeley Gardens 12  Brewery</v>
      </c>
      <c r="Q216" t="str">
        <f t="shared" si="20"/>
        <v>London</v>
      </c>
      <c r="R216" t="str">
        <f t="shared" si="17"/>
        <v>NULL</v>
      </c>
      <c r="S216" t="str">
        <f t="shared" si="18"/>
        <v>WX1 6LT</v>
      </c>
      <c r="T216" t="str">
        <f t="shared" si="19"/>
        <v>UK</v>
      </c>
    </row>
    <row r="217" spans="1:20" x14ac:dyDescent="0.2">
      <c r="A217" s="1">
        <v>10463</v>
      </c>
      <c r="B217" s="3" t="s">
        <v>36</v>
      </c>
      <c r="C217" s="3">
        <v>5</v>
      </c>
      <c r="D217" s="4">
        <v>35493</v>
      </c>
      <c r="E217" s="4">
        <v>35521</v>
      </c>
      <c r="F217" s="4">
        <v>35495</v>
      </c>
      <c r="G217" s="3">
        <v>3</v>
      </c>
      <c r="H217" s="3">
        <v>14.78</v>
      </c>
      <c r="I217" s="3" t="s">
        <v>37</v>
      </c>
      <c r="J217" s="3" t="s">
        <v>38</v>
      </c>
      <c r="K217" s="3">
        <v>255</v>
      </c>
      <c r="L217" s="3" t="s">
        <v>39</v>
      </c>
      <c r="M217" s="3" t="s">
        <v>18</v>
      </c>
      <c r="N217" s="3" t="s">
        <v>40</v>
      </c>
      <c r="O217" s="3" t="s">
        <v>41</v>
      </c>
      <c r="P217" t="str">
        <f t="shared" si="16"/>
        <v>Boulevard Tirou 255</v>
      </c>
      <c r="Q217" t="str">
        <f t="shared" si="20"/>
        <v>Charleroi</v>
      </c>
      <c r="R217" t="str">
        <f t="shared" si="17"/>
        <v>NULL</v>
      </c>
      <c r="S217" t="str">
        <f t="shared" si="18"/>
        <v>B-6000</v>
      </c>
      <c r="T217" t="str">
        <f t="shared" si="19"/>
        <v>Belgium</v>
      </c>
    </row>
    <row r="218" spans="1:20" x14ac:dyDescent="0.2">
      <c r="A218" s="1">
        <v>10464</v>
      </c>
      <c r="B218" s="3" t="s">
        <v>234</v>
      </c>
      <c r="C218" s="3">
        <v>4</v>
      </c>
      <c r="D218" s="4">
        <v>35493</v>
      </c>
      <c r="E218" s="4">
        <v>35521</v>
      </c>
      <c r="F218" s="4">
        <v>35503</v>
      </c>
      <c r="G218" s="3">
        <v>2</v>
      </c>
      <c r="H218" s="3">
        <v>89</v>
      </c>
      <c r="I218" s="3" t="s">
        <v>235</v>
      </c>
      <c r="J218" s="3" t="s">
        <v>236</v>
      </c>
      <c r="K218" s="3" t="s">
        <v>237</v>
      </c>
      <c r="L218" s="3" t="s">
        <v>18</v>
      </c>
      <c r="M218" s="3">
        <v>1675</v>
      </c>
      <c r="N218" s="3" t="s">
        <v>238</v>
      </c>
      <c r="O218" s="2"/>
      <c r="P218" t="str">
        <f t="shared" si="16"/>
        <v>Jardim das rosas n. 32</v>
      </c>
      <c r="Q218" t="str">
        <f t="shared" si="20"/>
        <v>Lisboa</v>
      </c>
      <c r="R218" t="str">
        <f t="shared" si="17"/>
        <v>NULL</v>
      </c>
      <c r="S218">
        <f t="shared" si="18"/>
        <v>1675</v>
      </c>
      <c r="T218" t="str">
        <f t="shared" si="19"/>
        <v>Portugal</v>
      </c>
    </row>
    <row r="219" spans="1:20" x14ac:dyDescent="0.2">
      <c r="A219" s="1">
        <v>10465</v>
      </c>
      <c r="B219" s="3" t="s">
        <v>295</v>
      </c>
      <c r="C219" s="3">
        <v>1</v>
      </c>
      <c r="D219" s="4">
        <v>35494</v>
      </c>
      <c r="E219" s="4">
        <v>35522</v>
      </c>
      <c r="F219" s="4">
        <v>35503</v>
      </c>
      <c r="G219" s="3">
        <v>3</v>
      </c>
      <c r="H219" s="3">
        <v>145.04</v>
      </c>
      <c r="I219" s="3" t="s">
        <v>296</v>
      </c>
      <c r="J219" s="3" t="s">
        <v>297</v>
      </c>
      <c r="K219" s="3" t="s">
        <v>298</v>
      </c>
      <c r="L219" s="3" t="s">
        <v>18</v>
      </c>
      <c r="M219" s="3">
        <v>8200</v>
      </c>
      <c r="N219" s="3" t="s">
        <v>257</v>
      </c>
      <c r="O219" s="2"/>
      <c r="P219" t="str">
        <f t="shared" si="16"/>
        <v>Smagsloget 45</v>
      </c>
      <c r="Q219" t="str">
        <f t="shared" si="20"/>
        <v>Århus</v>
      </c>
      <c r="R219" t="str">
        <f t="shared" si="17"/>
        <v>NULL</v>
      </c>
      <c r="S219">
        <f t="shared" si="18"/>
        <v>8200</v>
      </c>
      <c r="T219" t="str">
        <f t="shared" si="19"/>
        <v>Denmark</v>
      </c>
    </row>
    <row r="220" spans="1:20" x14ac:dyDescent="0.2">
      <c r="A220" s="1">
        <v>10466</v>
      </c>
      <c r="B220" s="3" t="s">
        <v>170</v>
      </c>
      <c r="C220" s="3">
        <v>4</v>
      </c>
      <c r="D220" s="4">
        <v>35495</v>
      </c>
      <c r="E220" s="4">
        <v>35523</v>
      </c>
      <c r="F220" s="4">
        <v>35502</v>
      </c>
      <c r="G220" s="3">
        <v>1</v>
      </c>
      <c r="H220" s="3">
        <v>11.93</v>
      </c>
      <c r="I220" s="3" t="s">
        <v>171</v>
      </c>
      <c r="J220" s="3" t="s">
        <v>172</v>
      </c>
      <c r="K220" s="3">
        <v>23</v>
      </c>
      <c r="L220" s="3" t="s">
        <v>173</v>
      </c>
      <c r="M220" s="3" t="s">
        <v>55</v>
      </c>
      <c r="N220" s="3" t="s">
        <v>174</v>
      </c>
      <c r="O220" s="3" t="s">
        <v>31</v>
      </c>
      <c r="P220" t="str">
        <f t="shared" si="16"/>
        <v>Av. dos Lusíadas 23</v>
      </c>
      <c r="Q220" t="str">
        <f t="shared" si="20"/>
        <v>Sao Paulo</v>
      </c>
      <c r="R220" t="str">
        <f t="shared" si="17"/>
        <v>SP</v>
      </c>
      <c r="S220" t="str">
        <f t="shared" si="18"/>
        <v>05432-043</v>
      </c>
      <c r="T220" t="str">
        <f t="shared" si="19"/>
        <v>Brazil</v>
      </c>
    </row>
    <row r="221" spans="1:20" x14ac:dyDescent="0.2">
      <c r="A221" s="1">
        <v>10467</v>
      </c>
      <c r="B221" s="3" t="s">
        <v>125</v>
      </c>
      <c r="C221" s="3">
        <v>8</v>
      </c>
      <c r="D221" s="4">
        <v>35495</v>
      </c>
      <c r="E221" s="4">
        <v>35523</v>
      </c>
      <c r="F221" s="4">
        <v>35500</v>
      </c>
      <c r="G221" s="3">
        <v>2</v>
      </c>
      <c r="H221" s="3">
        <v>4.93</v>
      </c>
      <c r="I221" s="3" t="s">
        <v>126</v>
      </c>
      <c r="J221" s="3" t="s">
        <v>127</v>
      </c>
      <c r="K221" s="3" t="s">
        <v>128</v>
      </c>
      <c r="L221" s="3" t="s">
        <v>18</v>
      </c>
      <c r="M221" s="3">
        <v>24100</v>
      </c>
      <c r="N221" s="3" t="s">
        <v>129</v>
      </c>
      <c r="O221" s="2"/>
      <c r="P221" t="str">
        <f t="shared" si="16"/>
        <v>Via Ludovico il Moro 22</v>
      </c>
      <c r="Q221" t="str">
        <f t="shared" si="20"/>
        <v>Bergamo</v>
      </c>
      <c r="R221" t="str">
        <f t="shared" si="17"/>
        <v>NULL</v>
      </c>
      <c r="S221">
        <f t="shared" si="18"/>
        <v>24100</v>
      </c>
      <c r="T221" t="str">
        <f t="shared" si="19"/>
        <v>Italy</v>
      </c>
    </row>
    <row r="222" spans="1:20" x14ac:dyDescent="0.2">
      <c r="A222" s="1">
        <v>10468</v>
      </c>
      <c r="B222" s="3" t="s">
        <v>222</v>
      </c>
      <c r="C222" s="3">
        <v>3</v>
      </c>
      <c r="D222" s="4">
        <v>35496</v>
      </c>
      <c r="E222" s="4">
        <v>35524</v>
      </c>
      <c r="F222" s="4">
        <v>35501</v>
      </c>
      <c r="G222" s="3">
        <v>3</v>
      </c>
      <c r="H222" s="3">
        <v>44.12</v>
      </c>
      <c r="I222" s="3" t="s">
        <v>223</v>
      </c>
      <c r="J222" s="3" t="s">
        <v>224</v>
      </c>
      <c r="K222" s="3" t="s">
        <v>225</v>
      </c>
      <c r="L222" s="3" t="s">
        <v>18</v>
      </c>
      <c r="M222" s="3">
        <v>14776</v>
      </c>
      <c r="N222" s="3" t="s">
        <v>24</v>
      </c>
      <c r="O222" s="2"/>
      <c r="P222" t="str">
        <f t="shared" si="16"/>
        <v>Maubelstr. 90</v>
      </c>
      <c r="Q222" t="str">
        <f t="shared" si="20"/>
        <v>Brandenburg</v>
      </c>
      <c r="R222" t="str">
        <f t="shared" si="17"/>
        <v>NULL</v>
      </c>
      <c r="S222">
        <f t="shared" si="18"/>
        <v>14776</v>
      </c>
      <c r="T222" t="str">
        <f t="shared" si="19"/>
        <v>Germany</v>
      </c>
    </row>
    <row r="223" spans="1:20" x14ac:dyDescent="0.2">
      <c r="A223" s="1">
        <v>10469</v>
      </c>
      <c r="B223" s="3" t="s">
        <v>111</v>
      </c>
      <c r="C223" s="3">
        <v>1</v>
      </c>
      <c r="D223" s="4">
        <v>35499</v>
      </c>
      <c r="E223" s="4">
        <v>35527</v>
      </c>
      <c r="F223" s="4">
        <v>35503</v>
      </c>
      <c r="G223" s="3">
        <v>1</v>
      </c>
      <c r="H223" s="3">
        <v>60.18</v>
      </c>
      <c r="I223" s="3" t="s">
        <v>112</v>
      </c>
      <c r="J223" s="3" t="s">
        <v>113</v>
      </c>
      <c r="K223" s="3" t="s">
        <v>114</v>
      </c>
      <c r="L223" s="3" t="s">
        <v>115</v>
      </c>
      <c r="M223" s="3">
        <v>98124</v>
      </c>
      <c r="N223" s="3" t="s">
        <v>86</v>
      </c>
      <c r="O223" s="2"/>
      <c r="P223" t="str">
        <f t="shared" si="16"/>
        <v>1029 - 12th Ave. S.</v>
      </c>
      <c r="Q223" t="str">
        <f t="shared" si="20"/>
        <v>Seattle</v>
      </c>
      <c r="R223" t="str">
        <f t="shared" si="17"/>
        <v>WA</v>
      </c>
      <c r="S223">
        <f t="shared" si="18"/>
        <v>98124</v>
      </c>
      <c r="T223" t="str">
        <f t="shared" si="19"/>
        <v>USA</v>
      </c>
    </row>
    <row r="224" spans="1:20" x14ac:dyDescent="0.2">
      <c r="A224" s="1">
        <v>10470</v>
      </c>
      <c r="B224" s="3" t="s">
        <v>239</v>
      </c>
      <c r="C224" s="3">
        <v>4</v>
      </c>
      <c r="D224" s="4">
        <v>35500</v>
      </c>
      <c r="E224" s="4">
        <v>35528</v>
      </c>
      <c r="F224" s="4">
        <v>35503</v>
      </c>
      <c r="G224" s="3">
        <v>2</v>
      </c>
      <c r="H224" s="3">
        <v>64.56</v>
      </c>
      <c r="I224" s="3" t="s">
        <v>240</v>
      </c>
      <c r="J224" s="3">
        <v>12</v>
      </c>
      <c r="K224" s="3" t="s">
        <v>241</v>
      </c>
      <c r="L224" s="3" t="s">
        <v>242</v>
      </c>
      <c r="M224" s="3" t="s">
        <v>18</v>
      </c>
      <c r="N224" s="3">
        <v>13008</v>
      </c>
      <c r="O224" s="3" t="s">
        <v>19</v>
      </c>
      <c r="P224" t="str">
        <f t="shared" si="16"/>
        <v>12  rue des Bouchers</v>
      </c>
      <c r="Q224" t="str">
        <f t="shared" si="20"/>
        <v>Marseille</v>
      </c>
      <c r="R224" t="str">
        <f t="shared" si="17"/>
        <v>NULL</v>
      </c>
      <c r="S224">
        <f t="shared" si="18"/>
        <v>13008</v>
      </c>
      <c r="T224" t="str">
        <f t="shared" si="19"/>
        <v>France</v>
      </c>
    </row>
    <row r="225" spans="1:20" x14ac:dyDescent="0.2">
      <c r="A225" s="1">
        <v>10471</v>
      </c>
      <c r="B225" s="3" t="s">
        <v>164</v>
      </c>
      <c r="C225" s="3">
        <v>2</v>
      </c>
      <c r="D225" s="4">
        <v>35500</v>
      </c>
      <c r="E225" s="4">
        <v>35528</v>
      </c>
      <c r="F225" s="4">
        <v>35507</v>
      </c>
      <c r="G225" s="3">
        <v>3</v>
      </c>
      <c r="H225" s="3">
        <v>45.59</v>
      </c>
      <c r="I225" s="3" t="s">
        <v>165</v>
      </c>
      <c r="J225" s="3" t="s">
        <v>166</v>
      </c>
      <c r="K225" s="3" t="s">
        <v>167</v>
      </c>
      <c r="L225" s="3" t="s">
        <v>18</v>
      </c>
      <c r="M225" s="3" t="s">
        <v>168</v>
      </c>
      <c r="N225" s="3" t="s">
        <v>169</v>
      </c>
      <c r="O225" s="2"/>
      <c r="P225" t="str">
        <f t="shared" si="16"/>
        <v>Fauntleroy Circus</v>
      </c>
      <c r="Q225" t="str">
        <f t="shared" si="20"/>
        <v>London</v>
      </c>
      <c r="R225" t="str">
        <f t="shared" si="17"/>
        <v>NULL</v>
      </c>
      <c r="S225" t="str">
        <f t="shared" si="18"/>
        <v>EC2 5NT</v>
      </c>
      <c r="T225" t="str">
        <f t="shared" si="19"/>
        <v>UK</v>
      </c>
    </row>
    <row r="226" spans="1:20" x14ac:dyDescent="0.2">
      <c r="A226" s="1">
        <v>10472</v>
      </c>
      <c r="B226" s="3" t="s">
        <v>276</v>
      </c>
      <c r="C226" s="3">
        <v>8</v>
      </c>
      <c r="D226" s="4">
        <v>35501</v>
      </c>
      <c r="E226" s="4">
        <v>35529</v>
      </c>
      <c r="F226" s="4">
        <v>35508</v>
      </c>
      <c r="G226" s="3">
        <v>1</v>
      </c>
      <c r="H226" s="3">
        <v>4.2</v>
      </c>
      <c r="I226" s="3" t="s">
        <v>277</v>
      </c>
      <c r="J226" s="3" t="s">
        <v>278</v>
      </c>
      <c r="K226" s="3" t="s">
        <v>167</v>
      </c>
      <c r="L226" s="3" t="s">
        <v>18</v>
      </c>
      <c r="M226" s="3" t="s">
        <v>279</v>
      </c>
      <c r="N226" s="3" t="s">
        <v>169</v>
      </c>
      <c r="O226" s="2"/>
      <c r="P226" t="str">
        <f t="shared" si="16"/>
        <v>90 Wadhurst Rd.</v>
      </c>
      <c r="Q226" t="str">
        <f t="shared" si="20"/>
        <v>London</v>
      </c>
      <c r="R226" t="str">
        <f t="shared" si="17"/>
        <v>NULL</v>
      </c>
      <c r="S226" t="str">
        <f t="shared" si="18"/>
        <v>OX15 4NB</v>
      </c>
      <c r="T226" t="str">
        <f t="shared" si="19"/>
        <v>UK</v>
      </c>
    </row>
    <row r="227" spans="1:20" x14ac:dyDescent="0.2">
      <c r="A227" s="1">
        <v>10473</v>
      </c>
      <c r="B227" s="3" t="s">
        <v>213</v>
      </c>
      <c r="C227" s="3">
        <v>1</v>
      </c>
      <c r="D227" s="4">
        <v>35502</v>
      </c>
      <c r="E227" s="4">
        <v>35516</v>
      </c>
      <c r="F227" s="4">
        <v>35510</v>
      </c>
      <c r="G227" s="3">
        <v>3</v>
      </c>
      <c r="H227" s="3">
        <v>16.37</v>
      </c>
      <c r="I227" s="3" t="s">
        <v>214</v>
      </c>
      <c r="J227" s="3" t="s">
        <v>215</v>
      </c>
      <c r="K227" s="3" t="s">
        <v>216</v>
      </c>
      <c r="L227" s="3" t="s">
        <v>217</v>
      </c>
      <c r="M227" s="3" t="s">
        <v>218</v>
      </c>
      <c r="N227" s="3" t="s">
        <v>169</v>
      </c>
      <c r="O227" s="2"/>
      <c r="P227" t="str">
        <f t="shared" si="16"/>
        <v>Garden House Crowther Way</v>
      </c>
      <c r="Q227" t="str">
        <f t="shared" si="20"/>
        <v>Cowes</v>
      </c>
      <c r="R227" t="str">
        <f t="shared" si="17"/>
        <v>Isle of Wight</v>
      </c>
      <c r="S227" t="str">
        <f t="shared" si="18"/>
        <v>PO31 7PJ</v>
      </c>
      <c r="T227" t="str">
        <f t="shared" si="19"/>
        <v>UK</v>
      </c>
    </row>
    <row r="228" spans="1:20" x14ac:dyDescent="0.2">
      <c r="A228" s="1">
        <v>10474</v>
      </c>
      <c r="B228" s="3" t="s">
        <v>219</v>
      </c>
      <c r="C228" s="3">
        <v>5</v>
      </c>
      <c r="D228" s="4">
        <v>35502</v>
      </c>
      <c r="E228" s="4">
        <v>35530</v>
      </c>
      <c r="F228" s="4">
        <v>35510</v>
      </c>
      <c r="G228" s="3">
        <v>2</v>
      </c>
      <c r="H228" s="3">
        <v>83.49</v>
      </c>
      <c r="I228" s="3" t="s">
        <v>220</v>
      </c>
      <c r="J228" s="3" t="s">
        <v>221</v>
      </c>
      <c r="K228" s="3" t="s">
        <v>71</v>
      </c>
      <c r="L228" s="3" t="s">
        <v>18</v>
      </c>
      <c r="M228" s="3">
        <v>5033</v>
      </c>
      <c r="N228" s="3" t="s">
        <v>72</v>
      </c>
      <c r="O228" s="2"/>
      <c r="P228" t="str">
        <f t="shared" si="16"/>
        <v>Calle Dr. Jorge Cash 321</v>
      </c>
      <c r="Q228" t="str">
        <f t="shared" si="20"/>
        <v>México D.F.</v>
      </c>
      <c r="R228" t="str">
        <f t="shared" si="17"/>
        <v>NULL</v>
      </c>
      <c r="S228">
        <f t="shared" si="18"/>
        <v>5033</v>
      </c>
      <c r="T228" t="str">
        <f t="shared" si="19"/>
        <v>Mexico</v>
      </c>
    </row>
    <row r="229" spans="1:20" x14ac:dyDescent="0.2">
      <c r="A229" s="1">
        <v>10475</v>
      </c>
      <c r="B229" s="3" t="s">
        <v>36</v>
      </c>
      <c r="C229" s="3">
        <v>9</v>
      </c>
      <c r="D229" s="4">
        <v>35503</v>
      </c>
      <c r="E229" s="4">
        <v>35531</v>
      </c>
      <c r="F229" s="4">
        <v>35524</v>
      </c>
      <c r="G229" s="3">
        <v>1</v>
      </c>
      <c r="H229" s="3">
        <v>68.52</v>
      </c>
      <c r="I229" s="3" t="s">
        <v>37</v>
      </c>
      <c r="J229" s="3" t="s">
        <v>38</v>
      </c>
      <c r="K229" s="3">
        <v>255</v>
      </c>
      <c r="L229" s="3" t="s">
        <v>39</v>
      </c>
      <c r="M229" s="3" t="s">
        <v>18</v>
      </c>
      <c r="N229" s="3" t="s">
        <v>40</v>
      </c>
      <c r="O229" s="3" t="s">
        <v>41</v>
      </c>
      <c r="P229" t="str">
        <f t="shared" si="16"/>
        <v>Boulevard Tirou 255</v>
      </c>
      <c r="Q229" t="str">
        <f t="shared" si="20"/>
        <v>Charleroi</v>
      </c>
      <c r="R229" t="str">
        <f t="shared" si="17"/>
        <v>NULL</v>
      </c>
      <c r="S229" t="str">
        <f t="shared" si="18"/>
        <v>B-6000</v>
      </c>
      <c r="T229" t="str">
        <f t="shared" si="19"/>
        <v>Belgium</v>
      </c>
    </row>
    <row r="230" spans="1:20" x14ac:dyDescent="0.2">
      <c r="A230" s="1">
        <v>10476</v>
      </c>
      <c r="B230" s="3" t="s">
        <v>57</v>
      </c>
      <c r="C230" s="3">
        <v>8</v>
      </c>
      <c r="D230" s="4">
        <v>35506</v>
      </c>
      <c r="E230" s="4">
        <v>35534</v>
      </c>
      <c r="F230" s="4">
        <v>35513</v>
      </c>
      <c r="G230" s="3">
        <v>3</v>
      </c>
      <c r="H230" s="3">
        <v>4.41</v>
      </c>
      <c r="I230" s="3" t="s">
        <v>58</v>
      </c>
      <c r="J230" s="3" t="s">
        <v>59</v>
      </c>
      <c r="K230" s="3" t="s">
        <v>60</v>
      </c>
      <c r="L230" s="3" t="s">
        <v>61</v>
      </c>
      <c r="M230" s="3">
        <v>5022</v>
      </c>
      <c r="N230" s="3" t="s">
        <v>62</v>
      </c>
      <c r="O230" s="2"/>
      <c r="P230" t="str">
        <f t="shared" si="16"/>
        <v>Carrera 22 con Ave. Carlos Soublette #8-35</v>
      </c>
      <c r="Q230" t="str">
        <f t="shared" si="20"/>
        <v>San Cristóbal</v>
      </c>
      <c r="R230" t="str">
        <f t="shared" si="17"/>
        <v>Táchira</v>
      </c>
      <c r="S230">
        <f t="shared" si="18"/>
        <v>5022</v>
      </c>
      <c r="T230" t="str">
        <f t="shared" si="19"/>
        <v>Venezuela</v>
      </c>
    </row>
    <row r="231" spans="1:20" x14ac:dyDescent="0.2">
      <c r="A231" s="1">
        <v>10477</v>
      </c>
      <c r="B231" s="3" t="s">
        <v>250</v>
      </c>
      <c r="C231" s="3">
        <v>5</v>
      </c>
      <c r="D231" s="4">
        <v>35506</v>
      </c>
      <c r="E231" s="4">
        <v>35534</v>
      </c>
      <c r="F231" s="4">
        <v>35514</v>
      </c>
      <c r="G231" s="3">
        <v>2</v>
      </c>
      <c r="H231" s="3">
        <v>13.02</v>
      </c>
      <c r="I231" s="3" t="s">
        <v>251</v>
      </c>
      <c r="J231" s="3" t="s">
        <v>252</v>
      </c>
      <c r="K231" s="3" t="s">
        <v>237</v>
      </c>
      <c r="L231" s="3" t="s">
        <v>18</v>
      </c>
      <c r="M231" s="3">
        <v>1756</v>
      </c>
      <c r="N231" s="3" t="s">
        <v>238</v>
      </c>
      <c r="O231" s="2"/>
      <c r="P231" t="str">
        <f t="shared" si="16"/>
        <v>Estrada da saúde n. 58</v>
      </c>
      <c r="Q231" t="str">
        <f t="shared" si="20"/>
        <v>Lisboa</v>
      </c>
      <c r="R231" t="str">
        <f t="shared" si="17"/>
        <v>NULL</v>
      </c>
      <c r="S231">
        <f t="shared" si="18"/>
        <v>1756</v>
      </c>
      <c r="T231" t="str">
        <f t="shared" si="19"/>
        <v>Portugal</v>
      </c>
    </row>
    <row r="232" spans="1:20" x14ac:dyDescent="0.2">
      <c r="A232" s="1">
        <v>10478</v>
      </c>
      <c r="B232" s="3" t="s">
        <v>32</v>
      </c>
      <c r="C232" s="3">
        <v>2</v>
      </c>
      <c r="D232" s="4">
        <v>35507</v>
      </c>
      <c r="E232" s="4">
        <v>35521</v>
      </c>
      <c r="F232" s="4">
        <v>35515</v>
      </c>
      <c r="G232" s="3">
        <v>3</v>
      </c>
      <c r="H232" s="3">
        <v>4.8099999999999996</v>
      </c>
      <c r="I232" s="3" t="s">
        <v>33</v>
      </c>
      <c r="J232" s="3">
        <v>2</v>
      </c>
      <c r="K232" s="3" t="s">
        <v>34</v>
      </c>
      <c r="L232" s="3" t="s">
        <v>35</v>
      </c>
      <c r="M232" s="3" t="s">
        <v>18</v>
      </c>
      <c r="N232" s="3">
        <v>69004</v>
      </c>
      <c r="O232" s="3" t="s">
        <v>19</v>
      </c>
      <c r="P232" t="str">
        <f t="shared" si="16"/>
        <v>2  rue du Commerce</v>
      </c>
      <c r="Q232" t="str">
        <f t="shared" si="20"/>
        <v>Lyon</v>
      </c>
      <c r="R232" t="str">
        <f t="shared" si="17"/>
        <v>NULL</v>
      </c>
      <c r="S232">
        <f t="shared" si="18"/>
        <v>69004</v>
      </c>
      <c r="T232" t="str">
        <f t="shared" si="19"/>
        <v>France</v>
      </c>
    </row>
    <row r="233" spans="1:20" x14ac:dyDescent="0.2">
      <c r="A233" s="1">
        <v>10479</v>
      </c>
      <c r="B233" s="3" t="s">
        <v>81</v>
      </c>
      <c r="C233" s="3">
        <v>3</v>
      </c>
      <c r="D233" s="4">
        <v>35508</v>
      </c>
      <c r="E233" s="4">
        <v>35536</v>
      </c>
      <c r="F233" s="4">
        <v>35510</v>
      </c>
      <c r="G233" s="3">
        <v>3</v>
      </c>
      <c r="H233" s="3">
        <v>708.95</v>
      </c>
      <c r="I233" s="3" t="s">
        <v>82</v>
      </c>
      <c r="J233" s="3" t="s">
        <v>83</v>
      </c>
      <c r="K233" s="3" t="s">
        <v>84</v>
      </c>
      <c r="L233" s="3" t="s">
        <v>85</v>
      </c>
      <c r="M233" s="3">
        <v>87110</v>
      </c>
      <c r="N233" s="3" t="s">
        <v>86</v>
      </c>
      <c r="O233" s="2"/>
      <c r="P233" t="str">
        <f t="shared" si="16"/>
        <v>2817 Milton Dr.</v>
      </c>
      <c r="Q233" t="str">
        <f t="shared" si="20"/>
        <v>Albuquerque</v>
      </c>
      <c r="R233" t="str">
        <f t="shared" si="17"/>
        <v>NM</v>
      </c>
      <c r="S233">
        <f t="shared" si="18"/>
        <v>87110</v>
      </c>
      <c r="T233" t="str">
        <f t="shared" si="19"/>
        <v>USA</v>
      </c>
    </row>
    <row r="234" spans="1:20" x14ac:dyDescent="0.2">
      <c r="A234" s="1">
        <v>10480</v>
      </c>
      <c r="B234" s="3" t="s">
        <v>329</v>
      </c>
      <c r="C234" s="3">
        <v>6</v>
      </c>
      <c r="D234" s="4">
        <v>35509</v>
      </c>
      <c r="E234" s="4">
        <v>35537</v>
      </c>
      <c r="F234" s="4">
        <v>35513</v>
      </c>
      <c r="G234" s="3">
        <v>2</v>
      </c>
      <c r="H234" s="3">
        <v>1.35</v>
      </c>
      <c r="I234" s="3" t="s">
        <v>330</v>
      </c>
      <c r="J234" s="3">
        <v>184</v>
      </c>
      <c r="K234" s="3" t="s">
        <v>331</v>
      </c>
      <c r="L234" s="3" t="s">
        <v>332</v>
      </c>
      <c r="M234" s="3" t="s">
        <v>18</v>
      </c>
      <c r="N234" s="3">
        <v>59000</v>
      </c>
      <c r="O234" s="3" t="s">
        <v>19</v>
      </c>
      <c r="P234" t="str">
        <f t="shared" si="16"/>
        <v>184  chaussée de Tournai</v>
      </c>
      <c r="Q234" t="str">
        <f t="shared" si="20"/>
        <v>Lille</v>
      </c>
      <c r="R234" t="str">
        <f t="shared" si="17"/>
        <v>NULL</v>
      </c>
      <c r="S234">
        <f t="shared" si="18"/>
        <v>59000</v>
      </c>
      <c r="T234" t="str">
        <f t="shared" si="19"/>
        <v>France</v>
      </c>
    </row>
    <row r="235" spans="1:20" x14ac:dyDescent="0.2">
      <c r="A235" s="1">
        <v>10481</v>
      </c>
      <c r="B235" s="3" t="s">
        <v>156</v>
      </c>
      <c r="C235" s="3">
        <v>8</v>
      </c>
      <c r="D235" s="4">
        <v>35509</v>
      </c>
      <c r="E235" s="4">
        <v>35537</v>
      </c>
      <c r="F235" s="4">
        <v>35514</v>
      </c>
      <c r="G235" s="3">
        <v>2</v>
      </c>
      <c r="H235" s="3">
        <v>64.33</v>
      </c>
      <c r="I235" s="3" t="s">
        <v>157</v>
      </c>
      <c r="J235" s="3" t="s">
        <v>158</v>
      </c>
      <c r="K235" s="3">
        <v>267</v>
      </c>
      <c r="L235" s="3" t="s">
        <v>28</v>
      </c>
      <c r="M235" s="3" t="s">
        <v>29</v>
      </c>
      <c r="N235" s="3" t="s">
        <v>159</v>
      </c>
      <c r="O235" s="3" t="s">
        <v>31</v>
      </c>
      <c r="P235" t="str">
        <f t="shared" si="16"/>
        <v>Av. Copacabana 267</v>
      </c>
      <c r="Q235" t="str">
        <f t="shared" si="20"/>
        <v>Rio de Janeiro</v>
      </c>
      <c r="R235" t="str">
        <f t="shared" si="17"/>
        <v>RJ</v>
      </c>
      <c r="S235" t="str">
        <f t="shared" si="18"/>
        <v>02389-890</v>
      </c>
      <c r="T235" t="str">
        <f t="shared" si="19"/>
        <v>Brazil</v>
      </c>
    </row>
    <row r="236" spans="1:20" x14ac:dyDescent="0.2">
      <c r="A236" s="1">
        <v>10482</v>
      </c>
      <c r="B236" s="3" t="s">
        <v>354</v>
      </c>
      <c r="C236" s="3">
        <v>1</v>
      </c>
      <c r="D236" s="4">
        <v>35510</v>
      </c>
      <c r="E236" s="4">
        <v>35538</v>
      </c>
      <c r="F236" s="4">
        <v>35530</v>
      </c>
      <c r="G236" s="3">
        <v>3</v>
      </c>
      <c r="H236" s="3">
        <v>7.48</v>
      </c>
      <c r="I236" s="3" t="s">
        <v>355</v>
      </c>
      <c r="J236" s="3" t="s">
        <v>356</v>
      </c>
      <c r="K236" s="3" t="s">
        <v>357</v>
      </c>
      <c r="L236" s="3" t="s">
        <v>115</v>
      </c>
      <c r="M236" s="3">
        <v>99362</v>
      </c>
      <c r="N236" s="3" t="s">
        <v>86</v>
      </c>
      <c r="O236" s="2"/>
      <c r="P236" t="str">
        <f t="shared" si="16"/>
        <v>12 Orchestra Terrace</v>
      </c>
      <c r="Q236" t="str">
        <f t="shared" si="20"/>
        <v>Walla Walla</v>
      </c>
      <c r="R236" t="str">
        <f t="shared" si="17"/>
        <v>WA</v>
      </c>
      <c r="S236">
        <f t="shared" si="18"/>
        <v>99362</v>
      </c>
      <c r="T236" t="str">
        <f t="shared" si="19"/>
        <v>USA</v>
      </c>
    </row>
    <row r="237" spans="1:20" x14ac:dyDescent="0.2">
      <c r="A237" s="1">
        <v>10483</v>
      </c>
      <c r="B237" s="3" t="s">
        <v>111</v>
      </c>
      <c r="C237" s="3">
        <v>7</v>
      </c>
      <c r="D237" s="4">
        <v>35513</v>
      </c>
      <c r="E237" s="4">
        <v>35541</v>
      </c>
      <c r="F237" s="4">
        <v>35545</v>
      </c>
      <c r="G237" s="3">
        <v>2</v>
      </c>
      <c r="H237" s="3">
        <v>15.28</v>
      </c>
      <c r="I237" s="3" t="s">
        <v>112</v>
      </c>
      <c r="J237" s="3" t="s">
        <v>113</v>
      </c>
      <c r="K237" s="3" t="s">
        <v>114</v>
      </c>
      <c r="L237" s="3" t="s">
        <v>115</v>
      </c>
      <c r="M237" s="3">
        <v>98124</v>
      </c>
      <c r="N237" s="3" t="s">
        <v>86</v>
      </c>
      <c r="O237" s="2"/>
      <c r="P237" t="str">
        <f t="shared" si="16"/>
        <v>1029 - 12th Ave. S.</v>
      </c>
      <c r="Q237" t="str">
        <f t="shared" si="20"/>
        <v>Seattle</v>
      </c>
      <c r="R237" t="str">
        <f t="shared" si="17"/>
        <v>WA</v>
      </c>
      <c r="S237">
        <f t="shared" si="18"/>
        <v>98124</v>
      </c>
      <c r="T237" t="str">
        <f t="shared" si="19"/>
        <v>USA</v>
      </c>
    </row>
    <row r="238" spans="1:20" x14ac:dyDescent="0.2">
      <c r="A238" s="1">
        <v>10484</v>
      </c>
      <c r="B238" s="3" t="s">
        <v>164</v>
      </c>
      <c r="C238" s="3">
        <v>3</v>
      </c>
      <c r="D238" s="4">
        <v>35513</v>
      </c>
      <c r="E238" s="4">
        <v>35541</v>
      </c>
      <c r="F238" s="4">
        <v>35521</v>
      </c>
      <c r="G238" s="3">
        <v>3</v>
      </c>
      <c r="H238" s="3">
        <v>6.88</v>
      </c>
      <c r="I238" s="3" t="s">
        <v>165</v>
      </c>
      <c r="J238" s="3" t="s">
        <v>166</v>
      </c>
      <c r="K238" s="3" t="s">
        <v>167</v>
      </c>
      <c r="L238" s="3" t="s">
        <v>18</v>
      </c>
      <c r="M238" s="3" t="s">
        <v>168</v>
      </c>
      <c r="N238" s="3" t="s">
        <v>169</v>
      </c>
      <c r="O238" s="2"/>
      <c r="P238" t="str">
        <f t="shared" si="16"/>
        <v>Fauntleroy Circus</v>
      </c>
      <c r="Q238" t="str">
        <f t="shared" si="20"/>
        <v>London</v>
      </c>
      <c r="R238" t="str">
        <f t="shared" si="17"/>
        <v>NULL</v>
      </c>
      <c r="S238" t="str">
        <f t="shared" si="18"/>
        <v>EC2 5NT</v>
      </c>
      <c r="T238" t="str">
        <f t="shared" si="19"/>
        <v>UK</v>
      </c>
    </row>
    <row r="239" spans="1:20" x14ac:dyDescent="0.2">
      <c r="A239" s="1">
        <v>10485</v>
      </c>
      <c r="B239" s="3" t="s">
        <v>324</v>
      </c>
      <c r="C239" s="3">
        <v>4</v>
      </c>
      <c r="D239" s="4">
        <v>35514</v>
      </c>
      <c r="E239" s="4">
        <v>35528</v>
      </c>
      <c r="F239" s="4">
        <v>35520</v>
      </c>
      <c r="G239" s="3">
        <v>2</v>
      </c>
      <c r="H239" s="3">
        <v>64.45</v>
      </c>
      <c r="I239" s="3" t="s">
        <v>325</v>
      </c>
      <c r="J239" s="3" t="s">
        <v>326</v>
      </c>
      <c r="K239" s="3" t="s">
        <v>327</v>
      </c>
      <c r="L239" s="3" t="s">
        <v>328</v>
      </c>
      <c r="M239" s="3">
        <v>4980</v>
      </c>
      <c r="N239" s="3" t="s">
        <v>62</v>
      </c>
      <c r="O239" s="2"/>
      <c r="P239" t="str">
        <f t="shared" si="16"/>
        <v>Ave. 5 de Mayo Porlamar</v>
      </c>
      <c r="Q239" t="str">
        <f t="shared" si="20"/>
        <v>I. de Margarita</v>
      </c>
      <c r="R239" t="str">
        <f t="shared" si="17"/>
        <v>Nueva Esparta</v>
      </c>
      <c r="S239">
        <f t="shared" si="18"/>
        <v>4980</v>
      </c>
      <c r="T239" t="str">
        <f t="shared" si="19"/>
        <v>Venezuela</v>
      </c>
    </row>
    <row r="240" spans="1:20" x14ac:dyDescent="0.2">
      <c r="A240" s="1">
        <v>10486</v>
      </c>
      <c r="B240" s="3" t="s">
        <v>57</v>
      </c>
      <c r="C240" s="3">
        <v>1</v>
      </c>
      <c r="D240" s="4">
        <v>35515</v>
      </c>
      <c r="E240" s="4">
        <v>35543</v>
      </c>
      <c r="F240" s="4">
        <v>35522</v>
      </c>
      <c r="G240" s="3">
        <v>2</v>
      </c>
      <c r="H240" s="3">
        <v>30.53</v>
      </c>
      <c r="I240" s="3" t="s">
        <v>58</v>
      </c>
      <c r="J240" s="3" t="s">
        <v>59</v>
      </c>
      <c r="K240" s="3" t="s">
        <v>60</v>
      </c>
      <c r="L240" s="3" t="s">
        <v>61</v>
      </c>
      <c r="M240" s="3">
        <v>5022</v>
      </c>
      <c r="N240" s="3" t="s">
        <v>62</v>
      </c>
      <c r="O240" s="2"/>
      <c r="P240" t="str">
        <f t="shared" si="16"/>
        <v>Carrera 22 con Ave. Carlos Soublette #8-35</v>
      </c>
      <c r="Q240" t="str">
        <f t="shared" si="20"/>
        <v>San Cristóbal</v>
      </c>
      <c r="R240" t="str">
        <f t="shared" si="17"/>
        <v>Táchira</v>
      </c>
      <c r="S240">
        <f t="shared" si="18"/>
        <v>5022</v>
      </c>
      <c r="T240" t="str">
        <f t="shared" si="19"/>
        <v>Venezuela</v>
      </c>
    </row>
    <row r="241" spans="1:20" x14ac:dyDescent="0.2">
      <c r="A241" s="1">
        <v>10487</v>
      </c>
      <c r="B241" s="3" t="s">
        <v>299</v>
      </c>
      <c r="C241" s="3">
        <v>2</v>
      </c>
      <c r="D241" s="4">
        <v>35515</v>
      </c>
      <c r="E241" s="4">
        <v>35543</v>
      </c>
      <c r="F241" s="4">
        <v>35517</v>
      </c>
      <c r="G241" s="3">
        <v>2</v>
      </c>
      <c r="H241" s="3">
        <v>71.069999999999993</v>
      </c>
      <c r="I241" s="3" t="s">
        <v>300</v>
      </c>
      <c r="J241" s="3" t="s">
        <v>301</v>
      </c>
      <c r="K241" s="3">
        <v>891</v>
      </c>
      <c r="L241" s="3" t="s">
        <v>173</v>
      </c>
      <c r="M241" s="3" t="s">
        <v>55</v>
      </c>
      <c r="N241" s="3" t="s">
        <v>302</v>
      </c>
      <c r="O241" s="3" t="s">
        <v>31</v>
      </c>
      <c r="P241" t="str">
        <f t="shared" si="16"/>
        <v>Alameda dos Canàrios 891</v>
      </c>
      <c r="Q241" t="str">
        <f t="shared" si="20"/>
        <v>Sao Paulo</v>
      </c>
      <c r="R241" t="str">
        <f t="shared" si="17"/>
        <v>SP</v>
      </c>
      <c r="S241" t="str">
        <f t="shared" si="18"/>
        <v>05487-020</v>
      </c>
      <c r="T241" t="str">
        <f t="shared" si="19"/>
        <v>Brazil</v>
      </c>
    </row>
    <row r="242" spans="1:20" x14ac:dyDescent="0.2">
      <c r="A242" s="1">
        <v>10488</v>
      </c>
      <c r="B242" s="3" t="s">
        <v>102</v>
      </c>
      <c r="C242" s="3">
        <v>8</v>
      </c>
      <c r="D242" s="4">
        <v>35516</v>
      </c>
      <c r="E242" s="4">
        <v>35544</v>
      </c>
      <c r="F242" s="4">
        <v>35522</v>
      </c>
      <c r="G242" s="3">
        <v>2</v>
      </c>
      <c r="H242" s="3">
        <v>4.93</v>
      </c>
      <c r="I242" s="3" t="s">
        <v>103</v>
      </c>
      <c r="J242" s="3" t="s">
        <v>104</v>
      </c>
      <c r="K242" s="3" t="s">
        <v>105</v>
      </c>
      <c r="L242" s="3" t="s">
        <v>18</v>
      </c>
      <c r="M242" s="3">
        <v>80805</v>
      </c>
      <c r="N242" s="3" t="s">
        <v>24</v>
      </c>
      <c r="O242" s="2"/>
      <c r="P242" t="str">
        <f t="shared" si="16"/>
        <v>Berliner Platz 43</v>
      </c>
      <c r="Q242" t="str">
        <f t="shared" si="20"/>
        <v>München</v>
      </c>
      <c r="R242" t="str">
        <f t="shared" si="17"/>
        <v>NULL</v>
      </c>
      <c r="S242">
        <f t="shared" si="18"/>
        <v>80805</v>
      </c>
      <c r="T242" t="str">
        <f t="shared" si="19"/>
        <v>Germany</v>
      </c>
    </row>
    <row r="243" spans="1:20" x14ac:dyDescent="0.2">
      <c r="A243" s="1">
        <v>10489</v>
      </c>
      <c r="B243" s="3" t="s">
        <v>266</v>
      </c>
      <c r="C243" s="3">
        <v>6</v>
      </c>
      <c r="D243" s="4">
        <v>35517</v>
      </c>
      <c r="E243" s="4">
        <v>35545</v>
      </c>
      <c r="F243" s="4">
        <v>35529</v>
      </c>
      <c r="G243" s="3">
        <v>2</v>
      </c>
      <c r="H243" s="3">
        <v>5.29</v>
      </c>
      <c r="I243" s="3" t="s">
        <v>267</v>
      </c>
      <c r="J243" s="3" t="s">
        <v>268</v>
      </c>
      <c r="K243" s="3" t="s">
        <v>269</v>
      </c>
      <c r="L243" s="3" t="s">
        <v>18</v>
      </c>
      <c r="M243" s="3">
        <v>5020</v>
      </c>
      <c r="N243" s="3" t="s">
        <v>67</v>
      </c>
      <c r="O243" s="2"/>
      <c r="P243" t="str">
        <f t="shared" si="16"/>
        <v>Geislweg 14</v>
      </c>
      <c r="Q243" t="str">
        <f t="shared" si="20"/>
        <v>Salzburg</v>
      </c>
      <c r="R243" t="str">
        <f t="shared" si="17"/>
        <v>NULL</v>
      </c>
      <c r="S243">
        <f t="shared" si="18"/>
        <v>5020</v>
      </c>
      <c r="T243" t="str">
        <f t="shared" si="19"/>
        <v>Austria</v>
      </c>
    </row>
    <row r="244" spans="1:20" x14ac:dyDescent="0.2">
      <c r="A244" s="1">
        <v>10490</v>
      </c>
      <c r="B244" s="3" t="s">
        <v>57</v>
      </c>
      <c r="C244" s="3">
        <v>7</v>
      </c>
      <c r="D244" s="4">
        <v>35520</v>
      </c>
      <c r="E244" s="4">
        <v>35548</v>
      </c>
      <c r="F244" s="4">
        <v>35523</v>
      </c>
      <c r="G244" s="3">
        <v>2</v>
      </c>
      <c r="H244" s="3">
        <v>210.19</v>
      </c>
      <c r="I244" s="3" t="s">
        <v>58</v>
      </c>
      <c r="J244" s="3" t="s">
        <v>59</v>
      </c>
      <c r="K244" s="3" t="s">
        <v>60</v>
      </c>
      <c r="L244" s="3" t="s">
        <v>61</v>
      </c>
      <c r="M244" s="3">
        <v>5022</v>
      </c>
      <c r="N244" s="3" t="s">
        <v>62</v>
      </c>
      <c r="O244" s="2"/>
      <c r="P244" t="str">
        <f t="shared" si="16"/>
        <v>Carrera 22 con Ave. Carlos Soublette #8-35</v>
      </c>
      <c r="Q244" t="str">
        <f t="shared" si="20"/>
        <v>San Cristóbal</v>
      </c>
      <c r="R244" t="str">
        <f t="shared" si="17"/>
        <v>Táchira</v>
      </c>
      <c r="S244">
        <f t="shared" si="18"/>
        <v>5022</v>
      </c>
      <c r="T244" t="str">
        <f t="shared" si="19"/>
        <v>Venezuela</v>
      </c>
    </row>
    <row r="245" spans="1:20" x14ac:dyDescent="0.2">
      <c r="A245" s="1">
        <v>10491</v>
      </c>
      <c r="B245" s="3" t="s">
        <v>234</v>
      </c>
      <c r="C245" s="3">
        <v>8</v>
      </c>
      <c r="D245" s="4">
        <v>35520</v>
      </c>
      <c r="E245" s="4">
        <v>35548</v>
      </c>
      <c r="F245" s="4">
        <v>35528</v>
      </c>
      <c r="G245" s="3">
        <v>3</v>
      </c>
      <c r="H245" s="3">
        <v>16.96</v>
      </c>
      <c r="I245" s="3" t="s">
        <v>235</v>
      </c>
      <c r="J245" s="3" t="s">
        <v>236</v>
      </c>
      <c r="K245" s="3" t="s">
        <v>237</v>
      </c>
      <c r="L245" s="3" t="s">
        <v>18</v>
      </c>
      <c r="M245" s="3">
        <v>1675</v>
      </c>
      <c r="N245" s="3" t="s">
        <v>238</v>
      </c>
      <c r="O245" s="2"/>
      <c r="P245" t="str">
        <f t="shared" si="16"/>
        <v>Jardim das rosas n. 32</v>
      </c>
      <c r="Q245" t="str">
        <f t="shared" si="20"/>
        <v>Lisboa</v>
      </c>
      <c r="R245" t="str">
        <f t="shared" si="17"/>
        <v>NULL</v>
      </c>
      <c r="S245">
        <f t="shared" si="18"/>
        <v>1675</v>
      </c>
      <c r="T245" t="str">
        <f t="shared" si="19"/>
        <v>Portugal</v>
      </c>
    </row>
    <row r="246" spans="1:20" x14ac:dyDescent="0.2">
      <c r="A246" s="1">
        <v>10492</v>
      </c>
      <c r="B246" s="3" t="s">
        <v>318</v>
      </c>
      <c r="C246" s="3">
        <v>3</v>
      </c>
      <c r="D246" s="4">
        <v>35521</v>
      </c>
      <c r="E246" s="4">
        <v>35549</v>
      </c>
      <c r="F246" s="4">
        <v>35531</v>
      </c>
      <c r="G246" s="3">
        <v>1</v>
      </c>
      <c r="H246" s="3">
        <v>62.89</v>
      </c>
      <c r="I246" s="3" t="s">
        <v>319</v>
      </c>
      <c r="J246" s="3" t="s">
        <v>320</v>
      </c>
      <c r="K246" s="3" t="s">
        <v>321</v>
      </c>
      <c r="L246" s="3" t="s">
        <v>322</v>
      </c>
      <c r="M246" s="3" t="s">
        <v>323</v>
      </c>
      <c r="N246" s="3" t="s">
        <v>249</v>
      </c>
      <c r="O246" s="2"/>
      <c r="P246" t="str">
        <f t="shared" si="16"/>
        <v>23 Tsawassen Blvd.</v>
      </c>
      <c r="Q246" t="str">
        <f t="shared" si="20"/>
        <v>Tsawassen</v>
      </c>
      <c r="R246" t="str">
        <f t="shared" si="17"/>
        <v>BC</v>
      </c>
      <c r="S246" t="str">
        <f t="shared" si="18"/>
        <v>T2F 8M4</v>
      </c>
      <c r="T246" t="str">
        <f t="shared" si="19"/>
        <v>Canada</v>
      </c>
    </row>
    <row r="247" spans="1:20" x14ac:dyDescent="0.2">
      <c r="A247" s="1">
        <v>10493</v>
      </c>
      <c r="B247" s="3" t="s">
        <v>262</v>
      </c>
      <c r="C247" s="3">
        <v>4</v>
      </c>
      <c r="D247" s="4">
        <v>35522</v>
      </c>
      <c r="E247" s="4">
        <v>35550</v>
      </c>
      <c r="F247" s="4">
        <v>35530</v>
      </c>
      <c r="G247" s="3">
        <v>3</v>
      </c>
      <c r="H247" s="3">
        <v>10.64</v>
      </c>
      <c r="I247" s="3" t="s">
        <v>263</v>
      </c>
      <c r="J247" s="3" t="s">
        <v>264</v>
      </c>
      <c r="K247" s="3" t="s">
        <v>265</v>
      </c>
      <c r="L247" s="3" t="s">
        <v>18</v>
      </c>
      <c r="M247" s="3">
        <v>31000</v>
      </c>
      <c r="N247" s="3" t="s">
        <v>19</v>
      </c>
      <c r="O247" s="2"/>
      <c r="P247" t="str">
        <f t="shared" si="16"/>
        <v>1 rue Alsace-Lorraine</v>
      </c>
      <c r="Q247" t="str">
        <f t="shared" si="20"/>
        <v>Toulouse</v>
      </c>
      <c r="R247" t="str">
        <f t="shared" si="17"/>
        <v>NULL</v>
      </c>
      <c r="S247">
        <f t="shared" si="18"/>
        <v>31000</v>
      </c>
      <c r="T247" t="str">
        <f t="shared" si="19"/>
        <v>France</v>
      </c>
    </row>
    <row r="248" spans="1:20" x14ac:dyDescent="0.2">
      <c r="A248" s="1">
        <v>10494</v>
      </c>
      <c r="B248" s="3" t="s">
        <v>170</v>
      </c>
      <c r="C248" s="3">
        <v>4</v>
      </c>
      <c r="D248" s="4">
        <v>35522</v>
      </c>
      <c r="E248" s="4">
        <v>35550</v>
      </c>
      <c r="F248" s="4">
        <v>35529</v>
      </c>
      <c r="G248" s="3">
        <v>2</v>
      </c>
      <c r="H248" s="3">
        <v>65.989999999999995</v>
      </c>
      <c r="I248" s="3" t="s">
        <v>171</v>
      </c>
      <c r="J248" s="3" t="s">
        <v>172</v>
      </c>
      <c r="K248" s="3">
        <v>23</v>
      </c>
      <c r="L248" s="3" t="s">
        <v>173</v>
      </c>
      <c r="M248" s="3" t="s">
        <v>55</v>
      </c>
      <c r="N248" s="3" t="s">
        <v>174</v>
      </c>
      <c r="O248" s="3" t="s">
        <v>31</v>
      </c>
      <c r="P248" t="str">
        <f t="shared" si="16"/>
        <v>Av. dos Lusíadas 23</v>
      </c>
      <c r="Q248" t="str">
        <f t="shared" si="20"/>
        <v>Sao Paulo</v>
      </c>
      <c r="R248" t="str">
        <f t="shared" si="17"/>
        <v>SP</v>
      </c>
      <c r="S248" t="str">
        <f t="shared" si="18"/>
        <v>05432-043</v>
      </c>
      <c r="T248" t="str">
        <f t="shared" si="19"/>
        <v>Brazil</v>
      </c>
    </row>
    <row r="249" spans="1:20" x14ac:dyDescent="0.2">
      <c r="A249" s="1">
        <v>10495</v>
      </c>
      <c r="B249" s="3" t="s">
        <v>358</v>
      </c>
      <c r="C249" s="3">
        <v>3</v>
      </c>
      <c r="D249" s="4">
        <v>35523</v>
      </c>
      <c r="E249" s="4">
        <v>35551</v>
      </c>
      <c r="F249" s="4">
        <v>35531</v>
      </c>
      <c r="G249" s="3">
        <v>3</v>
      </c>
      <c r="H249" s="3">
        <v>4.6500000000000004</v>
      </c>
      <c r="I249" s="3" t="s">
        <v>359</v>
      </c>
      <c r="J249" s="3" t="s">
        <v>360</v>
      </c>
      <c r="K249" s="3" t="s">
        <v>361</v>
      </c>
      <c r="L249" s="3" t="s">
        <v>322</v>
      </c>
      <c r="M249" s="3" t="s">
        <v>362</v>
      </c>
      <c r="N249" s="3" t="s">
        <v>249</v>
      </c>
      <c r="O249" s="2"/>
      <c r="P249" t="str">
        <f t="shared" si="16"/>
        <v>2319 Elm St.</v>
      </c>
      <c r="Q249" t="str">
        <f t="shared" si="20"/>
        <v>Vancouver</v>
      </c>
      <c r="R249" t="str">
        <f t="shared" si="17"/>
        <v>BC</v>
      </c>
      <c r="S249" t="str">
        <f t="shared" si="18"/>
        <v>V3F 2K1</v>
      </c>
      <c r="T249" t="str">
        <f t="shared" si="19"/>
        <v>Canada</v>
      </c>
    </row>
    <row r="250" spans="1:20" x14ac:dyDescent="0.2">
      <c r="A250" s="1">
        <v>10496</v>
      </c>
      <c r="B250" s="3" t="s">
        <v>175</v>
      </c>
      <c r="C250" s="3">
        <v>7</v>
      </c>
      <c r="D250" s="4">
        <v>35524</v>
      </c>
      <c r="E250" s="4">
        <v>35552</v>
      </c>
      <c r="F250" s="4">
        <v>35527</v>
      </c>
      <c r="G250" s="3">
        <v>2</v>
      </c>
      <c r="H250" s="3">
        <v>46.77</v>
      </c>
      <c r="I250" s="3" t="s">
        <v>176</v>
      </c>
      <c r="J250" s="3" t="s">
        <v>177</v>
      </c>
      <c r="K250" s="3">
        <v>414</v>
      </c>
      <c r="L250" s="3" t="s">
        <v>173</v>
      </c>
      <c r="M250" s="3" t="s">
        <v>55</v>
      </c>
      <c r="N250" s="3" t="s">
        <v>178</v>
      </c>
      <c r="O250" s="3" t="s">
        <v>31</v>
      </c>
      <c r="P250" t="str">
        <f t="shared" si="16"/>
        <v>Av. Inês de Castro 414</v>
      </c>
      <c r="Q250" t="str">
        <f t="shared" si="20"/>
        <v>Sao Paulo</v>
      </c>
      <c r="R250" t="str">
        <f t="shared" si="17"/>
        <v>SP</v>
      </c>
      <c r="S250" t="str">
        <f t="shared" si="18"/>
        <v>05634-030</v>
      </c>
      <c r="T250" t="str">
        <f t="shared" si="19"/>
        <v>Brazil</v>
      </c>
    </row>
    <row r="251" spans="1:20" x14ac:dyDescent="0.2">
      <c r="A251" s="1">
        <v>10497</v>
      </c>
      <c r="B251" s="3" t="s">
        <v>142</v>
      </c>
      <c r="C251" s="3">
        <v>7</v>
      </c>
      <c r="D251" s="4">
        <v>35524</v>
      </c>
      <c r="E251" s="4">
        <v>35552</v>
      </c>
      <c r="F251" s="4">
        <v>35527</v>
      </c>
      <c r="G251" s="3">
        <v>1</v>
      </c>
      <c r="H251" s="3">
        <v>36.21</v>
      </c>
      <c r="I251" s="3" t="s">
        <v>143</v>
      </c>
      <c r="J251" s="3" t="s">
        <v>144</v>
      </c>
      <c r="K251" s="3" t="s">
        <v>145</v>
      </c>
      <c r="L251" s="3" t="s">
        <v>18</v>
      </c>
      <c r="M251" s="3">
        <v>60528</v>
      </c>
      <c r="N251" s="3" t="s">
        <v>24</v>
      </c>
      <c r="O251" s="2"/>
      <c r="P251" t="str">
        <f t="shared" si="16"/>
        <v>Magazinweg 7</v>
      </c>
      <c r="Q251" t="str">
        <f t="shared" si="20"/>
        <v>Frankfurt a.M.</v>
      </c>
      <c r="R251" t="str">
        <f t="shared" si="17"/>
        <v>NULL</v>
      </c>
      <c r="S251">
        <f t="shared" si="18"/>
        <v>60528</v>
      </c>
      <c r="T251" t="str">
        <f t="shared" si="19"/>
        <v>Germany</v>
      </c>
    </row>
    <row r="252" spans="1:20" x14ac:dyDescent="0.2">
      <c r="A252" s="1">
        <v>10498</v>
      </c>
      <c r="B252" s="3" t="s">
        <v>57</v>
      </c>
      <c r="C252" s="3">
        <v>8</v>
      </c>
      <c r="D252" s="4">
        <v>35527</v>
      </c>
      <c r="E252" s="4">
        <v>35555</v>
      </c>
      <c r="F252" s="4">
        <v>35531</v>
      </c>
      <c r="G252" s="3">
        <v>2</v>
      </c>
      <c r="H252" s="3">
        <v>29.75</v>
      </c>
      <c r="I252" s="3" t="s">
        <v>58</v>
      </c>
      <c r="J252" s="3" t="s">
        <v>59</v>
      </c>
      <c r="K252" s="3" t="s">
        <v>60</v>
      </c>
      <c r="L252" s="3" t="s">
        <v>61</v>
      </c>
      <c r="M252" s="3">
        <v>5022</v>
      </c>
      <c r="N252" s="3" t="s">
        <v>62</v>
      </c>
      <c r="O252" s="2"/>
      <c r="P252" t="str">
        <f t="shared" si="16"/>
        <v>Carrera 22 con Ave. Carlos Soublette #8-35</v>
      </c>
      <c r="Q252" t="str">
        <f t="shared" si="20"/>
        <v>San Cristóbal</v>
      </c>
      <c r="R252" t="str">
        <f t="shared" si="17"/>
        <v>Táchira</v>
      </c>
      <c r="S252">
        <f t="shared" si="18"/>
        <v>5022</v>
      </c>
      <c r="T252" t="str">
        <f t="shared" si="19"/>
        <v>Venezuela</v>
      </c>
    </row>
    <row r="253" spans="1:20" x14ac:dyDescent="0.2">
      <c r="A253" s="1">
        <v>10499</v>
      </c>
      <c r="B253" s="3" t="s">
        <v>151</v>
      </c>
      <c r="C253" s="3">
        <v>4</v>
      </c>
      <c r="D253" s="4">
        <v>35528</v>
      </c>
      <c r="E253" s="4">
        <v>35556</v>
      </c>
      <c r="F253" s="4">
        <v>35536</v>
      </c>
      <c r="G253" s="3">
        <v>2</v>
      </c>
      <c r="H253" s="3">
        <v>102.02</v>
      </c>
      <c r="I253" s="3" t="s">
        <v>152</v>
      </c>
      <c r="J253" s="3" t="s">
        <v>153</v>
      </c>
      <c r="K253" s="3" t="s">
        <v>154</v>
      </c>
      <c r="L253" s="3" t="s">
        <v>155</v>
      </c>
      <c r="M253" s="3">
        <v>3508</v>
      </c>
      <c r="N253" s="3" t="s">
        <v>62</v>
      </c>
      <c r="O253" s="2"/>
      <c r="P253" t="str">
        <f t="shared" si="16"/>
        <v>Carrera 52 con Ave. Bolívar #65-98 Llano Largo</v>
      </c>
      <c r="Q253" t="str">
        <f t="shared" si="20"/>
        <v>Barquisimeto</v>
      </c>
      <c r="R253" t="str">
        <f t="shared" si="17"/>
        <v>Lara</v>
      </c>
      <c r="S253">
        <f t="shared" si="18"/>
        <v>3508</v>
      </c>
      <c r="T253" t="str">
        <f t="shared" si="19"/>
        <v>Venezuela</v>
      </c>
    </row>
    <row r="254" spans="1:20" x14ac:dyDescent="0.2">
      <c r="A254" s="1">
        <v>10500</v>
      </c>
      <c r="B254" s="3" t="s">
        <v>262</v>
      </c>
      <c r="C254" s="3">
        <v>6</v>
      </c>
      <c r="D254" s="4">
        <v>35529</v>
      </c>
      <c r="E254" s="4">
        <v>35557</v>
      </c>
      <c r="F254" s="4">
        <v>35537</v>
      </c>
      <c r="G254" s="3">
        <v>1</v>
      </c>
      <c r="H254" s="3">
        <v>42.68</v>
      </c>
      <c r="I254" s="3" t="s">
        <v>263</v>
      </c>
      <c r="J254" s="3" t="s">
        <v>264</v>
      </c>
      <c r="K254" s="3" t="s">
        <v>265</v>
      </c>
      <c r="L254" s="3" t="s">
        <v>18</v>
      </c>
      <c r="M254" s="3">
        <v>31000</v>
      </c>
      <c r="N254" s="3" t="s">
        <v>19</v>
      </c>
      <c r="O254" s="2"/>
      <c r="P254" t="str">
        <f t="shared" si="16"/>
        <v>1 rue Alsace-Lorraine</v>
      </c>
      <c r="Q254" t="str">
        <f t="shared" si="20"/>
        <v>Toulouse</v>
      </c>
      <c r="R254" t="str">
        <f t="shared" si="17"/>
        <v>NULL</v>
      </c>
      <c r="S254">
        <f t="shared" si="18"/>
        <v>31000</v>
      </c>
      <c r="T254" t="str">
        <f t="shared" si="19"/>
        <v>France</v>
      </c>
    </row>
    <row r="255" spans="1:20" x14ac:dyDescent="0.2">
      <c r="A255" s="1">
        <v>10501</v>
      </c>
      <c r="B255" s="3" t="s">
        <v>363</v>
      </c>
      <c r="C255" s="3">
        <v>9</v>
      </c>
      <c r="D255" s="4">
        <v>35529</v>
      </c>
      <c r="E255" s="4">
        <v>35557</v>
      </c>
      <c r="F255" s="4">
        <v>35536</v>
      </c>
      <c r="G255" s="3">
        <v>3</v>
      </c>
      <c r="H255" s="3">
        <v>8.85</v>
      </c>
      <c r="I255" s="3" t="s">
        <v>364</v>
      </c>
      <c r="J255" s="3" t="s">
        <v>365</v>
      </c>
      <c r="K255" s="3" t="s">
        <v>366</v>
      </c>
      <c r="L255" s="3" t="s">
        <v>18</v>
      </c>
      <c r="M255" s="3">
        <v>68306</v>
      </c>
      <c r="N255" s="3" t="s">
        <v>24</v>
      </c>
      <c r="O255" s="2"/>
      <c r="P255" t="str">
        <f t="shared" si="16"/>
        <v>Forsterstr. 57</v>
      </c>
      <c r="Q255" t="str">
        <f t="shared" si="20"/>
        <v>Mannheim</v>
      </c>
      <c r="R255" t="str">
        <f t="shared" si="17"/>
        <v>NULL</v>
      </c>
      <c r="S255">
        <f t="shared" si="18"/>
        <v>68306</v>
      </c>
      <c r="T255" t="str">
        <f t="shared" si="19"/>
        <v>Germany</v>
      </c>
    </row>
    <row r="256" spans="1:20" x14ac:dyDescent="0.2">
      <c r="A256" s="1">
        <v>10502</v>
      </c>
      <c r="B256" s="3" t="s">
        <v>219</v>
      </c>
      <c r="C256" s="3">
        <v>2</v>
      </c>
      <c r="D256" s="4">
        <v>35530</v>
      </c>
      <c r="E256" s="4">
        <v>35558</v>
      </c>
      <c r="F256" s="4">
        <v>35549</v>
      </c>
      <c r="G256" s="3">
        <v>1</v>
      </c>
      <c r="H256" s="3">
        <v>69.319999999999993</v>
      </c>
      <c r="I256" s="3" t="s">
        <v>220</v>
      </c>
      <c r="J256" s="3" t="s">
        <v>221</v>
      </c>
      <c r="K256" s="3" t="s">
        <v>71</v>
      </c>
      <c r="L256" s="3" t="s">
        <v>18</v>
      </c>
      <c r="M256" s="3">
        <v>5033</v>
      </c>
      <c r="N256" s="3" t="s">
        <v>72</v>
      </c>
      <c r="O256" s="2"/>
      <c r="P256" t="str">
        <f t="shared" si="16"/>
        <v>Calle Dr. Jorge Cash 321</v>
      </c>
      <c r="Q256" t="str">
        <f t="shared" si="20"/>
        <v>México D.F.</v>
      </c>
      <c r="R256" t="str">
        <f t="shared" si="17"/>
        <v>NULL</v>
      </c>
      <c r="S256">
        <f t="shared" si="18"/>
        <v>5033</v>
      </c>
      <c r="T256" t="str">
        <f t="shared" si="19"/>
        <v>Mexico</v>
      </c>
    </row>
    <row r="257" spans="1:20" x14ac:dyDescent="0.2">
      <c r="A257" s="1">
        <v>10503</v>
      </c>
      <c r="B257" s="3" t="s">
        <v>179</v>
      </c>
      <c r="C257" s="3">
        <v>6</v>
      </c>
      <c r="D257" s="4">
        <v>35531</v>
      </c>
      <c r="E257" s="4">
        <v>35559</v>
      </c>
      <c r="F257" s="4">
        <v>35536</v>
      </c>
      <c r="G257" s="3">
        <v>2</v>
      </c>
      <c r="H257" s="3">
        <v>16.739999999999998</v>
      </c>
      <c r="I257" s="3" t="s">
        <v>180</v>
      </c>
      <c r="J257" s="3" t="s">
        <v>181</v>
      </c>
      <c r="K257" s="3" t="s">
        <v>182</v>
      </c>
      <c r="L257" s="3" t="s">
        <v>183</v>
      </c>
      <c r="M257" s="3" t="s">
        <v>18</v>
      </c>
      <c r="N257" s="3" t="s">
        <v>184</v>
      </c>
      <c r="O257" s="2"/>
      <c r="P257" t="str">
        <f t="shared" si="16"/>
        <v>8 Johnstown Road</v>
      </c>
      <c r="Q257" t="str">
        <f t="shared" si="20"/>
        <v>Cork</v>
      </c>
      <c r="R257" t="str">
        <f t="shared" si="17"/>
        <v>Co. Cork</v>
      </c>
      <c r="S257" t="str">
        <f t="shared" si="18"/>
        <v>NULL</v>
      </c>
      <c r="T257" t="str">
        <f t="shared" si="19"/>
        <v>Ireland</v>
      </c>
    </row>
    <row r="258" spans="1:20" x14ac:dyDescent="0.2">
      <c r="A258" s="1">
        <v>10504</v>
      </c>
      <c r="B258" s="3" t="s">
        <v>111</v>
      </c>
      <c r="C258" s="3">
        <v>4</v>
      </c>
      <c r="D258" s="4">
        <v>35531</v>
      </c>
      <c r="E258" s="4">
        <v>35559</v>
      </c>
      <c r="F258" s="4">
        <v>35538</v>
      </c>
      <c r="G258" s="3">
        <v>3</v>
      </c>
      <c r="H258" s="3">
        <v>59.13</v>
      </c>
      <c r="I258" s="3" t="s">
        <v>112</v>
      </c>
      <c r="J258" s="3" t="s">
        <v>113</v>
      </c>
      <c r="K258" s="3" t="s">
        <v>114</v>
      </c>
      <c r="L258" s="3" t="s">
        <v>115</v>
      </c>
      <c r="M258" s="3">
        <v>98124</v>
      </c>
      <c r="N258" s="3" t="s">
        <v>86</v>
      </c>
      <c r="O258" s="2"/>
      <c r="P258" t="str">
        <f t="shared" ref="P258:P321" si="21">IF(O258&lt;&gt;"",J258&amp;" "&amp;K258,J258)</f>
        <v>1029 - 12th Ave. S.</v>
      </c>
      <c r="Q258" t="str">
        <f t="shared" si="20"/>
        <v>Seattle</v>
      </c>
      <c r="R258" t="str">
        <f t="shared" si="17"/>
        <v>WA</v>
      </c>
      <c r="S258">
        <f t="shared" si="18"/>
        <v>98124</v>
      </c>
      <c r="T258" t="str">
        <f t="shared" si="19"/>
        <v>USA</v>
      </c>
    </row>
    <row r="259" spans="1:20" x14ac:dyDescent="0.2">
      <c r="A259" s="1">
        <v>10505</v>
      </c>
      <c r="B259" s="3" t="s">
        <v>243</v>
      </c>
      <c r="C259" s="3">
        <v>3</v>
      </c>
      <c r="D259" s="4">
        <v>35534</v>
      </c>
      <c r="E259" s="4">
        <v>35562</v>
      </c>
      <c r="F259" s="4">
        <v>35541</v>
      </c>
      <c r="G259" s="3">
        <v>3</v>
      </c>
      <c r="H259" s="3">
        <v>7.13</v>
      </c>
      <c r="I259" s="3" t="s">
        <v>244</v>
      </c>
      <c r="J259" s="3" t="s">
        <v>245</v>
      </c>
      <c r="K259" s="3" t="s">
        <v>246</v>
      </c>
      <c r="L259" s="3" t="s">
        <v>247</v>
      </c>
      <c r="M259" s="3" t="s">
        <v>248</v>
      </c>
      <c r="N259" s="3" t="s">
        <v>249</v>
      </c>
      <c r="O259" s="2"/>
      <c r="P259" t="str">
        <f t="shared" si="21"/>
        <v>43 rue St. Laurent</v>
      </c>
      <c r="Q259" t="str">
        <f t="shared" si="20"/>
        <v>Montréal</v>
      </c>
      <c r="R259" t="str">
        <f t="shared" ref="R259:R322" si="22">IF(O259&lt;&gt;"",M259,L259)</f>
        <v>Québec</v>
      </c>
      <c r="S259" t="str">
        <f t="shared" ref="S259:S322" si="23">IF(O259&lt;&gt;"",N259,M259)</f>
        <v>H1J 1C3</v>
      </c>
      <c r="T259" t="str">
        <f t="shared" ref="T259:T322" si="24">IF(O259&lt;&gt;"",O259,N259)</f>
        <v>Canada</v>
      </c>
    </row>
    <row r="260" spans="1:20" x14ac:dyDescent="0.2">
      <c r="A260" s="1">
        <v>10506</v>
      </c>
      <c r="B260" s="3" t="s">
        <v>222</v>
      </c>
      <c r="C260" s="3">
        <v>9</v>
      </c>
      <c r="D260" s="4">
        <v>35535</v>
      </c>
      <c r="E260" s="4">
        <v>35563</v>
      </c>
      <c r="F260" s="4">
        <v>35552</v>
      </c>
      <c r="G260" s="3">
        <v>2</v>
      </c>
      <c r="H260" s="3">
        <v>21.19</v>
      </c>
      <c r="I260" s="3" t="s">
        <v>223</v>
      </c>
      <c r="J260" s="3" t="s">
        <v>224</v>
      </c>
      <c r="K260" s="3" t="s">
        <v>225</v>
      </c>
      <c r="L260" s="3" t="s">
        <v>18</v>
      </c>
      <c r="M260" s="3">
        <v>14776</v>
      </c>
      <c r="N260" s="3" t="s">
        <v>24</v>
      </c>
      <c r="O260" s="2"/>
      <c r="P260" t="str">
        <f t="shared" si="21"/>
        <v>Maubelstr. 90</v>
      </c>
      <c r="Q260" t="str">
        <f t="shared" si="20"/>
        <v>Brandenburg</v>
      </c>
      <c r="R260" t="str">
        <f t="shared" si="22"/>
        <v>NULL</v>
      </c>
      <c r="S260">
        <f t="shared" si="23"/>
        <v>14776</v>
      </c>
      <c r="T260" t="str">
        <f t="shared" si="24"/>
        <v>Germany</v>
      </c>
    </row>
    <row r="261" spans="1:20" x14ac:dyDescent="0.2">
      <c r="A261" s="1">
        <v>10507</v>
      </c>
      <c r="B261" s="3" t="s">
        <v>288</v>
      </c>
      <c r="C261" s="3">
        <v>7</v>
      </c>
      <c r="D261" s="4">
        <v>35535</v>
      </c>
      <c r="E261" s="4">
        <v>35563</v>
      </c>
      <c r="F261" s="4">
        <v>35542</v>
      </c>
      <c r="G261" s="3">
        <v>1</v>
      </c>
      <c r="H261" s="3">
        <v>47.45</v>
      </c>
      <c r="I261" s="3" t="s">
        <v>289</v>
      </c>
      <c r="J261" s="3" t="s">
        <v>290</v>
      </c>
      <c r="K261" s="3" t="s">
        <v>71</v>
      </c>
      <c r="L261" s="3" t="s">
        <v>18</v>
      </c>
      <c r="M261" s="3">
        <v>5023</v>
      </c>
      <c r="N261" s="3" t="s">
        <v>72</v>
      </c>
      <c r="O261" s="2"/>
      <c r="P261" t="str">
        <f t="shared" si="21"/>
        <v>Mataderos  2312</v>
      </c>
      <c r="Q261" t="str">
        <f t="shared" si="20"/>
        <v>México D.F.</v>
      </c>
      <c r="R261" t="str">
        <f t="shared" si="22"/>
        <v>NULL</v>
      </c>
      <c r="S261">
        <f t="shared" si="23"/>
        <v>5023</v>
      </c>
      <c r="T261" t="str">
        <f t="shared" si="24"/>
        <v>Mexico</v>
      </c>
    </row>
    <row r="262" spans="1:20" x14ac:dyDescent="0.2">
      <c r="A262" s="1">
        <v>10508</v>
      </c>
      <c r="B262" s="3" t="s">
        <v>73</v>
      </c>
      <c r="C262" s="3">
        <v>1</v>
      </c>
      <c r="D262" s="4">
        <v>35536</v>
      </c>
      <c r="E262" s="4">
        <v>35564</v>
      </c>
      <c r="F262" s="4">
        <v>35563</v>
      </c>
      <c r="G262" s="3">
        <v>2</v>
      </c>
      <c r="H262" s="3">
        <v>4.99</v>
      </c>
      <c r="I262" s="3" t="s">
        <v>74</v>
      </c>
      <c r="J262" s="3" t="s">
        <v>75</v>
      </c>
      <c r="K262" s="3" t="s">
        <v>76</v>
      </c>
      <c r="L262" s="3" t="s">
        <v>18</v>
      </c>
      <c r="M262" s="3">
        <v>50739</v>
      </c>
      <c r="N262" s="3" t="s">
        <v>24</v>
      </c>
      <c r="O262" s="2"/>
      <c r="P262" t="str">
        <f t="shared" si="21"/>
        <v>Mehrheimerstr. 369</v>
      </c>
      <c r="Q262" t="str">
        <f t="shared" si="20"/>
        <v>Köln</v>
      </c>
      <c r="R262" t="str">
        <f t="shared" si="22"/>
        <v>NULL</v>
      </c>
      <c r="S262">
        <f t="shared" si="23"/>
        <v>50739</v>
      </c>
      <c r="T262" t="str">
        <f t="shared" si="24"/>
        <v>Germany</v>
      </c>
    </row>
    <row r="263" spans="1:20" x14ac:dyDescent="0.2">
      <c r="A263" s="1">
        <v>10509</v>
      </c>
      <c r="B263" s="3" t="s">
        <v>363</v>
      </c>
      <c r="C263" s="3">
        <v>4</v>
      </c>
      <c r="D263" s="4">
        <v>35537</v>
      </c>
      <c r="E263" s="4">
        <v>35565</v>
      </c>
      <c r="F263" s="4">
        <v>35549</v>
      </c>
      <c r="G263" s="3">
        <v>1</v>
      </c>
      <c r="H263" s="3">
        <v>0.15</v>
      </c>
      <c r="I263" s="3" t="s">
        <v>364</v>
      </c>
      <c r="J263" s="3" t="s">
        <v>365</v>
      </c>
      <c r="K263" s="3" t="s">
        <v>366</v>
      </c>
      <c r="L263" s="3" t="s">
        <v>18</v>
      </c>
      <c r="M263" s="3">
        <v>68306</v>
      </c>
      <c r="N263" s="3" t="s">
        <v>24</v>
      </c>
      <c r="O263" s="2"/>
      <c r="P263" t="str">
        <f t="shared" si="21"/>
        <v>Forsterstr. 57</v>
      </c>
      <c r="Q263" t="str">
        <f t="shared" ref="Q263:Q326" si="25">IF(O263&lt;&gt;"",L263,K263)</f>
        <v>Mannheim</v>
      </c>
      <c r="R263" t="str">
        <f t="shared" si="22"/>
        <v>NULL</v>
      </c>
      <c r="S263">
        <f t="shared" si="23"/>
        <v>68306</v>
      </c>
      <c r="T263" t="str">
        <f t="shared" si="24"/>
        <v>Germany</v>
      </c>
    </row>
    <row r="264" spans="1:20" x14ac:dyDescent="0.2">
      <c r="A264" s="1">
        <v>10510</v>
      </c>
      <c r="B264" s="3" t="s">
        <v>226</v>
      </c>
      <c r="C264" s="3">
        <v>6</v>
      </c>
      <c r="D264" s="4">
        <v>35538</v>
      </c>
      <c r="E264" s="4">
        <v>35566</v>
      </c>
      <c r="F264" s="4">
        <v>35548</v>
      </c>
      <c r="G264" s="3">
        <v>3</v>
      </c>
      <c r="H264" s="3">
        <v>367.63</v>
      </c>
      <c r="I264" s="3" t="s">
        <v>227</v>
      </c>
      <c r="J264" s="3" t="s">
        <v>228</v>
      </c>
      <c r="K264" s="3" t="s">
        <v>229</v>
      </c>
      <c r="L264" s="3" t="s">
        <v>230</v>
      </c>
      <c r="M264" s="3">
        <v>83720</v>
      </c>
      <c r="N264" s="3" t="s">
        <v>86</v>
      </c>
      <c r="O264" s="2"/>
      <c r="P264" t="str">
        <f t="shared" si="21"/>
        <v>187 Suffolk Ln.</v>
      </c>
      <c r="Q264" t="str">
        <f t="shared" si="25"/>
        <v>Boise</v>
      </c>
      <c r="R264" t="str">
        <f t="shared" si="22"/>
        <v>ID</v>
      </c>
      <c r="S264">
        <f t="shared" si="23"/>
        <v>83720</v>
      </c>
      <c r="T264" t="str">
        <f t="shared" si="24"/>
        <v>USA</v>
      </c>
    </row>
    <row r="265" spans="1:20" x14ac:dyDescent="0.2">
      <c r="A265" s="1">
        <v>10511</v>
      </c>
      <c r="B265" s="3" t="s">
        <v>239</v>
      </c>
      <c r="C265" s="3">
        <v>4</v>
      </c>
      <c r="D265" s="4">
        <v>35538</v>
      </c>
      <c r="E265" s="4">
        <v>35566</v>
      </c>
      <c r="F265" s="4">
        <v>35541</v>
      </c>
      <c r="G265" s="3">
        <v>3</v>
      </c>
      <c r="H265" s="3">
        <v>350.64</v>
      </c>
      <c r="I265" s="3" t="s">
        <v>240</v>
      </c>
      <c r="J265" s="3">
        <v>12</v>
      </c>
      <c r="K265" s="3" t="s">
        <v>241</v>
      </c>
      <c r="L265" s="3" t="s">
        <v>242</v>
      </c>
      <c r="M265" s="3" t="s">
        <v>18</v>
      </c>
      <c r="N265" s="3">
        <v>13008</v>
      </c>
      <c r="O265" s="3" t="s">
        <v>19</v>
      </c>
      <c r="P265" t="str">
        <f t="shared" si="21"/>
        <v>12  rue des Bouchers</v>
      </c>
      <c r="Q265" t="str">
        <f t="shared" si="25"/>
        <v>Marseille</v>
      </c>
      <c r="R265" t="str">
        <f t="shared" si="22"/>
        <v>NULL</v>
      </c>
      <c r="S265">
        <f t="shared" si="23"/>
        <v>13008</v>
      </c>
      <c r="T265" t="str">
        <f t="shared" si="24"/>
        <v>France</v>
      </c>
    </row>
    <row r="266" spans="1:20" x14ac:dyDescent="0.2">
      <c r="A266" s="1">
        <v>10512</v>
      </c>
      <c r="B266" s="3" t="s">
        <v>258</v>
      </c>
      <c r="C266" s="3">
        <v>7</v>
      </c>
      <c r="D266" s="4">
        <v>35541</v>
      </c>
      <c r="E266" s="4">
        <v>35569</v>
      </c>
      <c r="F266" s="4">
        <v>35544</v>
      </c>
      <c r="G266" s="3">
        <v>2</v>
      </c>
      <c r="H266" s="3">
        <v>3.53</v>
      </c>
      <c r="I266" s="3" t="s">
        <v>259</v>
      </c>
      <c r="J266" s="3" t="s">
        <v>260</v>
      </c>
      <c r="K266" s="3">
        <v>92</v>
      </c>
      <c r="L266" s="3" t="s">
        <v>173</v>
      </c>
      <c r="M266" s="3" t="s">
        <v>55</v>
      </c>
      <c r="N266" s="3" t="s">
        <v>261</v>
      </c>
      <c r="O266" s="3" t="s">
        <v>31</v>
      </c>
      <c r="P266" t="str">
        <f t="shared" si="21"/>
        <v>Rua Orós 92</v>
      </c>
      <c r="Q266" t="str">
        <f t="shared" si="25"/>
        <v>Sao Paulo</v>
      </c>
      <c r="R266" t="str">
        <f t="shared" si="22"/>
        <v>SP</v>
      </c>
      <c r="S266" t="str">
        <f t="shared" si="23"/>
        <v>05442-030</v>
      </c>
      <c r="T266" t="str">
        <f t="shared" si="24"/>
        <v>Brazil</v>
      </c>
    </row>
    <row r="267" spans="1:20" x14ac:dyDescent="0.2">
      <c r="A267" s="1">
        <v>10513</v>
      </c>
      <c r="B267" s="3" t="s">
        <v>185</v>
      </c>
      <c r="C267" s="3">
        <v>7</v>
      </c>
      <c r="D267" s="4">
        <v>35542</v>
      </c>
      <c r="E267" s="4">
        <v>35584</v>
      </c>
      <c r="F267" s="4">
        <v>35548</v>
      </c>
      <c r="G267" s="3">
        <v>1</v>
      </c>
      <c r="H267" s="3">
        <v>105.65</v>
      </c>
      <c r="I267" s="3" t="s">
        <v>186</v>
      </c>
      <c r="J267" s="3" t="s">
        <v>187</v>
      </c>
      <c r="K267" s="3" t="s">
        <v>188</v>
      </c>
      <c r="L267" s="3" t="s">
        <v>18</v>
      </c>
      <c r="M267" s="3">
        <v>70563</v>
      </c>
      <c r="N267" s="3" t="s">
        <v>24</v>
      </c>
      <c r="O267" s="2"/>
      <c r="P267" t="str">
        <f t="shared" si="21"/>
        <v>Adenauerallee 900</v>
      </c>
      <c r="Q267" t="str">
        <f t="shared" si="25"/>
        <v>Stuttgart</v>
      </c>
      <c r="R267" t="str">
        <f t="shared" si="22"/>
        <v>NULL</v>
      </c>
      <c r="S267">
        <f t="shared" si="23"/>
        <v>70563</v>
      </c>
      <c r="T267" t="str">
        <f t="shared" si="24"/>
        <v>Germany</v>
      </c>
    </row>
    <row r="268" spans="1:20" x14ac:dyDescent="0.2">
      <c r="A268" s="1">
        <v>10514</v>
      </c>
      <c r="B268" s="3" t="s">
        <v>63</v>
      </c>
      <c r="C268" s="3">
        <v>3</v>
      </c>
      <c r="D268" s="4">
        <v>35542</v>
      </c>
      <c r="E268" s="4">
        <v>35570</v>
      </c>
      <c r="F268" s="4">
        <v>35566</v>
      </c>
      <c r="G268" s="3">
        <v>2</v>
      </c>
      <c r="H268" s="3">
        <v>789.95</v>
      </c>
      <c r="I268" s="3" t="s">
        <v>64</v>
      </c>
      <c r="J268" s="3" t="s">
        <v>65</v>
      </c>
      <c r="K268" s="3" t="s">
        <v>66</v>
      </c>
      <c r="L268" s="3" t="s">
        <v>18</v>
      </c>
      <c r="M268" s="3">
        <v>8010</v>
      </c>
      <c r="N268" s="3" t="s">
        <v>67</v>
      </c>
      <c r="O268" s="2"/>
      <c r="P268" t="str">
        <f t="shared" si="21"/>
        <v>Kirchgasse 6</v>
      </c>
      <c r="Q268" t="str">
        <f t="shared" si="25"/>
        <v>Graz</v>
      </c>
      <c r="R268" t="str">
        <f t="shared" si="22"/>
        <v>NULL</v>
      </c>
      <c r="S268">
        <f t="shared" si="23"/>
        <v>8010</v>
      </c>
      <c r="T268" t="str">
        <f t="shared" si="24"/>
        <v>Austria</v>
      </c>
    </row>
    <row r="269" spans="1:20" x14ac:dyDescent="0.2">
      <c r="A269" s="1">
        <v>10515</v>
      </c>
      <c r="B269" s="3" t="s">
        <v>121</v>
      </c>
      <c r="C269" s="3">
        <v>2</v>
      </c>
      <c r="D269" s="4">
        <v>35543</v>
      </c>
      <c r="E269" s="4">
        <v>35557</v>
      </c>
      <c r="F269" s="4">
        <v>35573</v>
      </c>
      <c r="G269" s="3">
        <v>1</v>
      </c>
      <c r="H269" s="3">
        <v>204.47</v>
      </c>
      <c r="I269" s="3" t="s">
        <v>122</v>
      </c>
      <c r="J269" s="3" t="s">
        <v>123</v>
      </c>
      <c r="K269" s="3" t="s">
        <v>124</v>
      </c>
      <c r="L269" s="3" t="s">
        <v>18</v>
      </c>
      <c r="M269" s="3">
        <v>1307</v>
      </c>
      <c r="N269" s="3" t="s">
        <v>24</v>
      </c>
      <c r="O269" s="2"/>
      <c r="P269" t="str">
        <f t="shared" si="21"/>
        <v>Taucherstraße 10</v>
      </c>
      <c r="Q269" t="str">
        <f t="shared" si="25"/>
        <v>Cunewalde</v>
      </c>
      <c r="R269" t="str">
        <f t="shared" si="22"/>
        <v>NULL</v>
      </c>
      <c r="S269">
        <f t="shared" si="23"/>
        <v>1307</v>
      </c>
      <c r="T269" t="str">
        <f t="shared" si="24"/>
        <v>Germany</v>
      </c>
    </row>
    <row r="270" spans="1:20" x14ac:dyDescent="0.2">
      <c r="A270" s="1">
        <v>10516</v>
      </c>
      <c r="B270" s="3" t="s">
        <v>179</v>
      </c>
      <c r="C270" s="3">
        <v>2</v>
      </c>
      <c r="D270" s="4">
        <v>35544</v>
      </c>
      <c r="E270" s="4">
        <v>35572</v>
      </c>
      <c r="F270" s="4">
        <v>35551</v>
      </c>
      <c r="G270" s="3">
        <v>3</v>
      </c>
      <c r="H270" s="3">
        <v>62.78</v>
      </c>
      <c r="I270" s="3" t="s">
        <v>180</v>
      </c>
      <c r="J270" s="3" t="s">
        <v>181</v>
      </c>
      <c r="K270" s="3" t="s">
        <v>182</v>
      </c>
      <c r="L270" s="3" t="s">
        <v>183</v>
      </c>
      <c r="M270" s="3" t="s">
        <v>18</v>
      </c>
      <c r="N270" s="3" t="s">
        <v>184</v>
      </c>
      <c r="O270" s="2"/>
      <c r="P270" t="str">
        <f t="shared" si="21"/>
        <v>8 Johnstown Road</v>
      </c>
      <c r="Q270" t="str">
        <f t="shared" si="25"/>
        <v>Cork</v>
      </c>
      <c r="R270" t="str">
        <f t="shared" si="22"/>
        <v>Co. Cork</v>
      </c>
      <c r="S270" t="str">
        <f t="shared" si="23"/>
        <v>NULL</v>
      </c>
      <c r="T270" t="str">
        <f t="shared" si="24"/>
        <v>Ireland</v>
      </c>
    </row>
    <row r="271" spans="1:20" x14ac:dyDescent="0.2">
      <c r="A271" s="1">
        <v>10517</v>
      </c>
      <c r="B271" s="3" t="s">
        <v>367</v>
      </c>
      <c r="C271" s="3">
        <v>3</v>
      </c>
      <c r="D271" s="4">
        <v>35544</v>
      </c>
      <c r="E271" s="4">
        <v>35572</v>
      </c>
      <c r="F271" s="4">
        <v>35549</v>
      </c>
      <c r="G271" s="3">
        <v>3</v>
      </c>
      <c r="H271" s="3">
        <v>32.07</v>
      </c>
      <c r="I271" s="3" t="s">
        <v>368</v>
      </c>
      <c r="J271" s="3" t="s">
        <v>369</v>
      </c>
      <c r="K271" s="3" t="s">
        <v>167</v>
      </c>
      <c r="L271" s="3" t="s">
        <v>18</v>
      </c>
      <c r="M271" s="3" t="s">
        <v>370</v>
      </c>
      <c r="N271" s="3" t="s">
        <v>169</v>
      </c>
      <c r="O271" s="2"/>
      <c r="P271" t="str">
        <f t="shared" si="21"/>
        <v>South House 300 Queensbridge</v>
      </c>
      <c r="Q271" t="str">
        <f t="shared" si="25"/>
        <v>London</v>
      </c>
      <c r="R271" t="str">
        <f t="shared" si="22"/>
        <v>NULL</v>
      </c>
      <c r="S271" t="str">
        <f t="shared" si="23"/>
        <v>SW7 1RZ</v>
      </c>
      <c r="T271" t="str">
        <f t="shared" si="24"/>
        <v>UK</v>
      </c>
    </row>
    <row r="272" spans="1:20" x14ac:dyDescent="0.2">
      <c r="A272" s="1">
        <v>10518</v>
      </c>
      <c r="B272" s="3" t="s">
        <v>130</v>
      </c>
      <c r="C272" s="3">
        <v>4</v>
      </c>
      <c r="D272" s="4">
        <v>35545</v>
      </c>
      <c r="E272" s="4">
        <v>35559</v>
      </c>
      <c r="F272" s="4">
        <v>35555</v>
      </c>
      <c r="G272" s="3">
        <v>2</v>
      </c>
      <c r="H272" s="3">
        <v>218.15</v>
      </c>
      <c r="I272" s="3" t="s">
        <v>131</v>
      </c>
      <c r="J272" s="3" t="s">
        <v>132</v>
      </c>
      <c r="K272" s="3" t="s">
        <v>71</v>
      </c>
      <c r="L272" s="3" t="s">
        <v>18</v>
      </c>
      <c r="M272" s="3">
        <v>5033</v>
      </c>
      <c r="N272" s="3" t="s">
        <v>72</v>
      </c>
      <c r="O272" s="2"/>
      <c r="P272" t="str">
        <f t="shared" si="21"/>
        <v>Avda. Azteca 123</v>
      </c>
      <c r="Q272" t="str">
        <f t="shared" si="25"/>
        <v>México D.F.</v>
      </c>
      <c r="R272" t="str">
        <f t="shared" si="22"/>
        <v>NULL</v>
      </c>
      <c r="S272">
        <f t="shared" si="23"/>
        <v>5033</v>
      </c>
      <c r="T272" t="str">
        <f t="shared" si="24"/>
        <v>Mexico</v>
      </c>
    </row>
    <row r="273" spans="1:20" x14ac:dyDescent="0.2">
      <c r="A273" s="1">
        <v>10519</v>
      </c>
      <c r="B273" s="3" t="s">
        <v>42</v>
      </c>
      <c r="C273" s="3">
        <v>6</v>
      </c>
      <c r="D273" s="4">
        <v>35548</v>
      </c>
      <c r="E273" s="4">
        <v>35576</v>
      </c>
      <c r="F273" s="4">
        <v>35551</v>
      </c>
      <c r="G273" s="3">
        <v>3</v>
      </c>
      <c r="H273" s="3">
        <v>91.76</v>
      </c>
      <c r="I273" s="3" t="s">
        <v>43</v>
      </c>
      <c r="J273" s="3" t="s">
        <v>44</v>
      </c>
      <c r="K273" s="3" t="s">
        <v>45</v>
      </c>
      <c r="L273" s="3" t="s">
        <v>18</v>
      </c>
      <c r="M273" s="3">
        <v>3012</v>
      </c>
      <c r="N273" s="3" t="s">
        <v>46</v>
      </c>
      <c r="O273" s="2"/>
      <c r="P273" t="str">
        <f t="shared" si="21"/>
        <v>Hauptstr. 31</v>
      </c>
      <c r="Q273" t="str">
        <f t="shared" si="25"/>
        <v>Bern</v>
      </c>
      <c r="R273" t="str">
        <f t="shared" si="22"/>
        <v>NULL</v>
      </c>
      <c r="S273">
        <f t="shared" si="23"/>
        <v>3012</v>
      </c>
      <c r="T273" t="str">
        <f t="shared" si="24"/>
        <v>Switzerland</v>
      </c>
    </row>
    <row r="274" spans="1:20" x14ac:dyDescent="0.2">
      <c r="A274" s="1">
        <v>10520</v>
      </c>
      <c r="B274" s="3" t="s">
        <v>313</v>
      </c>
      <c r="C274" s="3">
        <v>7</v>
      </c>
      <c r="D274" s="4">
        <v>35549</v>
      </c>
      <c r="E274" s="4">
        <v>35577</v>
      </c>
      <c r="F274" s="4">
        <v>35551</v>
      </c>
      <c r="G274" s="3">
        <v>1</v>
      </c>
      <c r="H274" s="3">
        <v>13.37</v>
      </c>
      <c r="I274" s="3" t="s">
        <v>314</v>
      </c>
      <c r="J274" s="3" t="s">
        <v>315</v>
      </c>
      <c r="K274" s="3" t="s">
        <v>316</v>
      </c>
      <c r="L274" s="3" t="s">
        <v>18</v>
      </c>
      <c r="M274" s="3">
        <v>4110</v>
      </c>
      <c r="N274" s="3" t="s">
        <v>317</v>
      </c>
      <c r="O274" s="2"/>
      <c r="P274" t="str">
        <f t="shared" si="21"/>
        <v>Erling Skakkes gate 78</v>
      </c>
      <c r="Q274" t="str">
        <f t="shared" si="25"/>
        <v>Stavern</v>
      </c>
      <c r="R274" t="str">
        <f t="shared" si="22"/>
        <v>NULL</v>
      </c>
      <c r="S274">
        <f t="shared" si="23"/>
        <v>4110</v>
      </c>
      <c r="T274" t="str">
        <f t="shared" si="24"/>
        <v>Norway</v>
      </c>
    </row>
    <row r="275" spans="1:20" x14ac:dyDescent="0.2">
      <c r="A275" s="1">
        <v>10521</v>
      </c>
      <c r="B275" s="3" t="s">
        <v>371</v>
      </c>
      <c r="C275" s="3">
        <v>8</v>
      </c>
      <c r="D275" s="4">
        <v>35549</v>
      </c>
      <c r="E275" s="4">
        <v>35577</v>
      </c>
      <c r="F275" s="4">
        <v>35552</v>
      </c>
      <c r="G275" s="3">
        <v>2</v>
      </c>
      <c r="H275" s="3">
        <v>17.22</v>
      </c>
      <c r="I275" s="3" t="s">
        <v>372</v>
      </c>
      <c r="J275" s="3" t="s">
        <v>373</v>
      </c>
      <c r="K275" s="3" t="s">
        <v>336</v>
      </c>
      <c r="L275" s="3" t="s">
        <v>18</v>
      </c>
      <c r="M275" s="3">
        <v>1010</v>
      </c>
      <c r="N275" s="3" t="s">
        <v>337</v>
      </c>
      <c r="O275" s="2"/>
      <c r="P275" t="str">
        <f t="shared" si="21"/>
        <v>Cerrito 333</v>
      </c>
      <c r="Q275" t="str">
        <f t="shared" si="25"/>
        <v>Buenos Aires</v>
      </c>
      <c r="R275" t="str">
        <f t="shared" si="22"/>
        <v>NULL</v>
      </c>
      <c r="S275">
        <f t="shared" si="23"/>
        <v>1010</v>
      </c>
      <c r="T275" t="str">
        <f t="shared" si="24"/>
        <v>Argentina</v>
      </c>
    </row>
    <row r="276" spans="1:20" x14ac:dyDescent="0.2">
      <c r="A276" s="1">
        <v>10522</v>
      </c>
      <c r="B276" s="3" t="s">
        <v>142</v>
      </c>
      <c r="C276" s="3">
        <v>4</v>
      </c>
      <c r="D276" s="4">
        <v>35550</v>
      </c>
      <c r="E276" s="4">
        <v>35578</v>
      </c>
      <c r="F276" s="4">
        <v>35556</v>
      </c>
      <c r="G276" s="3">
        <v>1</v>
      </c>
      <c r="H276" s="3">
        <v>45.33</v>
      </c>
      <c r="I276" s="3" t="s">
        <v>143</v>
      </c>
      <c r="J276" s="3" t="s">
        <v>144</v>
      </c>
      <c r="K276" s="3" t="s">
        <v>145</v>
      </c>
      <c r="L276" s="3" t="s">
        <v>18</v>
      </c>
      <c r="M276" s="3">
        <v>60528</v>
      </c>
      <c r="N276" s="3" t="s">
        <v>24</v>
      </c>
      <c r="O276" s="2"/>
      <c r="P276" t="str">
        <f t="shared" si="21"/>
        <v>Magazinweg 7</v>
      </c>
      <c r="Q276" t="str">
        <f t="shared" si="25"/>
        <v>Frankfurt a.M.</v>
      </c>
      <c r="R276" t="str">
        <f t="shared" si="22"/>
        <v>NULL</v>
      </c>
      <c r="S276">
        <f t="shared" si="23"/>
        <v>60528</v>
      </c>
      <c r="T276" t="str">
        <f t="shared" si="24"/>
        <v>Germany</v>
      </c>
    </row>
    <row r="277" spans="1:20" x14ac:dyDescent="0.2">
      <c r="A277" s="1">
        <v>10523</v>
      </c>
      <c r="B277" s="3" t="s">
        <v>276</v>
      </c>
      <c r="C277" s="3">
        <v>7</v>
      </c>
      <c r="D277" s="4">
        <v>35551</v>
      </c>
      <c r="E277" s="4">
        <v>35579</v>
      </c>
      <c r="F277" s="4">
        <v>35580</v>
      </c>
      <c r="G277" s="3">
        <v>2</v>
      </c>
      <c r="H277" s="3">
        <v>77.63</v>
      </c>
      <c r="I277" s="3" t="s">
        <v>277</v>
      </c>
      <c r="J277" s="3" t="s">
        <v>278</v>
      </c>
      <c r="K277" s="3" t="s">
        <v>167</v>
      </c>
      <c r="L277" s="3" t="s">
        <v>18</v>
      </c>
      <c r="M277" s="3" t="s">
        <v>279</v>
      </c>
      <c r="N277" s="3" t="s">
        <v>169</v>
      </c>
      <c r="O277" s="2"/>
      <c r="P277" t="str">
        <f t="shared" si="21"/>
        <v>90 Wadhurst Rd.</v>
      </c>
      <c r="Q277" t="str">
        <f t="shared" si="25"/>
        <v>London</v>
      </c>
      <c r="R277" t="str">
        <f t="shared" si="22"/>
        <v>NULL</v>
      </c>
      <c r="S277" t="str">
        <f t="shared" si="23"/>
        <v>OX15 4NB</v>
      </c>
      <c r="T277" t="str">
        <f t="shared" si="24"/>
        <v>UK</v>
      </c>
    </row>
    <row r="278" spans="1:20" x14ac:dyDescent="0.2">
      <c r="A278" s="1">
        <v>10524</v>
      </c>
      <c r="B278" s="3" t="s">
        <v>137</v>
      </c>
      <c r="C278" s="3">
        <v>1</v>
      </c>
      <c r="D278" s="4">
        <v>35551</v>
      </c>
      <c r="E278" s="4">
        <v>35579</v>
      </c>
      <c r="F278" s="4">
        <v>35557</v>
      </c>
      <c r="G278" s="3">
        <v>2</v>
      </c>
      <c r="H278" s="3">
        <v>244.79</v>
      </c>
      <c r="I278" s="3" t="s">
        <v>138</v>
      </c>
      <c r="J278" s="3" t="s">
        <v>139</v>
      </c>
      <c r="K278" s="3" t="s">
        <v>140</v>
      </c>
      <c r="L278" s="3" t="s">
        <v>18</v>
      </c>
      <c r="M278" s="3" t="s">
        <v>141</v>
      </c>
      <c r="N278" s="3" t="s">
        <v>92</v>
      </c>
      <c r="O278" s="2"/>
      <c r="P278" t="str">
        <f t="shared" si="21"/>
        <v>Berguvsvägen  8</v>
      </c>
      <c r="Q278" t="str">
        <f t="shared" si="25"/>
        <v>Luleå</v>
      </c>
      <c r="R278" t="str">
        <f t="shared" si="22"/>
        <v>NULL</v>
      </c>
      <c r="S278" t="str">
        <f t="shared" si="23"/>
        <v>S-958 22</v>
      </c>
      <c r="T278" t="str">
        <f t="shared" si="24"/>
        <v>Sweden</v>
      </c>
    </row>
    <row r="279" spans="1:20" x14ac:dyDescent="0.2">
      <c r="A279" s="1">
        <v>10525</v>
      </c>
      <c r="B279" s="3" t="s">
        <v>239</v>
      </c>
      <c r="C279" s="3">
        <v>1</v>
      </c>
      <c r="D279" s="4">
        <v>35552</v>
      </c>
      <c r="E279" s="4">
        <v>35580</v>
      </c>
      <c r="F279" s="4">
        <v>35573</v>
      </c>
      <c r="G279" s="3">
        <v>2</v>
      </c>
      <c r="H279" s="3">
        <v>11.06</v>
      </c>
      <c r="I279" s="3" t="s">
        <v>240</v>
      </c>
      <c r="J279" s="3">
        <v>12</v>
      </c>
      <c r="K279" s="3" t="s">
        <v>241</v>
      </c>
      <c r="L279" s="3" t="s">
        <v>242</v>
      </c>
      <c r="M279" s="3" t="s">
        <v>18</v>
      </c>
      <c r="N279" s="3">
        <v>13008</v>
      </c>
      <c r="O279" s="3" t="s">
        <v>19</v>
      </c>
      <c r="P279" t="str">
        <f t="shared" si="21"/>
        <v>12  rue des Bouchers</v>
      </c>
      <c r="Q279" t="str">
        <f t="shared" si="25"/>
        <v>Marseille</v>
      </c>
      <c r="R279" t="str">
        <f t="shared" si="22"/>
        <v>NULL</v>
      </c>
      <c r="S279">
        <f t="shared" si="23"/>
        <v>13008</v>
      </c>
      <c r="T279" t="str">
        <f t="shared" si="24"/>
        <v>France</v>
      </c>
    </row>
    <row r="280" spans="1:20" x14ac:dyDescent="0.2">
      <c r="A280" s="1">
        <v>10526</v>
      </c>
      <c r="B280" s="3" t="s">
        <v>97</v>
      </c>
      <c r="C280" s="3">
        <v>4</v>
      </c>
      <c r="D280" s="4">
        <v>35555</v>
      </c>
      <c r="E280" s="4">
        <v>35583</v>
      </c>
      <c r="F280" s="4">
        <v>35565</v>
      </c>
      <c r="G280" s="3">
        <v>2</v>
      </c>
      <c r="H280" s="3">
        <v>58.59</v>
      </c>
      <c r="I280" s="3" t="s">
        <v>98</v>
      </c>
      <c r="J280" s="3" t="s">
        <v>99</v>
      </c>
      <c r="K280" s="3" t="s">
        <v>100</v>
      </c>
      <c r="L280" s="3" t="s">
        <v>18</v>
      </c>
      <c r="M280" s="3">
        <v>90110</v>
      </c>
      <c r="N280" s="3" t="s">
        <v>101</v>
      </c>
      <c r="O280" s="2"/>
      <c r="P280" t="str">
        <f t="shared" si="21"/>
        <v>Torikatu 38</v>
      </c>
      <c r="Q280" t="str">
        <f t="shared" si="25"/>
        <v>Oulu</v>
      </c>
      <c r="R280" t="str">
        <f t="shared" si="22"/>
        <v>NULL</v>
      </c>
      <c r="S280">
        <f t="shared" si="23"/>
        <v>90110</v>
      </c>
      <c r="T280" t="str">
        <f t="shared" si="24"/>
        <v>Finland</v>
      </c>
    </row>
    <row r="281" spans="1:20" x14ac:dyDescent="0.2">
      <c r="A281" s="1">
        <v>10527</v>
      </c>
      <c r="B281" s="3" t="s">
        <v>121</v>
      </c>
      <c r="C281" s="3">
        <v>7</v>
      </c>
      <c r="D281" s="4">
        <v>35555</v>
      </c>
      <c r="E281" s="4">
        <v>35583</v>
      </c>
      <c r="F281" s="4">
        <v>35557</v>
      </c>
      <c r="G281" s="3">
        <v>1</v>
      </c>
      <c r="H281" s="3">
        <v>41.9</v>
      </c>
      <c r="I281" s="3" t="s">
        <v>122</v>
      </c>
      <c r="J281" s="3" t="s">
        <v>123</v>
      </c>
      <c r="K281" s="3" t="s">
        <v>124</v>
      </c>
      <c r="L281" s="3" t="s">
        <v>18</v>
      </c>
      <c r="M281" s="3">
        <v>1307</v>
      </c>
      <c r="N281" s="3" t="s">
        <v>24</v>
      </c>
      <c r="O281" s="2"/>
      <c r="P281" t="str">
        <f t="shared" si="21"/>
        <v>Taucherstraße 10</v>
      </c>
      <c r="Q281" t="str">
        <f t="shared" si="25"/>
        <v>Cunewalde</v>
      </c>
      <c r="R281" t="str">
        <f t="shared" si="22"/>
        <v>NULL</v>
      </c>
      <c r="S281">
        <f t="shared" si="23"/>
        <v>1307</v>
      </c>
      <c r="T281" t="str">
        <f t="shared" si="24"/>
        <v>Germany</v>
      </c>
    </row>
    <row r="282" spans="1:20" x14ac:dyDescent="0.2">
      <c r="A282" s="1">
        <v>10528</v>
      </c>
      <c r="B282" s="3" t="s">
        <v>374</v>
      </c>
      <c r="C282" s="3">
        <v>6</v>
      </c>
      <c r="D282" s="4">
        <v>35556</v>
      </c>
      <c r="E282" s="4">
        <v>35570</v>
      </c>
      <c r="F282" s="4">
        <v>35559</v>
      </c>
      <c r="G282" s="3">
        <v>2</v>
      </c>
      <c r="H282" s="3">
        <v>3.35</v>
      </c>
      <c r="I282" s="3" t="s">
        <v>375</v>
      </c>
      <c r="J282" s="3" t="s">
        <v>376</v>
      </c>
      <c r="K282" s="3" t="s">
        <v>377</v>
      </c>
      <c r="L282" s="3" t="s">
        <v>202</v>
      </c>
      <c r="M282" s="3">
        <v>97403</v>
      </c>
      <c r="N282" s="3" t="s">
        <v>86</v>
      </c>
      <c r="O282" s="2"/>
      <c r="P282" t="str">
        <f t="shared" si="21"/>
        <v>2732 Baker Blvd.</v>
      </c>
      <c r="Q282" t="str">
        <f t="shared" si="25"/>
        <v>Eugene</v>
      </c>
      <c r="R282" t="str">
        <f t="shared" si="22"/>
        <v>OR</v>
      </c>
      <c r="S282">
        <f t="shared" si="23"/>
        <v>97403</v>
      </c>
      <c r="T282" t="str">
        <f t="shared" si="24"/>
        <v>USA</v>
      </c>
    </row>
    <row r="283" spans="1:20" x14ac:dyDescent="0.2">
      <c r="A283" s="1">
        <v>10529</v>
      </c>
      <c r="B283" s="3" t="s">
        <v>378</v>
      </c>
      <c r="C283" s="3">
        <v>5</v>
      </c>
      <c r="D283" s="4">
        <v>35557</v>
      </c>
      <c r="E283" s="4">
        <v>35585</v>
      </c>
      <c r="F283" s="4">
        <v>35559</v>
      </c>
      <c r="G283" s="3">
        <v>2</v>
      </c>
      <c r="H283" s="3">
        <v>66.69</v>
      </c>
      <c r="I283" s="3" t="s">
        <v>379</v>
      </c>
      <c r="J283" s="3" t="s">
        <v>380</v>
      </c>
      <c r="K283" s="3" t="s">
        <v>381</v>
      </c>
      <c r="L283" s="3" t="s">
        <v>18</v>
      </c>
      <c r="M283" s="3" t="s">
        <v>382</v>
      </c>
      <c r="N283" s="3" t="s">
        <v>41</v>
      </c>
      <c r="O283" s="2"/>
      <c r="P283" t="str">
        <f t="shared" si="21"/>
        <v>Rue Joseph-Bens 532</v>
      </c>
      <c r="Q283" t="str">
        <f t="shared" si="25"/>
        <v>Bruxelles</v>
      </c>
      <c r="R283" t="str">
        <f t="shared" si="22"/>
        <v>NULL</v>
      </c>
      <c r="S283" t="str">
        <f t="shared" si="23"/>
        <v>B-1180</v>
      </c>
      <c r="T283" t="str">
        <f t="shared" si="24"/>
        <v>Belgium</v>
      </c>
    </row>
    <row r="284" spans="1:20" x14ac:dyDescent="0.2">
      <c r="A284" s="1">
        <v>10530</v>
      </c>
      <c r="B284" s="3" t="s">
        <v>266</v>
      </c>
      <c r="C284" s="3">
        <v>3</v>
      </c>
      <c r="D284" s="4">
        <v>35558</v>
      </c>
      <c r="E284" s="4">
        <v>35586</v>
      </c>
      <c r="F284" s="4">
        <v>35562</v>
      </c>
      <c r="G284" s="3">
        <v>2</v>
      </c>
      <c r="H284" s="3">
        <v>339.22</v>
      </c>
      <c r="I284" s="3" t="s">
        <v>267</v>
      </c>
      <c r="J284" s="3" t="s">
        <v>268</v>
      </c>
      <c r="K284" s="3" t="s">
        <v>269</v>
      </c>
      <c r="L284" s="3" t="s">
        <v>18</v>
      </c>
      <c r="M284" s="3">
        <v>5020</v>
      </c>
      <c r="N284" s="3" t="s">
        <v>67</v>
      </c>
      <c r="O284" s="2"/>
      <c r="P284" t="str">
        <f t="shared" si="21"/>
        <v>Geislweg 14</v>
      </c>
      <c r="Q284" t="str">
        <f t="shared" si="25"/>
        <v>Salzburg</v>
      </c>
      <c r="R284" t="str">
        <f t="shared" si="22"/>
        <v>NULL</v>
      </c>
      <c r="S284">
        <f t="shared" si="23"/>
        <v>5020</v>
      </c>
      <c r="T284" t="str">
        <f t="shared" si="24"/>
        <v>Austria</v>
      </c>
    </row>
    <row r="285" spans="1:20" x14ac:dyDescent="0.2">
      <c r="A285" s="1">
        <v>10531</v>
      </c>
      <c r="B285" s="3" t="s">
        <v>333</v>
      </c>
      <c r="C285" s="3">
        <v>7</v>
      </c>
      <c r="D285" s="4">
        <v>35558</v>
      </c>
      <c r="E285" s="4">
        <v>35586</v>
      </c>
      <c r="F285" s="4">
        <v>35569</v>
      </c>
      <c r="G285" s="3">
        <v>1</v>
      </c>
      <c r="H285" s="3">
        <v>8.1199999999999992</v>
      </c>
      <c r="I285" s="3" t="s">
        <v>334</v>
      </c>
      <c r="J285" s="3" t="s">
        <v>335</v>
      </c>
      <c r="K285" s="3" t="s">
        <v>336</v>
      </c>
      <c r="L285" s="3" t="s">
        <v>18</v>
      </c>
      <c r="M285" s="3">
        <v>1010</v>
      </c>
      <c r="N285" s="3" t="s">
        <v>337</v>
      </c>
      <c r="O285" s="2"/>
      <c r="P285" t="str">
        <f t="shared" si="21"/>
        <v>Ing. Gustavo Moncada 8585 Piso 20-A</v>
      </c>
      <c r="Q285" t="str">
        <f t="shared" si="25"/>
        <v>Buenos Aires</v>
      </c>
      <c r="R285" t="str">
        <f t="shared" si="22"/>
        <v>NULL</v>
      </c>
      <c r="S285">
        <f t="shared" si="23"/>
        <v>1010</v>
      </c>
      <c r="T285" t="str">
        <f t="shared" si="24"/>
        <v>Argentina</v>
      </c>
    </row>
    <row r="286" spans="1:20" x14ac:dyDescent="0.2">
      <c r="A286" s="1">
        <v>10532</v>
      </c>
      <c r="B286" s="3" t="s">
        <v>284</v>
      </c>
      <c r="C286" s="3">
        <v>7</v>
      </c>
      <c r="D286" s="4">
        <v>35559</v>
      </c>
      <c r="E286" s="4">
        <v>35587</v>
      </c>
      <c r="F286" s="4">
        <v>35562</v>
      </c>
      <c r="G286" s="3">
        <v>3</v>
      </c>
      <c r="H286" s="3">
        <v>74.459999999999994</v>
      </c>
      <c r="I286" s="3" t="s">
        <v>285</v>
      </c>
      <c r="J286" s="3" t="s">
        <v>286</v>
      </c>
      <c r="K286" s="3" t="s">
        <v>167</v>
      </c>
      <c r="L286" s="3" t="s">
        <v>18</v>
      </c>
      <c r="M286" s="3" t="s">
        <v>287</v>
      </c>
      <c r="N286" s="3" t="s">
        <v>169</v>
      </c>
      <c r="O286" s="2"/>
      <c r="P286" t="str">
        <f t="shared" si="21"/>
        <v>35 King George</v>
      </c>
      <c r="Q286" t="str">
        <f t="shared" si="25"/>
        <v>London</v>
      </c>
      <c r="R286" t="str">
        <f t="shared" si="22"/>
        <v>NULL</v>
      </c>
      <c r="S286" t="str">
        <f t="shared" si="23"/>
        <v>WX3 6FW</v>
      </c>
      <c r="T286" t="str">
        <f t="shared" si="24"/>
        <v>UK</v>
      </c>
    </row>
    <row r="287" spans="1:20" x14ac:dyDescent="0.2">
      <c r="A287" s="1">
        <v>10533</v>
      </c>
      <c r="B287" s="3" t="s">
        <v>87</v>
      </c>
      <c r="C287" s="3">
        <v>8</v>
      </c>
      <c r="D287" s="4">
        <v>35562</v>
      </c>
      <c r="E287" s="4">
        <v>35590</v>
      </c>
      <c r="F287" s="4">
        <v>35572</v>
      </c>
      <c r="G287" s="3">
        <v>1</v>
      </c>
      <c r="H287" s="3">
        <v>188.04</v>
      </c>
      <c r="I287" s="3" t="s">
        <v>88</v>
      </c>
      <c r="J287" s="3" t="s">
        <v>89</v>
      </c>
      <c r="K287" s="3" t="s">
        <v>90</v>
      </c>
      <c r="L287" s="3" t="s">
        <v>18</v>
      </c>
      <c r="M287" s="3" t="s">
        <v>91</v>
      </c>
      <c r="N287" s="3" t="s">
        <v>92</v>
      </c>
      <c r="O287" s="2"/>
      <c r="P287" t="str">
        <f t="shared" si="21"/>
        <v>Åkergatan 24</v>
      </c>
      <c r="Q287" t="str">
        <f t="shared" si="25"/>
        <v>Bräcke</v>
      </c>
      <c r="R287" t="str">
        <f t="shared" si="22"/>
        <v>NULL</v>
      </c>
      <c r="S287" t="str">
        <f t="shared" si="23"/>
        <v>S-844 67</v>
      </c>
      <c r="T287" t="str">
        <f t="shared" si="24"/>
        <v>Sweden</v>
      </c>
    </row>
    <row r="288" spans="1:20" x14ac:dyDescent="0.2">
      <c r="A288" s="1">
        <v>10534</v>
      </c>
      <c r="B288" s="3" t="s">
        <v>142</v>
      </c>
      <c r="C288" s="3">
        <v>8</v>
      </c>
      <c r="D288" s="4">
        <v>35562</v>
      </c>
      <c r="E288" s="4">
        <v>35590</v>
      </c>
      <c r="F288" s="4">
        <v>35564</v>
      </c>
      <c r="G288" s="3">
        <v>2</v>
      </c>
      <c r="H288" s="3">
        <v>27.94</v>
      </c>
      <c r="I288" s="3" t="s">
        <v>143</v>
      </c>
      <c r="J288" s="3" t="s">
        <v>144</v>
      </c>
      <c r="K288" s="3" t="s">
        <v>145</v>
      </c>
      <c r="L288" s="3" t="s">
        <v>18</v>
      </c>
      <c r="M288" s="3">
        <v>60528</v>
      </c>
      <c r="N288" s="3" t="s">
        <v>24</v>
      </c>
      <c r="O288" s="2"/>
      <c r="P288" t="str">
        <f t="shared" si="21"/>
        <v>Magazinweg 7</v>
      </c>
      <c r="Q288" t="str">
        <f t="shared" si="25"/>
        <v>Frankfurt a.M.</v>
      </c>
      <c r="R288" t="str">
        <f t="shared" si="22"/>
        <v>NULL</v>
      </c>
      <c r="S288">
        <f t="shared" si="23"/>
        <v>60528</v>
      </c>
      <c r="T288" t="str">
        <f t="shared" si="24"/>
        <v>Germany</v>
      </c>
    </row>
    <row r="289" spans="1:20" x14ac:dyDescent="0.2">
      <c r="A289" s="1">
        <v>10535</v>
      </c>
      <c r="B289" s="3" t="s">
        <v>288</v>
      </c>
      <c r="C289" s="3">
        <v>4</v>
      </c>
      <c r="D289" s="4">
        <v>35563</v>
      </c>
      <c r="E289" s="4">
        <v>35591</v>
      </c>
      <c r="F289" s="4">
        <v>35571</v>
      </c>
      <c r="G289" s="3">
        <v>1</v>
      </c>
      <c r="H289" s="3">
        <v>15.64</v>
      </c>
      <c r="I289" s="3" t="s">
        <v>289</v>
      </c>
      <c r="J289" s="3" t="s">
        <v>290</v>
      </c>
      <c r="K289" s="3" t="s">
        <v>71</v>
      </c>
      <c r="L289" s="3" t="s">
        <v>18</v>
      </c>
      <c r="M289" s="3">
        <v>5023</v>
      </c>
      <c r="N289" s="3" t="s">
        <v>72</v>
      </c>
      <c r="O289" s="2"/>
      <c r="P289" t="str">
        <f t="shared" si="21"/>
        <v>Mataderos  2312</v>
      </c>
      <c r="Q289" t="str">
        <f t="shared" si="25"/>
        <v>México D.F.</v>
      </c>
      <c r="R289" t="str">
        <f t="shared" si="22"/>
        <v>NULL</v>
      </c>
      <c r="S289">
        <f t="shared" si="23"/>
        <v>5023</v>
      </c>
      <c r="T289" t="str">
        <f t="shared" si="24"/>
        <v>Mexico</v>
      </c>
    </row>
    <row r="290" spans="1:20" x14ac:dyDescent="0.2">
      <c r="A290" s="1">
        <v>10536</v>
      </c>
      <c r="B290" s="3" t="s">
        <v>142</v>
      </c>
      <c r="C290" s="3">
        <v>3</v>
      </c>
      <c r="D290" s="4">
        <v>35564</v>
      </c>
      <c r="E290" s="4">
        <v>35592</v>
      </c>
      <c r="F290" s="4">
        <v>35587</v>
      </c>
      <c r="G290" s="3">
        <v>2</v>
      </c>
      <c r="H290" s="3">
        <v>58.88</v>
      </c>
      <c r="I290" s="3" t="s">
        <v>143</v>
      </c>
      <c r="J290" s="3" t="s">
        <v>144</v>
      </c>
      <c r="K290" s="3" t="s">
        <v>145</v>
      </c>
      <c r="L290" s="3" t="s">
        <v>18</v>
      </c>
      <c r="M290" s="3">
        <v>60528</v>
      </c>
      <c r="N290" s="3" t="s">
        <v>24</v>
      </c>
      <c r="O290" s="2"/>
      <c r="P290" t="str">
        <f t="shared" si="21"/>
        <v>Magazinweg 7</v>
      </c>
      <c r="Q290" t="str">
        <f t="shared" si="25"/>
        <v>Frankfurt a.M.</v>
      </c>
      <c r="R290" t="str">
        <f t="shared" si="22"/>
        <v>NULL</v>
      </c>
      <c r="S290">
        <f t="shared" si="23"/>
        <v>60528</v>
      </c>
      <c r="T290" t="str">
        <f t="shared" si="24"/>
        <v>Germany</v>
      </c>
    </row>
    <row r="291" spans="1:20" x14ac:dyDescent="0.2">
      <c r="A291" s="1">
        <v>10537</v>
      </c>
      <c r="B291" s="3" t="s">
        <v>47</v>
      </c>
      <c r="C291" s="3">
        <v>1</v>
      </c>
      <c r="D291" s="4">
        <v>35564</v>
      </c>
      <c r="E291" s="4">
        <v>35578</v>
      </c>
      <c r="F291" s="4">
        <v>35569</v>
      </c>
      <c r="G291" s="3">
        <v>1</v>
      </c>
      <c r="H291" s="3">
        <v>78.849999999999994</v>
      </c>
      <c r="I291" s="3" t="s">
        <v>48</v>
      </c>
      <c r="J291" s="3" t="s">
        <v>49</v>
      </c>
      <c r="K291" s="3" t="s">
        <v>50</v>
      </c>
      <c r="L291" s="3" t="s">
        <v>18</v>
      </c>
      <c r="M291" s="3">
        <v>1204</v>
      </c>
      <c r="N291" s="3" t="s">
        <v>46</v>
      </c>
      <c r="O291" s="2"/>
      <c r="P291" t="str">
        <f t="shared" si="21"/>
        <v>Starenweg 5</v>
      </c>
      <c r="Q291" t="str">
        <f t="shared" si="25"/>
        <v>Genève</v>
      </c>
      <c r="R291" t="str">
        <f t="shared" si="22"/>
        <v>NULL</v>
      </c>
      <c r="S291">
        <f t="shared" si="23"/>
        <v>1204</v>
      </c>
      <c r="T291" t="str">
        <f t="shared" si="24"/>
        <v>Switzerland</v>
      </c>
    </row>
    <row r="292" spans="1:20" x14ac:dyDescent="0.2">
      <c r="A292" s="1">
        <v>10538</v>
      </c>
      <c r="B292" s="3" t="s">
        <v>164</v>
      </c>
      <c r="C292" s="3">
        <v>9</v>
      </c>
      <c r="D292" s="4">
        <v>35565</v>
      </c>
      <c r="E292" s="4">
        <v>35593</v>
      </c>
      <c r="F292" s="4">
        <v>35566</v>
      </c>
      <c r="G292" s="3">
        <v>3</v>
      </c>
      <c r="H292" s="3">
        <v>4.87</v>
      </c>
      <c r="I292" s="3" t="s">
        <v>165</v>
      </c>
      <c r="J292" s="3" t="s">
        <v>166</v>
      </c>
      <c r="K292" s="3" t="s">
        <v>167</v>
      </c>
      <c r="L292" s="3" t="s">
        <v>18</v>
      </c>
      <c r="M292" s="3" t="s">
        <v>168</v>
      </c>
      <c r="N292" s="3" t="s">
        <v>169</v>
      </c>
      <c r="O292" s="2"/>
      <c r="P292" t="str">
        <f t="shared" si="21"/>
        <v>Fauntleroy Circus</v>
      </c>
      <c r="Q292" t="str">
        <f t="shared" si="25"/>
        <v>London</v>
      </c>
      <c r="R292" t="str">
        <f t="shared" si="22"/>
        <v>NULL</v>
      </c>
      <c r="S292" t="str">
        <f t="shared" si="23"/>
        <v>EC2 5NT</v>
      </c>
      <c r="T292" t="str">
        <f t="shared" si="24"/>
        <v>UK</v>
      </c>
    </row>
    <row r="293" spans="1:20" x14ac:dyDescent="0.2">
      <c r="A293" s="1">
        <v>10539</v>
      </c>
      <c r="B293" s="3" t="s">
        <v>164</v>
      </c>
      <c r="C293" s="3">
        <v>6</v>
      </c>
      <c r="D293" s="4">
        <v>35566</v>
      </c>
      <c r="E293" s="4">
        <v>35594</v>
      </c>
      <c r="F293" s="4">
        <v>35573</v>
      </c>
      <c r="G293" s="3">
        <v>3</v>
      </c>
      <c r="H293" s="3">
        <v>12.36</v>
      </c>
      <c r="I293" s="3" t="s">
        <v>165</v>
      </c>
      <c r="J293" s="3" t="s">
        <v>166</v>
      </c>
      <c r="K293" s="3" t="s">
        <v>167</v>
      </c>
      <c r="L293" s="3" t="s">
        <v>18</v>
      </c>
      <c r="M293" s="3" t="s">
        <v>168</v>
      </c>
      <c r="N293" s="3" t="s">
        <v>169</v>
      </c>
      <c r="O293" s="2"/>
      <c r="P293" t="str">
        <f t="shared" si="21"/>
        <v>Fauntleroy Circus</v>
      </c>
      <c r="Q293" t="str">
        <f t="shared" si="25"/>
        <v>London</v>
      </c>
      <c r="R293" t="str">
        <f t="shared" si="22"/>
        <v>NULL</v>
      </c>
      <c r="S293" t="str">
        <f t="shared" si="23"/>
        <v>EC2 5NT</v>
      </c>
      <c r="T293" t="str">
        <f t="shared" si="24"/>
        <v>UK</v>
      </c>
    </row>
    <row r="294" spans="1:20" x14ac:dyDescent="0.2">
      <c r="A294" s="1">
        <v>10540</v>
      </c>
      <c r="B294" s="3" t="s">
        <v>121</v>
      </c>
      <c r="C294" s="3">
        <v>3</v>
      </c>
      <c r="D294" s="4">
        <v>35569</v>
      </c>
      <c r="E294" s="4">
        <v>35597</v>
      </c>
      <c r="F294" s="4">
        <v>35594</v>
      </c>
      <c r="G294" s="3">
        <v>3</v>
      </c>
      <c r="H294" s="3">
        <v>1007.64</v>
      </c>
      <c r="I294" s="3" t="s">
        <v>122</v>
      </c>
      <c r="J294" s="3" t="s">
        <v>123</v>
      </c>
      <c r="K294" s="3" t="s">
        <v>124</v>
      </c>
      <c r="L294" s="3" t="s">
        <v>18</v>
      </c>
      <c r="M294" s="3">
        <v>1307</v>
      </c>
      <c r="N294" s="3" t="s">
        <v>24</v>
      </c>
      <c r="O294" s="2"/>
      <c r="P294" t="str">
        <f t="shared" si="21"/>
        <v>Taucherstraße 10</v>
      </c>
      <c r="Q294" t="str">
        <f t="shared" si="25"/>
        <v>Cunewalde</v>
      </c>
      <c r="R294" t="str">
        <f t="shared" si="22"/>
        <v>NULL</v>
      </c>
      <c r="S294">
        <f t="shared" si="23"/>
        <v>1307</v>
      </c>
      <c r="T294" t="str">
        <f t="shared" si="24"/>
        <v>Germany</v>
      </c>
    </row>
    <row r="295" spans="1:20" x14ac:dyDescent="0.2">
      <c r="A295" s="1">
        <v>10541</v>
      </c>
      <c r="B295" s="3" t="s">
        <v>25</v>
      </c>
      <c r="C295" s="3">
        <v>2</v>
      </c>
      <c r="D295" s="4">
        <v>35569</v>
      </c>
      <c r="E295" s="4">
        <v>35597</v>
      </c>
      <c r="F295" s="4">
        <v>35579</v>
      </c>
      <c r="G295" s="3">
        <v>1</v>
      </c>
      <c r="H295" s="3">
        <v>68.650000000000006</v>
      </c>
      <c r="I295" s="3" t="s">
        <v>26</v>
      </c>
      <c r="J295" s="3" t="s">
        <v>27</v>
      </c>
      <c r="K295" s="3">
        <v>67</v>
      </c>
      <c r="L295" s="3" t="s">
        <v>28</v>
      </c>
      <c r="M295" s="3" t="s">
        <v>29</v>
      </c>
      <c r="N295" s="3" t="s">
        <v>30</v>
      </c>
      <c r="O295" s="3" t="s">
        <v>31</v>
      </c>
      <c r="P295" t="str">
        <f t="shared" si="21"/>
        <v>Rua do Paço 67</v>
      </c>
      <c r="Q295" t="str">
        <f t="shared" si="25"/>
        <v>Rio de Janeiro</v>
      </c>
      <c r="R295" t="str">
        <f t="shared" si="22"/>
        <v>RJ</v>
      </c>
      <c r="S295" t="str">
        <f t="shared" si="23"/>
        <v>05454-876</v>
      </c>
      <c r="T295" t="str">
        <f t="shared" si="24"/>
        <v>Brazil</v>
      </c>
    </row>
    <row r="296" spans="1:20" x14ac:dyDescent="0.2">
      <c r="A296" s="1">
        <v>10542</v>
      </c>
      <c r="B296" s="3" t="s">
        <v>222</v>
      </c>
      <c r="C296" s="3">
        <v>1</v>
      </c>
      <c r="D296" s="4">
        <v>35570</v>
      </c>
      <c r="E296" s="4">
        <v>35598</v>
      </c>
      <c r="F296" s="4">
        <v>35576</v>
      </c>
      <c r="G296" s="3">
        <v>3</v>
      </c>
      <c r="H296" s="3">
        <v>10.95</v>
      </c>
      <c r="I296" s="3" t="s">
        <v>223</v>
      </c>
      <c r="J296" s="3" t="s">
        <v>224</v>
      </c>
      <c r="K296" s="3" t="s">
        <v>225</v>
      </c>
      <c r="L296" s="3" t="s">
        <v>18</v>
      </c>
      <c r="M296" s="3">
        <v>14776</v>
      </c>
      <c r="N296" s="3" t="s">
        <v>24</v>
      </c>
      <c r="O296" s="2"/>
      <c r="P296" t="str">
        <f t="shared" si="21"/>
        <v>Maubelstr. 90</v>
      </c>
      <c r="Q296" t="str">
        <f t="shared" si="25"/>
        <v>Brandenburg</v>
      </c>
      <c r="R296" t="str">
        <f t="shared" si="22"/>
        <v>NULL</v>
      </c>
      <c r="S296">
        <f t="shared" si="23"/>
        <v>14776</v>
      </c>
      <c r="T296" t="str">
        <f t="shared" si="24"/>
        <v>Germany</v>
      </c>
    </row>
    <row r="297" spans="1:20" x14ac:dyDescent="0.2">
      <c r="A297" s="1">
        <v>10543</v>
      </c>
      <c r="B297" s="3" t="s">
        <v>151</v>
      </c>
      <c r="C297" s="3">
        <v>8</v>
      </c>
      <c r="D297" s="4">
        <v>35571</v>
      </c>
      <c r="E297" s="4">
        <v>35599</v>
      </c>
      <c r="F297" s="4">
        <v>35573</v>
      </c>
      <c r="G297" s="3">
        <v>2</v>
      </c>
      <c r="H297" s="3">
        <v>48.17</v>
      </c>
      <c r="I297" s="3" t="s">
        <v>152</v>
      </c>
      <c r="J297" s="3" t="s">
        <v>153</v>
      </c>
      <c r="K297" s="3" t="s">
        <v>154</v>
      </c>
      <c r="L297" s="3" t="s">
        <v>155</v>
      </c>
      <c r="M297" s="3">
        <v>3508</v>
      </c>
      <c r="N297" s="3" t="s">
        <v>62</v>
      </c>
      <c r="O297" s="2"/>
      <c r="P297" t="str">
        <f t="shared" si="21"/>
        <v>Carrera 52 con Ave. Bolívar #65-98 Llano Largo</v>
      </c>
      <c r="Q297" t="str">
        <f t="shared" si="25"/>
        <v>Barquisimeto</v>
      </c>
      <c r="R297" t="str">
        <f t="shared" si="22"/>
        <v>Lara</v>
      </c>
      <c r="S297">
        <f t="shared" si="23"/>
        <v>3508</v>
      </c>
      <c r="T297" t="str">
        <f t="shared" si="24"/>
        <v>Venezuela</v>
      </c>
    </row>
    <row r="298" spans="1:20" x14ac:dyDescent="0.2">
      <c r="A298" s="1">
        <v>10544</v>
      </c>
      <c r="B298" s="3" t="s">
        <v>198</v>
      </c>
      <c r="C298" s="3">
        <v>4</v>
      </c>
      <c r="D298" s="4">
        <v>35571</v>
      </c>
      <c r="E298" s="4">
        <v>35599</v>
      </c>
      <c r="F298" s="4">
        <v>35580</v>
      </c>
      <c r="G298" s="3">
        <v>1</v>
      </c>
      <c r="H298" s="3">
        <v>24.91</v>
      </c>
      <c r="I298" s="3" t="s">
        <v>199</v>
      </c>
      <c r="J298" s="3" t="s">
        <v>200</v>
      </c>
      <c r="K298" s="3" t="s">
        <v>201</v>
      </c>
      <c r="L298" s="3" t="s">
        <v>202</v>
      </c>
      <c r="M298" s="3">
        <v>97219</v>
      </c>
      <c r="N298" s="3" t="s">
        <v>86</v>
      </c>
      <c r="O298" s="2"/>
      <c r="P298" t="str">
        <f t="shared" si="21"/>
        <v>89 Chiaroscuro Rd.</v>
      </c>
      <c r="Q298" t="str">
        <f t="shared" si="25"/>
        <v>Portland</v>
      </c>
      <c r="R298" t="str">
        <f t="shared" si="22"/>
        <v>OR</v>
      </c>
      <c r="S298">
        <f t="shared" si="23"/>
        <v>97219</v>
      </c>
      <c r="T298" t="str">
        <f t="shared" si="24"/>
        <v>USA</v>
      </c>
    </row>
    <row r="299" spans="1:20" x14ac:dyDescent="0.2">
      <c r="A299" s="1">
        <v>10545</v>
      </c>
      <c r="B299" s="3" t="s">
        <v>354</v>
      </c>
      <c r="C299" s="3">
        <v>8</v>
      </c>
      <c r="D299" s="4">
        <v>35572</v>
      </c>
      <c r="E299" s="4">
        <v>35600</v>
      </c>
      <c r="F299" s="4">
        <v>35607</v>
      </c>
      <c r="G299" s="3">
        <v>2</v>
      </c>
      <c r="H299" s="3">
        <v>11.92</v>
      </c>
      <c r="I299" s="3" t="s">
        <v>355</v>
      </c>
      <c r="J299" s="3" t="s">
        <v>356</v>
      </c>
      <c r="K299" s="3" t="s">
        <v>357</v>
      </c>
      <c r="L299" s="3" t="s">
        <v>115</v>
      </c>
      <c r="M299" s="3">
        <v>99362</v>
      </c>
      <c r="N299" s="3" t="s">
        <v>86</v>
      </c>
      <c r="O299" s="2"/>
      <c r="P299" t="str">
        <f t="shared" si="21"/>
        <v>12 Orchestra Terrace</v>
      </c>
      <c r="Q299" t="str">
        <f t="shared" si="25"/>
        <v>Walla Walla</v>
      </c>
      <c r="R299" t="str">
        <f t="shared" si="22"/>
        <v>WA</v>
      </c>
      <c r="S299">
        <f t="shared" si="23"/>
        <v>99362</v>
      </c>
      <c r="T299" t="str">
        <f t="shared" si="24"/>
        <v>USA</v>
      </c>
    </row>
    <row r="300" spans="1:20" x14ac:dyDescent="0.2">
      <c r="A300" s="1">
        <v>10546</v>
      </c>
      <c r="B300" s="3" t="s">
        <v>32</v>
      </c>
      <c r="C300" s="3">
        <v>1</v>
      </c>
      <c r="D300" s="4">
        <v>35573</v>
      </c>
      <c r="E300" s="4">
        <v>35601</v>
      </c>
      <c r="F300" s="4">
        <v>35577</v>
      </c>
      <c r="G300" s="3">
        <v>3</v>
      </c>
      <c r="H300" s="3">
        <v>194.72</v>
      </c>
      <c r="I300" s="3" t="s">
        <v>33</v>
      </c>
      <c r="J300" s="3">
        <v>2</v>
      </c>
      <c r="K300" s="3" t="s">
        <v>34</v>
      </c>
      <c r="L300" s="3" t="s">
        <v>35</v>
      </c>
      <c r="M300" s="3" t="s">
        <v>18</v>
      </c>
      <c r="N300" s="3">
        <v>69004</v>
      </c>
      <c r="O300" s="3" t="s">
        <v>19</v>
      </c>
      <c r="P300" t="str">
        <f t="shared" si="21"/>
        <v>2  rue du Commerce</v>
      </c>
      <c r="Q300" t="str">
        <f t="shared" si="25"/>
        <v>Lyon</v>
      </c>
      <c r="R300" t="str">
        <f t="shared" si="22"/>
        <v>NULL</v>
      </c>
      <c r="S300">
        <f t="shared" si="23"/>
        <v>69004</v>
      </c>
      <c r="T300" t="str">
        <f t="shared" si="24"/>
        <v>France</v>
      </c>
    </row>
    <row r="301" spans="1:20" x14ac:dyDescent="0.2">
      <c r="A301" s="1">
        <v>10547</v>
      </c>
      <c r="B301" s="3" t="s">
        <v>276</v>
      </c>
      <c r="C301" s="3">
        <v>3</v>
      </c>
      <c r="D301" s="4">
        <v>35573</v>
      </c>
      <c r="E301" s="4">
        <v>35601</v>
      </c>
      <c r="F301" s="4">
        <v>35583</v>
      </c>
      <c r="G301" s="3">
        <v>2</v>
      </c>
      <c r="H301" s="3">
        <v>178.43</v>
      </c>
      <c r="I301" s="3" t="s">
        <v>277</v>
      </c>
      <c r="J301" s="3" t="s">
        <v>278</v>
      </c>
      <c r="K301" s="3" t="s">
        <v>167</v>
      </c>
      <c r="L301" s="3" t="s">
        <v>18</v>
      </c>
      <c r="M301" s="3" t="s">
        <v>279</v>
      </c>
      <c r="N301" s="3" t="s">
        <v>169</v>
      </c>
      <c r="O301" s="2"/>
      <c r="P301" t="str">
        <f t="shared" si="21"/>
        <v>90 Wadhurst Rd.</v>
      </c>
      <c r="Q301" t="str">
        <f t="shared" si="25"/>
        <v>London</v>
      </c>
      <c r="R301" t="str">
        <f t="shared" si="22"/>
        <v>NULL</v>
      </c>
      <c r="S301" t="str">
        <f t="shared" si="23"/>
        <v>OX15 4NB</v>
      </c>
      <c r="T301" t="str">
        <f t="shared" si="24"/>
        <v>UK</v>
      </c>
    </row>
    <row r="302" spans="1:20" x14ac:dyDescent="0.2">
      <c r="A302" s="1">
        <v>10548</v>
      </c>
      <c r="B302" s="3" t="s">
        <v>20</v>
      </c>
      <c r="C302" s="3">
        <v>3</v>
      </c>
      <c r="D302" s="4">
        <v>35576</v>
      </c>
      <c r="E302" s="4">
        <v>35604</v>
      </c>
      <c r="F302" s="4">
        <v>35583</v>
      </c>
      <c r="G302" s="3">
        <v>2</v>
      </c>
      <c r="H302" s="3">
        <v>1.43</v>
      </c>
      <c r="I302" s="3" t="s">
        <v>21</v>
      </c>
      <c r="J302" s="3" t="s">
        <v>22</v>
      </c>
      <c r="K302" s="3" t="s">
        <v>23</v>
      </c>
      <c r="L302" s="3" t="s">
        <v>18</v>
      </c>
      <c r="M302" s="3">
        <v>44087</v>
      </c>
      <c r="N302" s="3" t="s">
        <v>24</v>
      </c>
      <c r="O302" s="2"/>
      <c r="P302" t="str">
        <f t="shared" si="21"/>
        <v>Luisenstr. 48</v>
      </c>
      <c r="Q302" t="str">
        <f t="shared" si="25"/>
        <v>Münster</v>
      </c>
      <c r="R302" t="str">
        <f t="shared" si="22"/>
        <v>NULL</v>
      </c>
      <c r="S302">
        <f t="shared" si="23"/>
        <v>44087</v>
      </c>
      <c r="T302" t="str">
        <f t="shared" si="24"/>
        <v>Germany</v>
      </c>
    </row>
    <row r="303" spans="1:20" x14ac:dyDescent="0.2">
      <c r="A303" s="1">
        <v>10549</v>
      </c>
      <c r="B303" s="3" t="s">
        <v>121</v>
      </c>
      <c r="C303" s="3">
        <v>5</v>
      </c>
      <c r="D303" s="4">
        <v>35577</v>
      </c>
      <c r="E303" s="4">
        <v>35591</v>
      </c>
      <c r="F303" s="4">
        <v>35580</v>
      </c>
      <c r="G303" s="3">
        <v>1</v>
      </c>
      <c r="H303" s="3">
        <v>171.24</v>
      </c>
      <c r="I303" s="3" t="s">
        <v>122</v>
      </c>
      <c r="J303" s="3" t="s">
        <v>123</v>
      </c>
      <c r="K303" s="3" t="s">
        <v>124</v>
      </c>
      <c r="L303" s="3" t="s">
        <v>18</v>
      </c>
      <c r="M303" s="3">
        <v>1307</v>
      </c>
      <c r="N303" s="3" t="s">
        <v>24</v>
      </c>
      <c r="O303" s="2"/>
      <c r="P303" t="str">
        <f t="shared" si="21"/>
        <v>Taucherstraße 10</v>
      </c>
      <c r="Q303" t="str">
        <f t="shared" si="25"/>
        <v>Cunewalde</v>
      </c>
      <c r="R303" t="str">
        <f t="shared" si="22"/>
        <v>NULL</v>
      </c>
      <c r="S303">
        <f t="shared" si="23"/>
        <v>1307</v>
      </c>
      <c r="T303" t="str">
        <f t="shared" si="24"/>
        <v>Germany</v>
      </c>
    </row>
    <row r="304" spans="1:20" x14ac:dyDescent="0.2">
      <c r="A304" s="1">
        <v>10550</v>
      </c>
      <c r="B304" s="3" t="s">
        <v>189</v>
      </c>
      <c r="C304" s="3">
        <v>7</v>
      </c>
      <c r="D304" s="4">
        <v>35578</v>
      </c>
      <c r="E304" s="4">
        <v>35606</v>
      </c>
      <c r="F304" s="4">
        <v>35587</v>
      </c>
      <c r="G304" s="3">
        <v>3</v>
      </c>
      <c r="H304" s="3">
        <v>4.32</v>
      </c>
      <c r="I304" s="3" t="s">
        <v>190</v>
      </c>
      <c r="J304" s="3" t="s">
        <v>191</v>
      </c>
      <c r="K304" s="3">
        <v>33</v>
      </c>
      <c r="L304" s="3" t="s">
        <v>192</v>
      </c>
      <c r="M304" s="3" t="s">
        <v>18</v>
      </c>
      <c r="N304" s="3">
        <v>41101</v>
      </c>
      <c r="O304" s="3" t="s">
        <v>150</v>
      </c>
      <c r="P304" t="str">
        <f t="shared" si="21"/>
        <v>C/ Romero 33</v>
      </c>
      <c r="Q304" t="str">
        <f t="shared" si="25"/>
        <v>Sevilla</v>
      </c>
      <c r="R304" t="str">
        <f t="shared" si="22"/>
        <v>NULL</v>
      </c>
      <c r="S304">
        <f t="shared" si="23"/>
        <v>41101</v>
      </c>
      <c r="T304" t="str">
        <f t="shared" si="24"/>
        <v>Spain</v>
      </c>
    </row>
    <row r="305" spans="1:20" x14ac:dyDescent="0.2">
      <c r="A305" s="1">
        <v>10551</v>
      </c>
      <c r="B305" s="3" t="s">
        <v>234</v>
      </c>
      <c r="C305" s="3">
        <v>4</v>
      </c>
      <c r="D305" s="4">
        <v>35578</v>
      </c>
      <c r="E305" s="4">
        <v>35620</v>
      </c>
      <c r="F305" s="4">
        <v>35587</v>
      </c>
      <c r="G305" s="3">
        <v>3</v>
      </c>
      <c r="H305" s="3">
        <v>72.95</v>
      </c>
      <c r="I305" s="3" t="s">
        <v>235</v>
      </c>
      <c r="J305" s="3" t="s">
        <v>236</v>
      </c>
      <c r="K305" s="3" t="s">
        <v>237</v>
      </c>
      <c r="L305" s="3" t="s">
        <v>18</v>
      </c>
      <c r="M305" s="3">
        <v>1675</v>
      </c>
      <c r="N305" s="3" t="s">
        <v>238</v>
      </c>
      <c r="O305" s="2"/>
      <c r="P305" t="str">
        <f t="shared" si="21"/>
        <v>Jardim das rosas n. 32</v>
      </c>
      <c r="Q305" t="str">
        <f t="shared" si="25"/>
        <v>Lisboa</v>
      </c>
      <c r="R305" t="str">
        <f t="shared" si="22"/>
        <v>NULL</v>
      </c>
      <c r="S305">
        <f t="shared" si="23"/>
        <v>1675</v>
      </c>
      <c r="T305" t="str">
        <f t="shared" si="24"/>
        <v>Portugal</v>
      </c>
    </row>
    <row r="306" spans="1:20" x14ac:dyDescent="0.2">
      <c r="A306" s="1">
        <v>10552</v>
      </c>
      <c r="B306" s="3" t="s">
        <v>57</v>
      </c>
      <c r="C306" s="3">
        <v>2</v>
      </c>
      <c r="D306" s="4">
        <v>35579</v>
      </c>
      <c r="E306" s="4">
        <v>35607</v>
      </c>
      <c r="F306" s="4">
        <v>35586</v>
      </c>
      <c r="G306" s="3">
        <v>1</v>
      </c>
      <c r="H306" s="3">
        <v>83.22</v>
      </c>
      <c r="I306" s="3" t="s">
        <v>58</v>
      </c>
      <c r="J306" s="3" t="s">
        <v>59</v>
      </c>
      <c r="K306" s="3" t="s">
        <v>60</v>
      </c>
      <c r="L306" s="3" t="s">
        <v>61</v>
      </c>
      <c r="M306" s="3">
        <v>5022</v>
      </c>
      <c r="N306" s="3" t="s">
        <v>62</v>
      </c>
      <c r="O306" s="2"/>
      <c r="P306" t="str">
        <f t="shared" si="21"/>
        <v>Carrera 22 con Ave. Carlos Soublette #8-35</v>
      </c>
      <c r="Q306" t="str">
        <f t="shared" si="25"/>
        <v>San Cristóbal</v>
      </c>
      <c r="R306" t="str">
        <f t="shared" si="22"/>
        <v>Táchira</v>
      </c>
      <c r="S306">
        <f t="shared" si="23"/>
        <v>5022</v>
      </c>
      <c r="T306" t="str">
        <f t="shared" si="24"/>
        <v>Venezuela</v>
      </c>
    </row>
    <row r="307" spans="1:20" x14ac:dyDescent="0.2">
      <c r="A307" s="1">
        <v>10553</v>
      </c>
      <c r="B307" s="3" t="s">
        <v>97</v>
      </c>
      <c r="C307" s="3">
        <v>2</v>
      </c>
      <c r="D307" s="4">
        <v>35580</v>
      </c>
      <c r="E307" s="4">
        <v>35608</v>
      </c>
      <c r="F307" s="4">
        <v>35584</v>
      </c>
      <c r="G307" s="3">
        <v>2</v>
      </c>
      <c r="H307" s="3">
        <v>149.49</v>
      </c>
      <c r="I307" s="3" t="s">
        <v>98</v>
      </c>
      <c r="J307" s="3" t="s">
        <v>99</v>
      </c>
      <c r="K307" s="3" t="s">
        <v>100</v>
      </c>
      <c r="L307" s="3" t="s">
        <v>18</v>
      </c>
      <c r="M307" s="3">
        <v>90110</v>
      </c>
      <c r="N307" s="3" t="s">
        <v>101</v>
      </c>
      <c r="O307" s="2"/>
      <c r="P307" t="str">
        <f t="shared" si="21"/>
        <v>Torikatu 38</v>
      </c>
      <c r="Q307" t="str">
        <f t="shared" si="25"/>
        <v>Oulu</v>
      </c>
      <c r="R307" t="str">
        <f t="shared" si="22"/>
        <v>NULL</v>
      </c>
      <c r="S307">
        <f t="shared" si="23"/>
        <v>90110</v>
      </c>
      <c r="T307" t="str">
        <f t="shared" si="24"/>
        <v>Finland</v>
      </c>
    </row>
    <row r="308" spans="1:20" x14ac:dyDescent="0.2">
      <c r="A308" s="1">
        <v>10554</v>
      </c>
      <c r="B308" s="3" t="s">
        <v>73</v>
      </c>
      <c r="C308" s="3">
        <v>4</v>
      </c>
      <c r="D308" s="4">
        <v>35580</v>
      </c>
      <c r="E308" s="4">
        <v>35608</v>
      </c>
      <c r="F308" s="4">
        <v>35586</v>
      </c>
      <c r="G308" s="3">
        <v>3</v>
      </c>
      <c r="H308" s="3">
        <v>120.97</v>
      </c>
      <c r="I308" s="3" t="s">
        <v>74</v>
      </c>
      <c r="J308" s="3" t="s">
        <v>75</v>
      </c>
      <c r="K308" s="3" t="s">
        <v>76</v>
      </c>
      <c r="L308" s="3" t="s">
        <v>18</v>
      </c>
      <c r="M308" s="3">
        <v>50739</v>
      </c>
      <c r="N308" s="3" t="s">
        <v>24</v>
      </c>
      <c r="O308" s="2"/>
      <c r="P308" t="str">
        <f t="shared" si="21"/>
        <v>Mehrheimerstr. 369</v>
      </c>
      <c r="Q308" t="str">
        <f t="shared" si="25"/>
        <v>Köln</v>
      </c>
      <c r="R308" t="str">
        <f t="shared" si="22"/>
        <v>NULL</v>
      </c>
      <c r="S308">
        <f t="shared" si="23"/>
        <v>50739</v>
      </c>
      <c r="T308" t="str">
        <f t="shared" si="24"/>
        <v>Germany</v>
      </c>
    </row>
    <row r="309" spans="1:20" x14ac:dyDescent="0.2">
      <c r="A309" s="1">
        <v>10555</v>
      </c>
      <c r="B309" s="3" t="s">
        <v>226</v>
      </c>
      <c r="C309" s="3">
        <v>6</v>
      </c>
      <c r="D309" s="4">
        <v>35583</v>
      </c>
      <c r="E309" s="4">
        <v>35611</v>
      </c>
      <c r="F309" s="4">
        <v>35585</v>
      </c>
      <c r="G309" s="3">
        <v>3</v>
      </c>
      <c r="H309" s="3">
        <v>252.49</v>
      </c>
      <c r="I309" s="3" t="s">
        <v>227</v>
      </c>
      <c r="J309" s="3" t="s">
        <v>228</v>
      </c>
      <c r="K309" s="3" t="s">
        <v>229</v>
      </c>
      <c r="L309" s="3" t="s">
        <v>230</v>
      </c>
      <c r="M309" s="3">
        <v>83720</v>
      </c>
      <c r="N309" s="3" t="s">
        <v>86</v>
      </c>
      <c r="O309" s="2"/>
      <c r="P309" t="str">
        <f t="shared" si="21"/>
        <v>187 Suffolk Ln.</v>
      </c>
      <c r="Q309" t="str">
        <f t="shared" si="25"/>
        <v>Boise</v>
      </c>
      <c r="R309" t="str">
        <f t="shared" si="22"/>
        <v>ID</v>
      </c>
      <c r="S309">
        <f t="shared" si="23"/>
        <v>83720</v>
      </c>
      <c r="T309" t="str">
        <f t="shared" si="24"/>
        <v>USA</v>
      </c>
    </row>
    <row r="310" spans="1:20" x14ac:dyDescent="0.2">
      <c r="A310" s="1">
        <v>10556</v>
      </c>
      <c r="B310" s="3" t="s">
        <v>253</v>
      </c>
      <c r="C310" s="3">
        <v>2</v>
      </c>
      <c r="D310" s="4">
        <v>35584</v>
      </c>
      <c r="E310" s="4">
        <v>35626</v>
      </c>
      <c r="F310" s="4">
        <v>35594</v>
      </c>
      <c r="G310" s="3">
        <v>1</v>
      </c>
      <c r="H310" s="3">
        <v>9.8000000000000007</v>
      </c>
      <c r="I310" s="3" t="s">
        <v>254</v>
      </c>
      <c r="J310" s="3" t="s">
        <v>255</v>
      </c>
      <c r="K310" s="3" t="s">
        <v>256</v>
      </c>
      <c r="L310" s="3" t="s">
        <v>18</v>
      </c>
      <c r="M310" s="3">
        <v>1734</v>
      </c>
      <c r="N310" s="3" t="s">
        <v>257</v>
      </c>
      <c r="O310" s="2"/>
      <c r="P310" t="str">
        <f t="shared" si="21"/>
        <v>Vinbæltet 34</v>
      </c>
      <c r="Q310" t="str">
        <f t="shared" si="25"/>
        <v>Kobenhavn</v>
      </c>
      <c r="R310" t="str">
        <f t="shared" si="22"/>
        <v>NULL</v>
      </c>
      <c r="S310">
        <f t="shared" si="23"/>
        <v>1734</v>
      </c>
      <c r="T310" t="str">
        <f t="shared" si="24"/>
        <v>Denmark</v>
      </c>
    </row>
    <row r="311" spans="1:20" x14ac:dyDescent="0.2">
      <c r="A311" s="1">
        <v>10557</v>
      </c>
      <c r="B311" s="3" t="s">
        <v>142</v>
      </c>
      <c r="C311" s="3">
        <v>9</v>
      </c>
      <c r="D311" s="4">
        <v>35584</v>
      </c>
      <c r="E311" s="4">
        <v>35598</v>
      </c>
      <c r="F311" s="4">
        <v>35587</v>
      </c>
      <c r="G311" s="3">
        <v>2</v>
      </c>
      <c r="H311" s="3">
        <v>96.72</v>
      </c>
      <c r="I311" s="3" t="s">
        <v>143</v>
      </c>
      <c r="J311" s="3" t="s">
        <v>144</v>
      </c>
      <c r="K311" s="3" t="s">
        <v>145</v>
      </c>
      <c r="L311" s="3" t="s">
        <v>18</v>
      </c>
      <c r="M311" s="3">
        <v>60528</v>
      </c>
      <c r="N311" s="3" t="s">
        <v>24</v>
      </c>
      <c r="O311" s="2"/>
      <c r="P311" t="str">
        <f t="shared" si="21"/>
        <v>Magazinweg 7</v>
      </c>
      <c r="Q311" t="str">
        <f t="shared" si="25"/>
        <v>Frankfurt a.M.</v>
      </c>
      <c r="R311" t="str">
        <f t="shared" si="22"/>
        <v>NULL</v>
      </c>
      <c r="S311">
        <f t="shared" si="23"/>
        <v>60528</v>
      </c>
      <c r="T311" t="str">
        <f t="shared" si="24"/>
        <v>Germany</v>
      </c>
    </row>
    <row r="312" spans="1:20" x14ac:dyDescent="0.2">
      <c r="A312" s="1">
        <v>10558</v>
      </c>
      <c r="B312" s="3" t="s">
        <v>270</v>
      </c>
      <c r="C312" s="3">
        <v>1</v>
      </c>
      <c r="D312" s="4">
        <v>35585</v>
      </c>
      <c r="E312" s="4">
        <v>35613</v>
      </c>
      <c r="F312" s="4">
        <v>35591</v>
      </c>
      <c r="G312" s="3">
        <v>2</v>
      </c>
      <c r="H312" s="3">
        <v>72.97</v>
      </c>
      <c r="I312" s="3" t="s">
        <v>271</v>
      </c>
      <c r="J312" s="3" t="s">
        <v>272</v>
      </c>
      <c r="K312" s="3" t="s">
        <v>273</v>
      </c>
      <c r="L312" s="3" t="s">
        <v>274</v>
      </c>
      <c r="M312" s="3" t="s">
        <v>275</v>
      </c>
      <c r="N312" s="3" t="s">
        <v>169</v>
      </c>
      <c r="O312" s="2"/>
      <c r="P312" t="str">
        <f t="shared" si="21"/>
        <v>Brook Farm Stratford St. Mary</v>
      </c>
      <c r="Q312" t="str">
        <f t="shared" si="25"/>
        <v>Colchester</v>
      </c>
      <c r="R312" t="str">
        <f t="shared" si="22"/>
        <v>Essex</v>
      </c>
      <c r="S312" t="str">
        <f t="shared" si="23"/>
        <v>CO7 6JX</v>
      </c>
      <c r="T312" t="str">
        <f t="shared" si="24"/>
        <v>UK</v>
      </c>
    </row>
    <row r="313" spans="1:20" x14ac:dyDescent="0.2">
      <c r="A313" s="1">
        <v>10559</v>
      </c>
      <c r="B313" s="3" t="s">
        <v>93</v>
      </c>
      <c r="C313" s="3">
        <v>6</v>
      </c>
      <c r="D313" s="4">
        <v>35586</v>
      </c>
      <c r="E313" s="4">
        <v>35614</v>
      </c>
      <c r="F313" s="4">
        <v>35594</v>
      </c>
      <c r="G313" s="3">
        <v>1</v>
      </c>
      <c r="H313" s="3">
        <v>8.0500000000000007</v>
      </c>
      <c r="I313" s="3" t="s">
        <v>94</v>
      </c>
      <c r="J313" s="3">
        <v>24</v>
      </c>
      <c r="K313" s="3" t="s">
        <v>95</v>
      </c>
      <c r="L313" s="3" t="s">
        <v>96</v>
      </c>
      <c r="M313" s="3" t="s">
        <v>18</v>
      </c>
      <c r="N313" s="3">
        <v>67000</v>
      </c>
      <c r="O313" s="3" t="s">
        <v>19</v>
      </c>
      <c r="P313" t="str">
        <f t="shared" si="21"/>
        <v>24  place Kléber</v>
      </c>
      <c r="Q313" t="str">
        <f t="shared" si="25"/>
        <v>Strasbourg</v>
      </c>
      <c r="R313" t="str">
        <f t="shared" si="22"/>
        <v>NULL</v>
      </c>
      <c r="S313">
        <f t="shared" si="23"/>
        <v>67000</v>
      </c>
      <c r="T313" t="str">
        <f t="shared" si="24"/>
        <v>France</v>
      </c>
    </row>
    <row r="314" spans="1:20" x14ac:dyDescent="0.2">
      <c r="A314" s="1">
        <v>10560</v>
      </c>
      <c r="B314" s="3" t="s">
        <v>102</v>
      </c>
      <c r="C314" s="3">
        <v>8</v>
      </c>
      <c r="D314" s="4">
        <v>35587</v>
      </c>
      <c r="E314" s="4">
        <v>35615</v>
      </c>
      <c r="F314" s="4">
        <v>35590</v>
      </c>
      <c r="G314" s="3">
        <v>1</v>
      </c>
      <c r="H314" s="3">
        <v>36.65</v>
      </c>
      <c r="I314" s="3" t="s">
        <v>103</v>
      </c>
      <c r="J314" s="3" t="s">
        <v>104</v>
      </c>
      <c r="K314" s="3" t="s">
        <v>105</v>
      </c>
      <c r="L314" s="3" t="s">
        <v>18</v>
      </c>
      <c r="M314" s="3">
        <v>80805</v>
      </c>
      <c r="N314" s="3" t="s">
        <v>24</v>
      </c>
      <c r="O314" s="2"/>
      <c r="P314" t="str">
        <f t="shared" si="21"/>
        <v>Berliner Platz 43</v>
      </c>
      <c r="Q314" t="str">
        <f t="shared" si="25"/>
        <v>München</v>
      </c>
      <c r="R314" t="str">
        <f t="shared" si="22"/>
        <v>NULL</v>
      </c>
      <c r="S314">
        <f t="shared" si="23"/>
        <v>80805</v>
      </c>
      <c r="T314" t="str">
        <f t="shared" si="24"/>
        <v>Germany</v>
      </c>
    </row>
    <row r="315" spans="1:20" x14ac:dyDescent="0.2">
      <c r="A315" s="1">
        <v>10561</v>
      </c>
      <c r="B315" s="3" t="s">
        <v>87</v>
      </c>
      <c r="C315" s="3">
        <v>2</v>
      </c>
      <c r="D315" s="4">
        <v>35587</v>
      </c>
      <c r="E315" s="4">
        <v>35615</v>
      </c>
      <c r="F315" s="4">
        <v>35590</v>
      </c>
      <c r="G315" s="3">
        <v>2</v>
      </c>
      <c r="H315" s="3">
        <v>242.21</v>
      </c>
      <c r="I315" s="3" t="s">
        <v>88</v>
      </c>
      <c r="J315" s="3" t="s">
        <v>89</v>
      </c>
      <c r="K315" s="3" t="s">
        <v>90</v>
      </c>
      <c r="L315" s="3" t="s">
        <v>18</v>
      </c>
      <c r="M315" s="3" t="s">
        <v>91</v>
      </c>
      <c r="N315" s="3" t="s">
        <v>92</v>
      </c>
      <c r="O315" s="2"/>
      <c r="P315" t="str">
        <f t="shared" si="21"/>
        <v>Åkergatan 24</v>
      </c>
      <c r="Q315" t="str">
        <f t="shared" si="25"/>
        <v>Bräcke</v>
      </c>
      <c r="R315" t="str">
        <f t="shared" si="22"/>
        <v>NULL</v>
      </c>
      <c r="S315" t="str">
        <f t="shared" si="23"/>
        <v>S-844 67</v>
      </c>
      <c r="T315" t="str">
        <f t="shared" si="24"/>
        <v>Sweden</v>
      </c>
    </row>
    <row r="316" spans="1:20" x14ac:dyDescent="0.2">
      <c r="A316" s="1">
        <v>10562</v>
      </c>
      <c r="B316" s="3" t="s">
        <v>160</v>
      </c>
      <c r="C316" s="3">
        <v>1</v>
      </c>
      <c r="D316" s="4">
        <v>35590</v>
      </c>
      <c r="E316" s="4">
        <v>35618</v>
      </c>
      <c r="F316" s="4">
        <v>35593</v>
      </c>
      <c r="G316" s="3">
        <v>1</v>
      </c>
      <c r="H316" s="3">
        <v>22.95</v>
      </c>
      <c r="I316" s="3" t="s">
        <v>161</v>
      </c>
      <c r="J316" s="3" t="s">
        <v>162</v>
      </c>
      <c r="K316" s="3" t="s">
        <v>163</v>
      </c>
      <c r="L316" s="3" t="s">
        <v>18</v>
      </c>
      <c r="M316" s="3">
        <v>42100</v>
      </c>
      <c r="N316" s="3" t="s">
        <v>129</v>
      </c>
      <c r="O316" s="2"/>
      <c r="P316" t="str">
        <f t="shared" si="21"/>
        <v>Strada Provinciale 124</v>
      </c>
      <c r="Q316" t="str">
        <f t="shared" si="25"/>
        <v>Reggio Emilia</v>
      </c>
      <c r="R316" t="str">
        <f t="shared" si="22"/>
        <v>NULL</v>
      </c>
      <c r="S316">
        <f t="shared" si="23"/>
        <v>42100</v>
      </c>
      <c r="T316" t="str">
        <f t="shared" si="24"/>
        <v>Italy</v>
      </c>
    </row>
    <row r="317" spans="1:20" x14ac:dyDescent="0.2">
      <c r="A317" s="1">
        <v>10563</v>
      </c>
      <c r="B317" s="3" t="s">
        <v>156</v>
      </c>
      <c r="C317" s="3">
        <v>2</v>
      </c>
      <c r="D317" s="4">
        <v>35591</v>
      </c>
      <c r="E317" s="4">
        <v>35633</v>
      </c>
      <c r="F317" s="4">
        <v>35605</v>
      </c>
      <c r="G317" s="3">
        <v>2</v>
      </c>
      <c r="H317" s="3">
        <v>60.43</v>
      </c>
      <c r="I317" s="3" t="s">
        <v>157</v>
      </c>
      <c r="J317" s="3" t="s">
        <v>158</v>
      </c>
      <c r="K317" s="3">
        <v>267</v>
      </c>
      <c r="L317" s="3" t="s">
        <v>28</v>
      </c>
      <c r="M317" s="3" t="s">
        <v>29</v>
      </c>
      <c r="N317" s="3" t="s">
        <v>159</v>
      </c>
      <c r="O317" s="3" t="s">
        <v>31</v>
      </c>
      <c r="P317" t="str">
        <f t="shared" si="21"/>
        <v>Av. Copacabana 267</v>
      </c>
      <c r="Q317" t="str">
        <f t="shared" si="25"/>
        <v>Rio de Janeiro</v>
      </c>
      <c r="R317" t="str">
        <f t="shared" si="22"/>
        <v>RJ</v>
      </c>
      <c r="S317" t="str">
        <f t="shared" si="23"/>
        <v>02389-890</v>
      </c>
      <c r="T317" t="str">
        <f t="shared" si="24"/>
        <v>Brazil</v>
      </c>
    </row>
    <row r="318" spans="1:20" x14ac:dyDescent="0.2">
      <c r="A318" s="1">
        <v>10564</v>
      </c>
      <c r="B318" s="3" t="s">
        <v>81</v>
      </c>
      <c r="C318" s="3">
        <v>4</v>
      </c>
      <c r="D318" s="4">
        <v>35591</v>
      </c>
      <c r="E318" s="4">
        <v>35619</v>
      </c>
      <c r="F318" s="4">
        <v>35597</v>
      </c>
      <c r="G318" s="3">
        <v>3</v>
      </c>
      <c r="H318" s="3">
        <v>13.75</v>
      </c>
      <c r="I318" s="3" t="s">
        <v>82</v>
      </c>
      <c r="J318" s="3" t="s">
        <v>83</v>
      </c>
      <c r="K318" s="3" t="s">
        <v>84</v>
      </c>
      <c r="L318" s="3" t="s">
        <v>85</v>
      </c>
      <c r="M318" s="3">
        <v>87110</v>
      </c>
      <c r="N318" s="3" t="s">
        <v>86</v>
      </c>
      <c r="O318" s="2"/>
      <c r="P318" t="str">
        <f t="shared" si="21"/>
        <v>2817 Milton Dr.</v>
      </c>
      <c r="Q318" t="str">
        <f t="shared" si="25"/>
        <v>Albuquerque</v>
      </c>
      <c r="R318" t="str">
        <f t="shared" si="22"/>
        <v>NM</v>
      </c>
      <c r="S318">
        <f t="shared" si="23"/>
        <v>87110</v>
      </c>
      <c r="T318" t="str">
        <f t="shared" si="24"/>
        <v>USA</v>
      </c>
    </row>
    <row r="319" spans="1:20" x14ac:dyDescent="0.2">
      <c r="A319" s="1">
        <v>10565</v>
      </c>
      <c r="B319" s="3" t="s">
        <v>243</v>
      </c>
      <c r="C319" s="3">
        <v>8</v>
      </c>
      <c r="D319" s="4">
        <v>35592</v>
      </c>
      <c r="E319" s="4">
        <v>35620</v>
      </c>
      <c r="F319" s="4">
        <v>35599</v>
      </c>
      <c r="G319" s="3">
        <v>2</v>
      </c>
      <c r="H319" s="3">
        <v>7.15</v>
      </c>
      <c r="I319" s="3" t="s">
        <v>244</v>
      </c>
      <c r="J319" s="3" t="s">
        <v>245</v>
      </c>
      <c r="K319" s="3" t="s">
        <v>246</v>
      </c>
      <c r="L319" s="3" t="s">
        <v>247</v>
      </c>
      <c r="M319" s="3" t="s">
        <v>248</v>
      </c>
      <c r="N319" s="3" t="s">
        <v>249</v>
      </c>
      <c r="O319" s="2"/>
      <c r="P319" t="str">
        <f t="shared" si="21"/>
        <v>43 rue St. Laurent</v>
      </c>
      <c r="Q319" t="str">
        <f t="shared" si="25"/>
        <v>Montréal</v>
      </c>
      <c r="R319" t="str">
        <f t="shared" si="22"/>
        <v>Québec</v>
      </c>
      <c r="S319" t="str">
        <f t="shared" si="23"/>
        <v>H1J 1C3</v>
      </c>
      <c r="T319" t="str">
        <f t="shared" si="24"/>
        <v>Canada</v>
      </c>
    </row>
    <row r="320" spans="1:20" x14ac:dyDescent="0.2">
      <c r="A320" s="1">
        <v>10566</v>
      </c>
      <c r="B320" s="3" t="s">
        <v>93</v>
      </c>
      <c r="C320" s="3">
        <v>9</v>
      </c>
      <c r="D320" s="4">
        <v>35593</v>
      </c>
      <c r="E320" s="4">
        <v>35621</v>
      </c>
      <c r="F320" s="4">
        <v>35599</v>
      </c>
      <c r="G320" s="3">
        <v>1</v>
      </c>
      <c r="H320" s="3">
        <v>88.4</v>
      </c>
      <c r="I320" s="3" t="s">
        <v>94</v>
      </c>
      <c r="J320" s="3">
        <v>24</v>
      </c>
      <c r="K320" s="3" t="s">
        <v>95</v>
      </c>
      <c r="L320" s="3" t="s">
        <v>96</v>
      </c>
      <c r="M320" s="3" t="s">
        <v>18</v>
      </c>
      <c r="N320" s="3">
        <v>67000</v>
      </c>
      <c r="O320" s="3" t="s">
        <v>19</v>
      </c>
      <c r="P320" t="str">
        <f t="shared" si="21"/>
        <v>24  place Kléber</v>
      </c>
      <c r="Q320" t="str">
        <f t="shared" si="25"/>
        <v>Strasbourg</v>
      </c>
      <c r="R320" t="str">
        <f t="shared" si="22"/>
        <v>NULL</v>
      </c>
      <c r="S320">
        <f t="shared" si="23"/>
        <v>67000</v>
      </c>
      <c r="T320" t="str">
        <f t="shared" si="24"/>
        <v>France</v>
      </c>
    </row>
    <row r="321" spans="1:20" x14ac:dyDescent="0.2">
      <c r="A321" s="1">
        <v>10567</v>
      </c>
      <c r="B321" s="3" t="s">
        <v>179</v>
      </c>
      <c r="C321" s="3">
        <v>1</v>
      </c>
      <c r="D321" s="4">
        <v>35593</v>
      </c>
      <c r="E321" s="4">
        <v>35621</v>
      </c>
      <c r="F321" s="4">
        <v>35598</v>
      </c>
      <c r="G321" s="3">
        <v>1</v>
      </c>
      <c r="H321" s="3">
        <v>33.97</v>
      </c>
      <c r="I321" s="3" t="s">
        <v>180</v>
      </c>
      <c r="J321" s="3" t="s">
        <v>181</v>
      </c>
      <c r="K321" s="3" t="s">
        <v>182</v>
      </c>
      <c r="L321" s="3" t="s">
        <v>183</v>
      </c>
      <c r="M321" s="3" t="s">
        <v>18</v>
      </c>
      <c r="N321" s="3" t="s">
        <v>184</v>
      </c>
      <c r="O321" s="2"/>
      <c r="P321" t="str">
        <f t="shared" si="21"/>
        <v>8 Johnstown Road</v>
      </c>
      <c r="Q321" t="str">
        <f t="shared" si="25"/>
        <v>Cork</v>
      </c>
      <c r="R321" t="str">
        <f t="shared" si="22"/>
        <v>Co. Cork</v>
      </c>
      <c r="S321" t="str">
        <f t="shared" si="23"/>
        <v>NULL</v>
      </c>
      <c r="T321" t="str">
        <f t="shared" si="24"/>
        <v>Ireland</v>
      </c>
    </row>
    <row r="322" spans="1:20" x14ac:dyDescent="0.2">
      <c r="A322" s="1">
        <v>10568</v>
      </c>
      <c r="B322" s="3" t="s">
        <v>291</v>
      </c>
      <c r="C322" s="3">
        <v>3</v>
      </c>
      <c r="D322" s="4">
        <v>35594</v>
      </c>
      <c r="E322" s="4">
        <v>35622</v>
      </c>
      <c r="F322" s="4">
        <v>35620</v>
      </c>
      <c r="G322" s="3">
        <v>3</v>
      </c>
      <c r="H322" s="3">
        <v>6.54</v>
      </c>
      <c r="I322" s="3" t="s">
        <v>292</v>
      </c>
      <c r="J322" s="3" t="s">
        <v>293</v>
      </c>
      <c r="K322" s="3">
        <v>23</v>
      </c>
      <c r="L322" s="3" t="s">
        <v>294</v>
      </c>
      <c r="M322" s="3" t="s">
        <v>18</v>
      </c>
      <c r="N322" s="3">
        <v>8022</v>
      </c>
      <c r="O322" s="3" t="s">
        <v>150</v>
      </c>
      <c r="P322" t="str">
        <f t="shared" ref="P322:P385" si="26">IF(O322&lt;&gt;"",J322&amp;" "&amp;K322,J322)</f>
        <v>Rambla de Cataluña 23</v>
      </c>
      <c r="Q322" t="str">
        <f t="shared" si="25"/>
        <v>Barcelona</v>
      </c>
      <c r="R322" t="str">
        <f t="shared" si="22"/>
        <v>NULL</v>
      </c>
      <c r="S322">
        <f t="shared" si="23"/>
        <v>8022</v>
      </c>
      <c r="T322" t="str">
        <f t="shared" si="24"/>
        <v>Spain</v>
      </c>
    </row>
    <row r="323" spans="1:20" x14ac:dyDescent="0.2">
      <c r="A323" s="1">
        <v>10569</v>
      </c>
      <c r="B323" s="3" t="s">
        <v>81</v>
      </c>
      <c r="C323" s="3">
        <v>5</v>
      </c>
      <c r="D323" s="4">
        <v>35597</v>
      </c>
      <c r="E323" s="4">
        <v>35625</v>
      </c>
      <c r="F323" s="4">
        <v>35622</v>
      </c>
      <c r="G323" s="3">
        <v>1</v>
      </c>
      <c r="H323" s="3">
        <v>58.98</v>
      </c>
      <c r="I323" s="3" t="s">
        <v>82</v>
      </c>
      <c r="J323" s="3" t="s">
        <v>83</v>
      </c>
      <c r="K323" s="3" t="s">
        <v>84</v>
      </c>
      <c r="L323" s="3" t="s">
        <v>85</v>
      </c>
      <c r="M323" s="3">
        <v>87110</v>
      </c>
      <c r="N323" s="3" t="s">
        <v>86</v>
      </c>
      <c r="O323" s="2"/>
      <c r="P323" t="str">
        <f t="shared" si="26"/>
        <v>2817 Milton Dr.</v>
      </c>
      <c r="Q323" t="str">
        <f t="shared" si="25"/>
        <v>Albuquerque</v>
      </c>
      <c r="R323" t="str">
        <f t="shared" ref="R323:R386" si="27">IF(O323&lt;&gt;"",M323,L323)</f>
        <v>NM</v>
      </c>
      <c r="S323">
        <f t="shared" ref="S323:S386" si="28">IF(O323&lt;&gt;"",N323,M323)</f>
        <v>87110</v>
      </c>
      <c r="T323" t="str">
        <f t="shared" ref="T323:T386" si="29">IF(O323&lt;&gt;"",O323,N323)</f>
        <v>USA</v>
      </c>
    </row>
    <row r="324" spans="1:20" x14ac:dyDescent="0.2">
      <c r="A324" s="1">
        <v>10570</v>
      </c>
      <c r="B324" s="3" t="s">
        <v>243</v>
      </c>
      <c r="C324" s="3">
        <v>3</v>
      </c>
      <c r="D324" s="4">
        <v>35598</v>
      </c>
      <c r="E324" s="4">
        <v>35626</v>
      </c>
      <c r="F324" s="4">
        <v>35600</v>
      </c>
      <c r="G324" s="3">
        <v>3</v>
      </c>
      <c r="H324" s="3">
        <v>188.99</v>
      </c>
      <c r="I324" s="3" t="s">
        <v>244</v>
      </c>
      <c r="J324" s="3" t="s">
        <v>245</v>
      </c>
      <c r="K324" s="3" t="s">
        <v>246</v>
      </c>
      <c r="L324" s="3" t="s">
        <v>247</v>
      </c>
      <c r="M324" s="3" t="s">
        <v>248</v>
      </c>
      <c r="N324" s="3" t="s">
        <v>249</v>
      </c>
      <c r="O324" s="2"/>
      <c r="P324" t="str">
        <f t="shared" si="26"/>
        <v>43 rue St. Laurent</v>
      </c>
      <c r="Q324" t="str">
        <f t="shared" si="25"/>
        <v>Montréal</v>
      </c>
      <c r="R324" t="str">
        <f t="shared" si="27"/>
        <v>Québec</v>
      </c>
      <c r="S324" t="str">
        <f t="shared" si="28"/>
        <v>H1J 1C3</v>
      </c>
      <c r="T324" t="str">
        <f t="shared" si="29"/>
        <v>Canada</v>
      </c>
    </row>
    <row r="325" spans="1:20" x14ac:dyDescent="0.2">
      <c r="A325" s="1">
        <v>10571</v>
      </c>
      <c r="B325" s="3" t="s">
        <v>63</v>
      </c>
      <c r="C325" s="3">
        <v>8</v>
      </c>
      <c r="D325" s="4">
        <v>35598</v>
      </c>
      <c r="E325" s="4">
        <v>35640</v>
      </c>
      <c r="F325" s="4">
        <v>35615</v>
      </c>
      <c r="G325" s="3">
        <v>3</v>
      </c>
      <c r="H325" s="3">
        <v>26.06</v>
      </c>
      <c r="I325" s="3" t="s">
        <v>64</v>
      </c>
      <c r="J325" s="3" t="s">
        <v>65</v>
      </c>
      <c r="K325" s="3" t="s">
        <v>66</v>
      </c>
      <c r="L325" s="3" t="s">
        <v>18</v>
      </c>
      <c r="M325" s="3">
        <v>8010</v>
      </c>
      <c r="N325" s="3" t="s">
        <v>67</v>
      </c>
      <c r="O325" s="2"/>
      <c r="P325" t="str">
        <f t="shared" si="26"/>
        <v>Kirchgasse 6</v>
      </c>
      <c r="Q325" t="str">
        <f t="shared" si="25"/>
        <v>Graz</v>
      </c>
      <c r="R325" t="str">
        <f t="shared" si="27"/>
        <v>NULL</v>
      </c>
      <c r="S325">
        <f t="shared" si="28"/>
        <v>8010</v>
      </c>
      <c r="T325" t="str">
        <f t="shared" si="29"/>
        <v>Austria</v>
      </c>
    </row>
    <row r="326" spans="1:20" x14ac:dyDescent="0.2">
      <c r="A326" s="1">
        <v>10572</v>
      </c>
      <c r="B326" s="3" t="s">
        <v>137</v>
      </c>
      <c r="C326" s="3">
        <v>3</v>
      </c>
      <c r="D326" s="4">
        <v>35599</v>
      </c>
      <c r="E326" s="4">
        <v>35627</v>
      </c>
      <c r="F326" s="4">
        <v>35606</v>
      </c>
      <c r="G326" s="3">
        <v>2</v>
      </c>
      <c r="H326" s="3">
        <v>116.43</v>
      </c>
      <c r="I326" s="3" t="s">
        <v>138</v>
      </c>
      <c r="J326" s="3" t="s">
        <v>139</v>
      </c>
      <c r="K326" s="3" t="s">
        <v>140</v>
      </c>
      <c r="L326" s="3" t="s">
        <v>18</v>
      </c>
      <c r="M326" s="3" t="s">
        <v>141</v>
      </c>
      <c r="N326" s="3" t="s">
        <v>92</v>
      </c>
      <c r="O326" s="2"/>
      <c r="P326" t="str">
        <f t="shared" si="26"/>
        <v>Berguvsvägen  8</v>
      </c>
      <c r="Q326" t="str">
        <f t="shared" si="25"/>
        <v>Luleå</v>
      </c>
      <c r="R326" t="str">
        <f t="shared" si="27"/>
        <v>NULL</v>
      </c>
      <c r="S326" t="str">
        <f t="shared" si="28"/>
        <v>S-958 22</v>
      </c>
      <c r="T326" t="str">
        <f t="shared" si="29"/>
        <v>Sweden</v>
      </c>
    </row>
    <row r="327" spans="1:20" x14ac:dyDescent="0.2">
      <c r="A327" s="1">
        <v>10573</v>
      </c>
      <c r="B327" s="3" t="s">
        <v>288</v>
      </c>
      <c r="C327" s="3">
        <v>7</v>
      </c>
      <c r="D327" s="4">
        <v>35600</v>
      </c>
      <c r="E327" s="4">
        <v>35628</v>
      </c>
      <c r="F327" s="4">
        <v>35601</v>
      </c>
      <c r="G327" s="3">
        <v>3</v>
      </c>
      <c r="H327" s="3">
        <v>84.84</v>
      </c>
      <c r="I327" s="3" t="s">
        <v>289</v>
      </c>
      <c r="J327" s="3" t="s">
        <v>290</v>
      </c>
      <c r="K327" s="3" t="s">
        <v>71</v>
      </c>
      <c r="L327" s="3" t="s">
        <v>18</v>
      </c>
      <c r="M327" s="3">
        <v>5023</v>
      </c>
      <c r="N327" s="3" t="s">
        <v>72</v>
      </c>
      <c r="O327" s="2"/>
      <c r="P327" t="str">
        <f t="shared" si="26"/>
        <v>Mataderos  2312</v>
      </c>
      <c r="Q327" t="str">
        <f t="shared" ref="Q327:Q390" si="30">IF(O327&lt;&gt;"",L327,K327)</f>
        <v>México D.F.</v>
      </c>
      <c r="R327" t="str">
        <f t="shared" si="27"/>
        <v>NULL</v>
      </c>
      <c r="S327">
        <f t="shared" si="28"/>
        <v>5023</v>
      </c>
      <c r="T327" t="str">
        <f t="shared" si="29"/>
        <v>Mexico</v>
      </c>
    </row>
    <row r="328" spans="1:20" x14ac:dyDescent="0.2">
      <c r="A328" s="1">
        <v>10574</v>
      </c>
      <c r="B328" s="3" t="s">
        <v>383</v>
      </c>
      <c r="C328" s="3">
        <v>4</v>
      </c>
      <c r="D328" s="4">
        <v>35600</v>
      </c>
      <c r="E328" s="4">
        <v>35628</v>
      </c>
      <c r="F328" s="4">
        <v>35611</v>
      </c>
      <c r="G328" s="3">
        <v>2</v>
      </c>
      <c r="H328" s="3">
        <v>37.6</v>
      </c>
      <c r="I328" s="3" t="s">
        <v>384</v>
      </c>
      <c r="J328" s="3" t="s">
        <v>385</v>
      </c>
      <c r="K328" s="3" t="s">
        <v>386</v>
      </c>
      <c r="L328" s="3" t="s">
        <v>115</v>
      </c>
      <c r="M328" s="3">
        <v>98034</v>
      </c>
      <c r="N328" s="3" t="s">
        <v>86</v>
      </c>
      <c r="O328" s="2"/>
      <c r="P328" t="str">
        <f t="shared" si="26"/>
        <v>722 DaVinci Blvd.</v>
      </c>
      <c r="Q328" t="str">
        <f t="shared" si="30"/>
        <v>Kirkland</v>
      </c>
      <c r="R328" t="str">
        <f t="shared" si="27"/>
        <v>WA</v>
      </c>
      <c r="S328">
        <f t="shared" si="28"/>
        <v>98034</v>
      </c>
      <c r="T328" t="str">
        <f t="shared" si="29"/>
        <v>USA</v>
      </c>
    </row>
    <row r="329" spans="1:20" x14ac:dyDescent="0.2">
      <c r="A329" s="1">
        <v>10575</v>
      </c>
      <c r="B329" s="3" t="s">
        <v>133</v>
      </c>
      <c r="C329" s="3">
        <v>5</v>
      </c>
      <c r="D329" s="4">
        <v>35601</v>
      </c>
      <c r="E329" s="4">
        <v>35615</v>
      </c>
      <c r="F329" s="4">
        <v>35611</v>
      </c>
      <c r="G329" s="3">
        <v>1</v>
      </c>
      <c r="H329" s="3">
        <v>127.34</v>
      </c>
      <c r="I329" s="3" t="s">
        <v>134</v>
      </c>
      <c r="J329" s="3" t="s">
        <v>135</v>
      </c>
      <c r="K329" s="3" t="s">
        <v>136</v>
      </c>
      <c r="L329" s="3" t="s">
        <v>18</v>
      </c>
      <c r="M329" s="3">
        <v>4179</v>
      </c>
      <c r="N329" s="3" t="s">
        <v>24</v>
      </c>
      <c r="O329" s="2"/>
      <c r="P329" t="str">
        <f t="shared" si="26"/>
        <v>Heerstr. 22</v>
      </c>
      <c r="Q329" t="str">
        <f t="shared" si="30"/>
        <v>Leipzig</v>
      </c>
      <c r="R329" t="str">
        <f t="shared" si="27"/>
        <v>NULL</v>
      </c>
      <c r="S329">
        <f t="shared" si="28"/>
        <v>4179</v>
      </c>
      <c r="T329" t="str">
        <f t="shared" si="29"/>
        <v>Germany</v>
      </c>
    </row>
    <row r="330" spans="1:20" x14ac:dyDescent="0.2">
      <c r="A330" s="1">
        <v>10576</v>
      </c>
      <c r="B330" s="3" t="s">
        <v>130</v>
      </c>
      <c r="C330" s="3">
        <v>3</v>
      </c>
      <c r="D330" s="4">
        <v>35604</v>
      </c>
      <c r="E330" s="4">
        <v>35618</v>
      </c>
      <c r="F330" s="4">
        <v>35611</v>
      </c>
      <c r="G330" s="3">
        <v>3</v>
      </c>
      <c r="H330" s="3">
        <v>18.559999999999999</v>
      </c>
      <c r="I330" s="3" t="s">
        <v>131</v>
      </c>
      <c r="J330" s="3" t="s">
        <v>132</v>
      </c>
      <c r="K330" s="3" t="s">
        <v>71</v>
      </c>
      <c r="L330" s="3" t="s">
        <v>18</v>
      </c>
      <c r="M330" s="3">
        <v>5033</v>
      </c>
      <c r="N330" s="3" t="s">
        <v>72</v>
      </c>
      <c r="O330" s="2"/>
      <c r="P330" t="str">
        <f t="shared" si="26"/>
        <v>Avda. Azteca 123</v>
      </c>
      <c r="Q330" t="str">
        <f t="shared" si="30"/>
        <v>México D.F.</v>
      </c>
      <c r="R330" t="str">
        <f t="shared" si="27"/>
        <v>NULL</v>
      </c>
      <c r="S330">
        <f t="shared" si="28"/>
        <v>5033</v>
      </c>
      <c r="T330" t="str">
        <f t="shared" si="29"/>
        <v>Mexico</v>
      </c>
    </row>
    <row r="331" spans="1:20" x14ac:dyDescent="0.2">
      <c r="A331" s="1">
        <v>10577</v>
      </c>
      <c r="B331" s="3" t="s">
        <v>383</v>
      </c>
      <c r="C331" s="3">
        <v>9</v>
      </c>
      <c r="D331" s="4">
        <v>35604</v>
      </c>
      <c r="E331" s="4">
        <v>35646</v>
      </c>
      <c r="F331" s="4">
        <v>35611</v>
      </c>
      <c r="G331" s="3">
        <v>2</v>
      </c>
      <c r="H331" s="3">
        <v>25.41</v>
      </c>
      <c r="I331" s="3" t="s">
        <v>384</v>
      </c>
      <c r="J331" s="3" t="s">
        <v>385</v>
      </c>
      <c r="K331" s="3" t="s">
        <v>386</v>
      </c>
      <c r="L331" s="3" t="s">
        <v>115</v>
      </c>
      <c r="M331" s="3">
        <v>98034</v>
      </c>
      <c r="N331" s="3" t="s">
        <v>86</v>
      </c>
      <c r="O331" s="2"/>
      <c r="P331" t="str">
        <f t="shared" si="26"/>
        <v>722 DaVinci Blvd.</v>
      </c>
      <c r="Q331" t="str">
        <f t="shared" si="30"/>
        <v>Kirkland</v>
      </c>
      <c r="R331" t="str">
        <f t="shared" si="27"/>
        <v>WA</v>
      </c>
      <c r="S331">
        <f t="shared" si="28"/>
        <v>98034</v>
      </c>
      <c r="T331" t="str">
        <f t="shared" si="29"/>
        <v>USA</v>
      </c>
    </row>
    <row r="332" spans="1:20" x14ac:dyDescent="0.2">
      <c r="A332" s="1">
        <v>10578</v>
      </c>
      <c r="B332" s="3" t="s">
        <v>164</v>
      </c>
      <c r="C332" s="3">
        <v>4</v>
      </c>
      <c r="D332" s="4">
        <v>35605</v>
      </c>
      <c r="E332" s="4">
        <v>35633</v>
      </c>
      <c r="F332" s="4">
        <v>35636</v>
      </c>
      <c r="G332" s="3">
        <v>3</v>
      </c>
      <c r="H332" s="3">
        <v>29.6</v>
      </c>
      <c r="I332" s="3" t="s">
        <v>165</v>
      </c>
      <c r="J332" s="3" t="s">
        <v>166</v>
      </c>
      <c r="K332" s="3" t="s">
        <v>167</v>
      </c>
      <c r="L332" s="3" t="s">
        <v>18</v>
      </c>
      <c r="M332" s="3" t="s">
        <v>168</v>
      </c>
      <c r="N332" s="3" t="s">
        <v>169</v>
      </c>
      <c r="O332" s="2"/>
      <c r="P332" t="str">
        <f t="shared" si="26"/>
        <v>Fauntleroy Circus</v>
      </c>
      <c r="Q332" t="str">
        <f t="shared" si="30"/>
        <v>London</v>
      </c>
      <c r="R332" t="str">
        <f t="shared" si="27"/>
        <v>NULL</v>
      </c>
      <c r="S332" t="str">
        <f t="shared" si="28"/>
        <v>EC2 5NT</v>
      </c>
      <c r="T332" t="str">
        <f t="shared" si="29"/>
        <v>UK</v>
      </c>
    </row>
    <row r="333" spans="1:20" x14ac:dyDescent="0.2">
      <c r="A333" s="1">
        <v>10579</v>
      </c>
      <c r="B333" s="3" t="s">
        <v>387</v>
      </c>
      <c r="C333" s="3">
        <v>1</v>
      </c>
      <c r="D333" s="4">
        <v>35606</v>
      </c>
      <c r="E333" s="4">
        <v>35634</v>
      </c>
      <c r="F333" s="4">
        <v>35615</v>
      </c>
      <c r="G333" s="3">
        <v>2</v>
      </c>
      <c r="H333" s="3">
        <v>13.73</v>
      </c>
      <c r="I333" s="3" t="s">
        <v>388</v>
      </c>
      <c r="J333" s="3" t="s">
        <v>389</v>
      </c>
      <c r="K333" s="3" t="s">
        <v>390</v>
      </c>
      <c r="L333" s="3" t="s">
        <v>391</v>
      </c>
      <c r="M333" s="3">
        <v>94117</v>
      </c>
      <c r="N333" s="3" t="s">
        <v>86</v>
      </c>
      <c r="O333" s="2"/>
      <c r="P333" t="str">
        <f t="shared" si="26"/>
        <v>87 Polk St. Suite 5</v>
      </c>
      <c r="Q333" t="str">
        <f t="shared" si="30"/>
        <v>San Francisco</v>
      </c>
      <c r="R333" t="str">
        <f t="shared" si="27"/>
        <v>CA</v>
      </c>
      <c r="S333">
        <f t="shared" si="28"/>
        <v>94117</v>
      </c>
      <c r="T333" t="str">
        <f t="shared" si="29"/>
        <v>USA</v>
      </c>
    </row>
    <row r="334" spans="1:20" x14ac:dyDescent="0.2">
      <c r="A334" s="1">
        <v>10580</v>
      </c>
      <c r="B334" s="3" t="s">
        <v>73</v>
      </c>
      <c r="C334" s="3">
        <v>4</v>
      </c>
      <c r="D334" s="4">
        <v>35607</v>
      </c>
      <c r="E334" s="4">
        <v>35635</v>
      </c>
      <c r="F334" s="4">
        <v>35612</v>
      </c>
      <c r="G334" s="3">
        <v>3</v>
      </c>
      <c r="H334" s="3">
        <v>75.89</v>
      </c>
      <c r="I334" s="3" t="s">
        <v>74</v>
      </c>
      <c r="J334" s="3" t="s">
        <v>75</v>
      </c>
      <c r="K334" s="3" t="s">
        <v>76</v>
      </c>
      <c r="L334" s="3" t="s">
        <v>18</v>
      </c>
      <c r="M334" s="3">
        <v>50739</v>
      </c>
      <c r="N334" s="3" t="s">
        <v>24</v>
      </c>
      <c r="O334" s="2"/>
      <c r="P334" t="str">
        <f t="shared" si="26"/>
        <v>Mehrheimerstr. 369</v>
      </c>
      <c r="Q334" t="str">
        <f t="shared" si="30"/>
        <v>Köln</v>
      </c>
      <c r="R334" t="str">
        <f t="shared" si="27"/>
        <v>NULL</v>
      </c>
      <c r="S334">
        <f t="shared" si="28"/>
        <v>50739</v>
      </c>
      <c r="T334" t="str">
        <f t="shared" si="29"/>
        <v>Germany</v>
      </c>
    </row>
    <row r="335" spans="1:20" x14ac:dyDescent="0.2">
      <c r="A335" s="1">
        <v>10581</v>
      </c>
      <c r="B335" s="3" t="s">
        <v>258</v>
      </c>
      <c r="C335" s="3">
        <v>3</v>
      </c>
      <c r="D335" s="4">
        <v>35607</v>
      </c>
      <c r="E335" s="4">
        <v>35635</v>
      </c>
      <c r="F335" s="4">
        <v>35613</v>
      </c>
      <c r="G335" s="3">
        <v>1</v>
      </c>
      <c r="H335" s="3">
        <v>3.01</v>
      </c>
      <c r="I335" s="3" t="s">
        <v>259</v>
      </c>
      <c r="J335" s="3" t="s">
        <v>260</v>
      </c>
      <c r="K335" s="3">
        <v>92</v>
      </c>
      <c r="L335" s="3" t="s">
        <v>173</v>
      </c>
      <c r="M335" s="3" t="s">
        <v>55</v>
      </c>
      <c r="N335" s="3" t="s">
        <v>261</v>
      </c>
      <c r="O335" s="3" t="s">
        <v>31</v>
      </c>
      <c r="P335" t="str">
        <f t="shared" si="26"/>
        <v>Rua Orós 92</v>
      </c>
      <c r="Q335" t="str">
        <f t="shared" si="30"/>
        <v>Sao Paulo</v>
      </c>
      <c r="R335" t="str">
        <f t="shared" si="27"/>
        <v>SP</v>
      </c>
      <c r="S335" t="str">
        <f t="shared" si="28"/>
        <v>05442-030</v>
      </c>
      <c r="T335" t="str">
        <f t="shared" si="29"/>
        <v>Brazil</v>
      </c>
    </row>
    <row r="336" spans="1:20" x14ac:dyDescent="0.2">
      <c r="A336" s="1">
        <v>10582</v>
      </c>
      <c r="B336" s="3" t="s">
        <v>363</v>
      </c>
      <c r="C336" s="3">
        <v>3</v>
      </c>
      <c r="D336" s="4">
        <v>35608</v>
      </c>
      <c r="E336" s="4">
        <v>35636</v>
      </c>
      <c r="F336" s="4">
        <v>35625</v>
      </c>
      <c r="G336" s="3">
        <v>2</v>
      </c>
      <c r="H336" s="3">
        <v>27.71</v>
      </c>
      <c r="I336" s="3" t="s">
        <v>364</v>
      </c>
      <c r="J336" s="3" t="s">
        <v>365</v>
      </c>
      <c r="K336" s="3" t="s">
        <v>366</v>
      </c>
      <c r="L336" s="3" t="s">
        <v>18</v>
      </c>
      <c r="M336" s="3">
        <v>68306</v>
      </c>
      <c r="N336" s="3" t="s">
        <v>24</v>
      </c>
      <c r="O336" s="2"/>
      <c r="P336" t="str">
        <f t="shared" si="26"/>
        <v>Forsterstr. 57</v>
      </c>
      <c r="Q336" t="str">
        <f t="shared" si="30"/>
        <v>Mannheim</v>
      </c>
      <c r="R336" t="str">
        <f t="shared" si="27"/>
        <v>NULL</v>
      </c>
      <c r="S336">
        <f t="shared" si="28"/>
        <v>68306</v>
      </c>
      <c r="T336" t="str">
        <f t="shared" si="29"/>
        <v>Germany</v>
      </c>
    </row>
    <row r="337" spans="1:20" x14ac:dyDescent="0.2">
      <c r="A337" s="1">
        <v>10583</v>
      </c>
      <c r="B337" s="3" t="s">
        <v>97</v>
      </c>
      <c r="C337" s="3">
        <v>2</v>
      </c>
      <c r="D337" s="4">
        <v>35611</v>
      </c>
      <c r="E337" s="4">
        <v>35639</v>
      </c>
      <c r="F337" s="4">
        <v>35615</v>
      </c>
      <c r="G337" s="3">
        <v>2</v>
      </c>
      <c r="H337" s="3">
        <v>7.28</v>
      </c>
      <c r="I337" s="3" t="s">
        <v>98</v>
      </c>
      <c r="J337" s="3" t="s">
        <v>99</v>
      </c>
      <c r="K337" s="3" t="s">
        <v>100</v>
      </c>
      <c r="L337" s="3" t="s">
        <v>18</v>
      </c>
      <c r="M337" s="3">
        <v>90110</v>
      </c>
      <c r="N337" s="3" t="s">
        <v>101</v>
      </c>
      <c r="O337" s="2"/>
      <c r="P337" t="str">
        <f t="shared" si="26"/>
        <v>Torikatu 38</v>
      </c>
      <c r="Q337" t="str">
        <f t="shared" si="30"/>
        <v>Oulu</v>
      </c>
      <c r="R337" t="str">
        <f t="shared" si="27"/>
        <v>NULL</v>
      </c>
      <c r="S337">
        <f t="shared" si="28"/>
        <v>90110</v>
      </c>
      <c r="T337" t="str">
        <f t="shared" si="29"/>
        <v>Finland</v>
      </c>
    </row>
    <row r="338" spans="1:20" x14ac:dyDescent="0.2">
      <c r="A338" s="1">
        <v>10584</v>
      </c>
      <c r="B338" s="3" t="s">
        <v>93</v>
      </c>
      <c r="C338" s="3">
        <v>4</v>
      </c>
      <c r="D338" s="4">
        <v>35611</v>
      </c>
      <c r="E338" s="4">
        <v>35639</v>
      </c>
      <c r="F338" s="4">
        <v>35615</v>
      </c>
      <c r="G338" s="3">
        <v>1</v>
      </c>
      <c r="H338" s="3">
        <v>59.14</v>
      </c>
      <c r="I338" s="3" t="s">
        <v>94</v>
      </c>
      <c r="J338" s="3">
        <v>24</v>
      </c>
      <c r="K338" s="3" t="s">
        <v>95</v>
      </c>
      <c r="L338" s="3" t="s">
        <v>96</v>
      </c>
      <c r="M338" s="3" t="s">
        <v>18</v>
      </c>
      <c r="N338" s="3">
        <v>67000</v>
      </c>
      <c r="O338" s="3" t="s">
        <v>19</v>
      </c>
      <c r="P338" t="str">
        <f t="shared" si="26"/>
        <v>24  place Kléber</v>
      </c>
      <c r="Q338" t="str">
        <f t="shared" si="30"/>
        <v>Strasbourg</v>
      </c>
      <c r="R338" t="str">
        <f t="shared" si="27"/>
        <v>NULL</v>
      </c>
      <c r="S338">
        <f t="shared" si="28"/>
        <v>67000</v>
      </c>
      <c r="T338" t="str">
        <f t="shared" si="29"/>
        <v>France</v>
      </c>
    </row>
    <row r="339" spans="1:20" x14ac:dyDescent="0.2">
      <c r="A339" s="1">
        <v>10585</v>
      </c>
      <c r="B339" s="3" t="s">
        <v>51</v>
      </c>
      <c r="C339" s="3">
        <v>7</v>
      </c>
      <c r="D339" s="4">
        <v>35612</v>
      </c>
      <c r="E339" s="4">
        <v>35640</v>
      </c>
      <c r="F339" s="4">
        <v>35621</v>
      </c>
      <c r="G339" s="3">
        <v>1</v>
      </c>
      <c r="H339" s="3">
        <v>13.41</v>
      </c>
      <c r="I339" s="3" t="s">
        <v>52</v>
      </c>
      <c r="J339" s="3" t="s">
        <v>53</v>
      </c>
      <c r="K339" s="3">
        <v>12</v>
      </c>
      <c r="L339" s="3" t="s">
        <v>54</v>
      </c>
      <c r="M339" s="3" t="s">
        <v>55</v>
      </c>
      <c r="N339" s="3" t="s">
        <v>56</v>
      </c>
      <c r="O339" s="3" t="s">
        <v>31</v>
      </c>
      <c r="P339" t="str">
        <f t="shared" si="26"/>
        <v>Rua do Mercado 12</v>
      </c>
      <c r="Q339" t="str">
        <f t="shared" si="30"/>
        <v>Resende</v>
      </c>
      <c r="R339" t="str">
        <f t="shared" si="27"/>
        <v>SP</v>
      </c>
      <c r="S339" t="str">
        <f t="shared" si="28"/>
        <v>08737-363</v>
      </c>
      <c r="T339" t="str">
        <f t="shared" si="29"/>
        <v>Brazil</v>
      </c>
    </row>
    <row r="340" spans="1:20" x14ac:dyDescent="0.2">
      <c r="A340" s="1">
        <v>10586</v>
      </c>
      <c r="B340" s="3" t="s">
        <v>160</v>
      </c>
      <c r="C340" s="3">
        <v>9</v>
      </c>
      <c r="D340" s="4">
        <v>35613</v>
      </c>
      <c r="E340" s="4">
        <v>35641</v>
      </c>
      <c r="F340" s="4">
        <v>35620</v>
      </c>
      <c r="G340" s="3">
        <v>1</v>
      </c>
      <c r="H340" s="3">
        <v>0.48</v>
      </c>
      <c r="I340" s="3" t="s">
        <v>161</v>
      </c>
      <c r="J340" s="3" t="s">
        <v>162</v>
      </c>
      <c r="K340" s="3" t="s">
        <v>163</v>
      </c>
      <c r="L340" s="3" t="s">
        <v>18</v>
      </c>
      <c r="M340" s="3">
        <v>42100</v>
      </c>
      <c r="N340" s="3" t="s">
        <v>129</v>
      </c>
      <c r="O340" s="2"/>
      <c r="P340" t="str">
        <f t="shared" si="26"/>
        <v>Strada Provinciale 124</v>
      </c>
      <c r="Q340" t="str">
        <f t="shared" si="30"/>
        <v>Reggio Emilia</v>
      </c>
      <c r="R340" t="str">
        <f t="shared" si="27"/>
        <v>NULL</v>
      </c>
      <c r="S340">
        <f t="shared" si="28"/>
        <v>42100</v>
      </c>
      <c r="T340" t="str">
        <f t="shared" si="29"/>
        <v>Italy</v>
      </c>
    </row>
    <row r="341" spans="1:20" x14ac:dyDescent="0.2">
      <c r="A341" s="1">
        <v>10587</v>
      </c>
      <c r="B341" s="3" t="s">
        <v>77</v>
      </c>
      <c r="C341" s="3">
        <v>1</v>
      </c>
      <c r="D341" s="4">
        <v>35613</v>
      </c>
      <c r="E341" s="4">
        <v>35641</v>
      </c>
      <c r="F341" s="4">
        <v>35620</v>
      </c>
      <c r="G341" s="3">
        <v>1</v>
      </c>
      <c r="H341" s="3">
        <v>62.52</v>
      </c>
      <c r="I341" s="3" t="s">
        <v>78</v>
      </c>
      <c r="J341" s="3" t="s">
        <v>79</v>
      </c>
      <c r="K341" s="3">
        <v>12</v>
      </c>
      <c r="L341" s="3" t="s">
        <v>28</v>
      </c>
      <c r="M341" s="3" t="s">
        <v>29</v>
      </c>
      <c r="N341" s="3" t="s">
        <v>80</v>
      </c>
      <c r="O341" s="3" t="s">
        <v>31</v>
      </c>
      <c r="P341" t="str">
        <f t="shared" si="26"/>
        <v>Rua da Panificadora 12</v>
      </c>
      <c r="Q341" t="str">
        <f t="shared" si="30"/>
        <v>Rio de Janeiro</v>
      </c>
      <c r="R341" t="str">
        <f t="shared" si="27"/>
        <v>RJ</v>
      </c>
      <c r="S341" t="str">
        <f t="shared" si="28"/>
        <v>02389-673</v>
      </c>
      <c r="T341" t="str">
        <f t="shared" si="29"/>
        <v>Brazil</v>
      </c>
    </row>
    <row r="342" spans="1:20" x14ac:dyDescent="0.2">
      <c r="A342" s="1">
        <v>10588</v>
      </c>
      <c r="B342" s="3" t="s">
        <v>121</v>
      </c>
      <c r="C342" s="3">
        <v>2</v>
      </c>
      <c r="D342" s="4">
        <v>35614</v>
      </c>
      <c r="E342" s="4">
        <v>35642</v>
      </c>
      <c r="F342" s="4">
        <v>35621</v>
      </c>
      <c r="G342" s="3">
        <v>3</v>
      </c>
      <c r="H342" s="3">
        <v>194.67</v>
      </c>
      <c r="I342" s="3" t="s">
        <v>122</v>
      </c>
      <c r="J342" s="3" t="s">
        <v>123</v>
      </c>
      <c r="K342" s="3" t="s">
        <v>124</v>
      </c>
      <c r="L342" s="3" t="s">
        <v>18</v>
      </c>
      <c r="M342" s="3">
        <v>1307</v>
      </c>
      <c r="N342" s="3" t="s">
        <v>24</v>
      </c>
      <c r="O342" s="2"/>
      <c r="P342" t="str">
        <f t="shared" si="26"/>
        <v>Taucherstraße 10</v>
      </c>
      <c r="Q342" t="str">
        <f t="shared" si="30"/>
        <v>Cunewalde</v>
      </c>
      <c r="R342" t="str">
        <f t="shared" si="27"/>
        <v>NULL</v>
      </c>
      <c r="S342">
        <f t="shared" si="28"/>
        <v>1307</v>
      </c>
      <c r="T342" t="str">
        <f t="shared" si="29"/>
        <v>Germany</v>
      </c>
    </row>
    <row r="343" spans="1:20" x14ac:dyDescent="0.2">
      <c r="A343" s="1">
        <v>10589</v>
      </c>
      <c r="B343" s="3" t="s">
        <v>374</v>
      </c>
      <c r="C343" s="3">
        <v>8</v>
      </c>
      <c r="D343" s="4">
        <v>35615</v>
      </c>
      <c r="E343" s="4">
        <v>35643</v>
      </c>
      <c r="F343" s="4">
        <v>35625</v>
      </c>
      <c r="G343" s="3">
        <v>2</v>
      </c>
      <c r="H343" s="3">
        <v>4.42</v>
      </c>
      <c r="I343" s="3" t="s">
        <v>375</v>
      </c>
      <c r="J343" s="3" t="s">
        <v>376</v>
      </c>
      <c r="K343" s="3" t="s">
        <v>377</v>
      </c>
      <c r="L343" s="3" t="s">
        <v>202</v>
      </c>
      <c r="M343" s="3">
        <v>97403</v>
      </c>
      <c r="N343" s="3" t="s">
        <v>86</v>
      </c>
      <c r="O343" s="2"/>
      <c r="P343" t="str">
        <f t="shared" si="26"/>
        <v>2732 Baker Blvd.</v>
      </c>
      <c r="Q343" t="str">
        <f t="shared" si="30"/>
        <v>Eugene</v>
      </c>
      <c r="R343" t="str">
        <f t="shared" si="27"/>
        <v>OR</v>
      </c>
      <c r="S343">
        <f t="shared" si="28"/>
        <v>97403</v>
      </c>
      <c r="T343" t="str">
        <f t="shared" si="29"/>
        <v>USA</v>
      </c>
    </row>
    <row r="344" spans="1:20" x14ac:dyDescent="0.2">
      <c r="A344" s="1">
        <v>10590</v>
      </c>
      <c r="B344" s="3" t="s">
        <v>243</v>
      </c>
      <c r="C344" s="3">
        <v>4</v>
      </c>
      <c r="D344" s="4">
        <v>35618</v>
      </c>
      <c r="E344" s="4">
        <v>35646</v>
      </c>
      <c r="F344" s="4">
        <v>35625</v>
      </c>
      <c r="G344" s="3">
        <v>3</v>
      </c>
      <c r="H344" s="3">
        <v>44.77</v>
      </c>
      <c r="I344" s="3" t="s">
        <v>244</v>
      </c>
      <c r="J344" s="3" t="s">
        <v>245</v>
      </c>
      <c r="K344" s="3" t="s">
        <v>246</v>
      </c>
      <c r="L344" s="3" t="s">
        <v>247</v>
      </c>
      <c r="M344" s="3" t="s">
        <v>248</v>
      </c>
      <c r="N344" s="3" t="s">
        <v>249</v>
      </c>
      <c r="O344" s="2"/>
      <c r="P344" t="str">
        <f t="shared" si="26"/>
        <v>43 rue St. Laurent</v>
      </c>
      <c r="Q344" t="str">
        <f t="shared" si="30"/>
        <v>Montréal</v>
      </c>
      <c r="R344" t="str">
        <f t="shared" si="27"/>
        <v>Québec</v>
      </c>
      <c r="S344" t="str">
        <f t="shared" si="28"/>
        <v>H1J 1C3</v>
      </c>
      <c r="T344" t="str">
        <f t="shared" si="29"/>
        <v>Canada</v>
      </c>
    </row>
    <row r="345" spans="1:20" x14ac:dyDescent="0.2">
      <c r="A345" s="1">
        <v>10591</v>
      </c>
      <c r="B345" s="3" t="s">
        <v>295</v>
      </c>
      <c r="C345" s="3">
        <v>1</v>
      </c>
      <c r="D345" s="4">
        <v>35618</v>
      </c>
      <c r="E345" s="4">
        <v>35632</v>
      </c>
      <c r="F345" s="4">
        <v>35627</v>
      </c>
      <c r="G345" s="3">
        <v>1</v>
      </c>
      <c r="H345" s="3">
        <v>55.92</v>
      </c>
      <c r="I345" s="3" t="s">
        <v>296</v>
      </c>
      <c r="J345" s="3" t="s">
        <v>297</v>
      </c>
      <c r="K345" s="3" t="s">
        <v>298</v>
      </c>
      <c r="L345" s="3" t="s">
        <v>18</v>
      </c>
      <c r="M345" s="3">
        <v>8200</v>
      </c>
      <c r="N345" s="3" t="s">
        <v>257</v>
      </c>
      <c r="O345" s="2"/>
      <c r="P345" t="str">
        <f t="shared" si="26"/>
        <v>Smagsloget 45</v>
      </c>
      <c r="Q345" t="str">
        <f t="shared" si="30"/>
        <v>Århus</v>
      </c>
      <c r="R345" t="str">
        <f t="shared" si="27"/>
        <v>NULL</v>
      </c>
      <c r="S345">
        <f t="shared" si="28"/>
        <v>8200</v>
      </c>
      <c r="T345" t="str">
        <f t="shared" si="29"/>
        <v>Denmark</v>
      </c>
    </row>
    <row r="346" spans="1:20" x14ac:dyDescent="0.2">
      <c r="A346" s="1">
        <v>10592</v>
      </c>
      <c r="B346" s="3" t="s">
        <v>142</v>
      </c>
      <c r="C346" s="3">
        <v>3</v>
      </c>
      <c r="D346" s="4">
        <v>35619</v>
      </c>
      <c r="E346" s="4">
        <v>35647</v>
      </c>
      <c r="F346" s="4">
        <v>35627</v>
      </c>
      <c r="G346" s="3">
        <v>1</v>
      </c>
      <c r="H346" s="3">
        <v>32.1</v>
      </c>
      <c r="I346" s="3" t="s">
        <v>143</v>
      </c>
      <c r="J346" s="3" t="s">
        <v>144</v>
      </c>
      <c r="K346" s="3" t="s">
        <v>145</v>
      </c>
      <c r="L346" s="3" t="s">
        <v>18</v>
      </c>
      <c r="M346" s="3">
        <v>60528</v>
      </c>
      <c r="N346" s="3" t="s">
        <v>24</v>
      </c>
      <c r="O346" s="2"/>
      <c r="P346" t="str">
        <f t="shared" si="26"/>
        <v>Magazinweg 7</v>
      </c>
      <c r="Q346" t="str">
        <f t="shared" si="30"/>
        <v>Frankfurt a.M.</v>
      </c>
      <c r="R346" t="str">
        <f t="shared" si="27"/>
        <v>NULL</v>
      </c>
      <c r="S346">
        <f t="shared" si="28"/>
        <v>60528</v>
      </c>
      <c r="T346" t="str">
        <f t="shared" si="29"/>
        <v>Germany</v>
      </c>
    </row>
    <row r="347" spans="1:20" x14ac:dyDescent="0.2">
      <c r="A347" s="1">
        <v>10593</v>
      </c>
      <c r="B347" s="3" t="s">
        <v>142</v>
      </c>
      <c r="C347" s="3">
        <v>7</v>
      </c>
      <c r="D347" s="4">
        <v>35620</v>
      </c>
      <c r="E347" s="4">
        <v>35648</v>
      </c>
      <c r="F347" s="4">
        <v>35655</v>
      </c>
      <c r="G347" s="3">
        <v>2</v>
      </c>
      <c r="H347" s="3">
        <v>174.2</v>
      </c>
      <c r="I347" s="3" t="s">
        <v>143</v>
      </c>
      <c r="J347" s="3" t="s">
        <v>144</v>
      </c>
      <c r="K347" s="3" t="s">
        <v>145</v>
      </c>
      <c r="L347" s="3" t="s">
        <v>18</v>
      </c>
      <c r="M347" s="3">
        <v>60528</v>
      </c>
      <c r="N347" s="3" t="s">
        <v>24</v>
      </c>
      <c r="O347" s="2"/>
      <c r="P347" t="str">
        <f t="shared" si="26"/>
        <v>Magazinweg 7</v>
      </c>
      <c r="Q347" t="str">
        <f t="shared" si="30"/>
        <v>Frankfurt a.M.</v>
      </c>
      <c r="R347" t="str">
        <f t="shared" si="27"/>
        <v>NULL</v>
      </c>
      <c r="S347">
        <f t="shared" si="28"/>
        <v>60528</v>
      </c>
      <c r="T347" t="str">
        <f t="shared" si="29"/>
        <v>Germany</v>
      </c>
    </row>
    <row r="348" spans="1:20" x14ac:dyDescent="0.2">
      <c r="A348" s="1">
        <v>10594</v>
      </c>
      <c r="B348" s="3" t="s">
        <v>193</v>
      </c>
      <c r="C348" s="3">
        <v>3</v>
      </c>
      <c r="D348" s="4">
        <v>35620</v>
      </c>
      <c r="E348" s="4">
        <v>35648</v>
      </c>
      <c r="F348" s="4">
        <v>35627</v>
      </c>
      <c r="G348" s="3">
        <v>2</v>
      </c>
      <c r="H348" s="3">
        <v>5.24</v>
      </c>
      <c r="I348" s="3" t="s">
        <v>194</v>
      </c>
      <c r="J348" s="3" t="s">
        <v>195</v>
      </c>
      <c r="K348" s="3" t="s">
        <v>196</v>
      </c>
      <c r="L348" s="3" t="s">
        <v>197</v>
      </c>
      <c r="M348" s="3">
        <v>99508</v>
      </c>
      <c r="N348" s="3" t="s">
        <v>86</v>
      </c>
      <c r="O348" s="2"/>
      <c r="P348" t="str">
        <f t="shared" si="26"/>
        <v>2743 Bering St.</v>
      </c>
      <c r="Q348" t="str">
        <f t="shared" si="30"/>
        <v>Anchorage</v>
      </c>
      <c r="R348" t="str">
        <f t="shared" si="27"/>
        <v>AK</v>
      </c>
      <c r="S348">
        <f t="shared" si="28"/>
        <v>99508</v>
      </c>
      <c r="T348" t="str">
        <f t="shared" si="29"/>
        <v>USA</v>
      </c>
    </row>
    <row r="349" spans="1:20" x14ac:dyDescent="0.2">
      <c r="A349" s="1">
        <v>10595</v>
      </c>
      <c r="B349" s="3" t="s">
        <v>63</v>
      </c>
      <c r="C349" s="3">
        <v>2</v>
      </c>
      <c r="D349" s="4">
        <v>35621</v>
      </c>
      <c r="E349" s="4">
        <v>35649</v>
      </c>
      <c r="F349" s="4">
        <v>35625</v>
      </c>
      <c r="G349" s="3">
        <v>1</v>
      </c>
      <c r="H349" s="3">
        <v>96.78</v>
      </c>
      <c r="I349" s="3" t="s">
        <v>64</v>
      </c>
      <c r="J349" s="3" t="s">
        <v>65</v>
      </c>
      <c r="K349" s="3" t="s">
        <v>66</v>
      </c>
      <c r="L349" s="3" t="s">
        <v>18</v>
      </c>
      <c r="M349" s="3">
        <v>8010</v>
      </c>
      <c r="N349" s="3" t="s">
        <v>67</v>
      </c>
      <c r="O349" s="2"/>
      <c r="P349" t="str">
        <f t="shared" si="26"/>
        <v>Kirchgasse 6</v>
      </c>
      <c r="Q349" t="str">
        <f t="shared" si="30"/>
        <v>Graz</v>
      </c>
      <c r="R349" t="str">
        <f t="shared" si="27"/>
        <v>NULL</v>
      </c>
      <c r="S349">
        <f t="shared" si="28"/>
        <v>8010</v>
      </c>
      <c r="T349" t="str">
        <f t="shared" si="29"/>
        <v>Austria</v>
      </c>
    </row>
    <row r="350" spans="1:20" x14ac:dyDescent="0.2">
      <c r="A350" s="1">
        <v>10596</v>
      </c>
      <c r="B350" s="3" t="s">
        <v>111</v>
      </c>
      <c r="C350" s="3">
        <v>8</v>
      </c>
      <c r="D350" s="4">
        <v>35622</v>
      </c>
      <c r="E350" s="4">
        <v>35650</v>
      </c>
      <c r="F350" s="4">
        <v>35654</v>
      </c>
      <c r="G350" s="3">
        <v>1</v>
      </c>
      <c r="H350" s="3">
        <v>16.34</v>
      </c>
      <c r="I350" s="3" t="s">
        <v>112</v>
      </c>
      <c r="J350" s="3" t="s">
        <v>113</v>
      </c>
      <c r="K350" s="3" t="s">
        <v>114</v>
      </c>
      <c r="L350" s="3" t="s">
        <v>115</v>
      </c>
      <c r="M350" s="3">
        <v>98124</v>
      </c>
      <c r="N350" s="3" t="s">
        <v>86</v>
      </c>
      <c r="O350" s="2"/>
      <c r="P350" t="str">
        <f t="shared" si="26"/>
        <v>1029 - 12th Ave. S.</v>
      </c>
      <c r="Q350" t="str">
        <f t="shared" si="30"/>
        <v>Seattle</v>
      </c>
      <c r="R350" t="str">
        <f t="shared" si="27"/>
        <v>WA</v>
      </c>
      <c r="S350">
        <f t="shared" si="28"/>
        <v>98124</v>
      </c>
      <c r="T350" t="str">
        <f t="shared" si="29"/>
        <v>USA</v>
      </c>
    </row>
    <row r="351" spans="1:20" x14ac:dyDescent="0.2">
      <c r="A351" s="1">
        <v>10597</v>
      </c>
      <c r="B351" s="3" t="s">
        <v>266</v>
      </c>
      <c r="C351" s="3">
        <v>7</v>
      </c>
      <c r="D351" s="4">
        <v>35622</v>
      </c>
      <c r="E351" s="4">
        <v>35650</v>
      </c>
      <c r="F351" s="4">
        <v>35629</v>
      </c>
      <c r="G351" s="3">
        <v>3</v>
      </c>
      <c r="H351" s="3">
        <v>35.119999999999997</v>
      </c>
      <c r="I351" s="3" t="s">
        <v>267</v>
      </c>
      <c r="J351" s="3" t="s">
        <v>268</v>
      </c>
      <c r="K351" s="3" t="s">
        <v>269</v>
      </c>
      <c r="L351" s="3" t="s">
        <v>18</v>
      </c>
      <c r="M351" s="3">
        <v>5020</v>
      </c>
      <c r="N351" s="3" t="s">
        <v>67</v>
      </c>
      <c r="O351" s="2"/>
      <c r="P351" t="str">
        <f t="shared" si="26"/>
        <v>Geislweg 14</v>
      </c>
      <c r="Q351" t="str">
        <f t="shared" si="30"/>
        <v>Salzburg</v>
      </c>
      <c r="R351" t="str">
        <f t="shared" si="27"/>
        <v>NULL</v>
      </c>
      <c r="S351">
        <f t="shared" si="28"/>
        <v>5020</v>
      </c>
      <c r="T351" t="str">
        <f t="shared" si="29"/>
        <v>Austria</v>
      </c>
    </row>
    <row r="352" spans="1:20" x14ac:dyDescent="0.2">
      <c r="A352" s="1">
        <v>10598</v>
      </c>
      <c r="B352" s="3" t="s">
        <v>81</v>
      </c>
      <c r="C352" s="3">
        <v>1</v>
      </c>
      <c r="D352" s="4">
        <v>35625</v>
      </c>
      <c r="E352" s="4">
        <v>35653</v>
      </c>
      <c r="F352" s="4">
        <v>35629</v>
      </c>
      <c r="G352" s="3">
        <v>3</v>
      </c>
      <c r="H352" s="3">
        <v>44.42</v>
      </c>
      <c r="I352" s="3" t="s">
        <v>82</v>
      </c>
      <c r="J352" s="3" t="s">
        <v>83</v>
      </c>
      <c r="K352" s="3" t="s">
        <v>84</v>
      </c>
      <c r="L352" s="3" t="s">
        <v>85</v>
      </c>
      <c r="M352" s="3">
        <v>87110</v>
      </c>
      <c r="N352" s="3" t="s">
        <v>86</v>
      </c>
      <c r="O352" s="2"/>
      <c r="P352" t="str">
        <f t="shared" si="26"/>
        <v>2817 Milton Dr.</v>
      </c>
      <c r="Q352" t="str">
        <f t="shared" si="30"/>
        <v>Albuquerque</v>
      </c>
      <c r="R352" t="str">
        <f t="shared" si="27"/>
        <v>NM</v>
      </c>
      <c r="S352">
        <f t="shared" si="28"/>
        <v>87110</v>
      </c>
      <c r="T352" t="str">
        <f t="shared" si="29"/>
        <v>USA</v>
      </c>
    </row>
    <row r="353" spans="1:20" x14ac:dyDescent="0.2">
      <c r="A353" s="1">
        <v>10599</v>
      </c>
      <c r="B353" s="3" t="s">
        <v>164</v>
      </c>
      <c r="C353" s="3">
        <v>6</v>
      </c>
      <c r="D353" s="4">
        <v>35626</v>
      </c>
      <c r="E353" s="4">
        <v>35668</v>
      </c>
      <c r="F353" s="4">
        <v>35632</v>
      </c>
      <c r="G353" s="3">
        <v>3</v>
      </c>
      <c r="H353" s="3">
        <v>29.98</v>
      </c>
      <c r="I353" s="3" t="s">
        <v>165</v>
      </c>
      <c r="J353" s="3" t="s">
        <v>166</v>
      </c>
      <c r="K353" s="3" t="s">
        <v>167</v>
      </c>
      <c r="L353" s="3" t="s">
        <v>18</v>
      </c>
      <c r="M353" s="3" t="s">
        <v>168</v>
      </c>
      <c r="N353" s="3" t="s">
        <v>169</v>
      </c>
      <c r="O353" s="2"/>
      <c r="P353" t="str">
        <f t="shared" si="26"/>
        <v>Fauntleroy Circus</v>
      </c>
      <c r="Q353" t="str">
        <f t="shared" si="30"/>
        <v>London</v>
      </c>
      <c r="R353" t="str">
        <f t="shared" si="27"/>
        <v>NULL</v>
      </c>
      <c r="S353" t="str">
        <f t="shared" si="28"/>
        <v>EC2 5NT</v>
      </c>
      <c r="T353" t="str">
        <f t="shared" si="29"/>
        <v>UK</v>
      </c>
    </row>
    <row r="354" spans="1:20" x14ac:dyDescent="0.2">
      <c r="A354" s="1">
        <v>10600</v>
      </c>
      <c r="B354" s="3" t="s">
        <v>309</v>
      </c>
      <c r="C354" s="3">
        <v>4</v>
      </c>
      <c r="D354" s="4">
        <v>35627</v>
      </c>
      <c r="E354" s="4">
        <v>35655</v>
      </c>
      <c r="F354" s="4">
        <v>35632</v>
      </c>
      <c r="G354" s="3">
        <v>1</v>
      </c>
      <c r="H354" s="3">
        <v>45.13</v>
      </c>
      <c r="I354" s="3" t="s">
        <v>310</v>
      </c>
      <c r="J354" s="3" t="s">
        <v>311</v>
      </c>
      <c r="K354" s="3" t="s">
        <v>312</v>
      </c>
      <c r="L354" s="3" t="s">
        <v>202</v>
      </c>
      <c r="M354" s="3">
        <v>97827</v>
      </c>
      <c r="N354" s="3" t="s">
        <v>86</v>
      </c>
      <c r="O354" s="2"/>
      <c r="P354" t="str">
        <f t="shared" si="26"/>
        <v>City Center Plaza 516 Main St.</v>
      </c>
      <c r="Q354" t="str">
        <f t="shared" si="30"/>
        <v>Elgin</v>
      </c>
      <c r="R354" t="str">
        <f t="shared" si="27"/>
        <v>OR</v>
      </c>
      <c r="S354">
        <f t="shared" si="28"/>
        <v>97827</v>
      </c>
      <c r="T354" t="str">
        <f t="shared" si="29"/>
        <v>USA</v>
      </c>
    </row>
    <row r="355" spans="1:20" x14ac:dyDescent="0.2">
      <c r="A355" s="1">
        <v>10601</v>
      </c>
      <c r="B355" s="3" t="s">
        <v>57</v>
      </c>
      <c r="C355" s="3">
        <v>7</v>
      </c>
      <c r="D355" s="4">
        <v>35627</v>
      </c>
      <c r="E355" s="4">
        <v>35669</v>
      </c>
      <c r="F355" s="4">
        <v>35633</v>
      </c>
      <c r="G355" s="3">
        <v>1</v>
      </c>
      <c r="H355" s="3">
        <v>58.3</v>
      </c>
      <c r="I355" s="3" t="s">
        <v>58</v>
      </c>
      <c r="J355" s="3" t="s">
        <v>59</v>
      </c>
      <c r="K355" s="3" t="s">
        <v>60</v>
      </c>
      <c r="L355" s="3" t="s">
        <v>61</v>
      </c>
      <c r="M355" s="3">
        <v>5022</v>
      </c>
      <c r="N355" s="3" t="s">
        <v>62</v>
      </c>
      <c r="O355" s="2"/>
      <c r="P355" t="str">
        <f t="shared" si="26"/>
        <v>Carrera 22 con Ave. Carlos Soublette #8-35</v>
      </c>
      <c r="Q355" t="str">
        <f t="shared" si="30"/>
        <v>San Cristóbal</v>
      </c>
      <c r="R355" t="str">
        <f t="shared" si="27"/>
        <v>Táchira</v>
      </c>
      <c r="S355">
        <f t="shared" si="28"/>
        <v>5022</v>
      </c>
      <c r="T355" t="str">
        <f t="shared" si="29"/>
        <v>Venezuela</v>
      </c>
    </row>
    <row r="356" spans="1:20" x14ac:dyDescent="0.2">
      <c r="A356" s="1">
        <v>10602</v>
      </c>
      <c r="B356" s="3" t="s">
        <v>295</v>
      </c>
      <c r="C356" s="3">
        <v>8</v>
      </c>
      <c r="D356" s="4">
        <v>35628</v>
      </c>
      <c r="E356" s="4">
        <v>35656</v>
      </c>
      <c r="F356" s="4">
        <v>35633</v>
      </c>
      <c r="G356" s="3">
        <v>2</v>
      </c>
      <c r="H356" s="3">
        <v>2.92</v>
      </c>
      <c r="I356" s="3" t="s">
        <v>296</v>
      </c>
      <c r="J356" s="3" t="s">
        <v>297</v>
      </c>
      <c r="K356" s="3" t="s">
        <v>298</v>
      </c>
      <c r="L356" s="3" t="s">
        <v>18</v>
      </c>
      <c r="M356" s="3">
        <v>8200</v>
      </c>
      <c r="N356" s="3" t="s">
        <v>257</v>
      </c>
      <c r="O356" s="2"/>
      <c r="P356" t="str">
        <f t="shared" si="26"/>
        <v>Smagsloget 45</v>
      </c>
      <c r="Q356" t="str">
        <f t="shared" si="30"/>
        <v>Århus</v>
      </c>
      <c r="R356" t="str">
        <f t="shared" si="27"/>
        <v>NULL</v>
      </c>
      <c r="S356">
        <f t="shared" si="28"/>
        <v>8200</v>
      </c>
      <c r="T356" t="str">
        <f t="shared" si="29"/>
        <v>Denmark</v>
      </c>
    </row>
    <row r="357" spans="1:20" x14ac:dyDescent="0.2">
      <c r="A357" s="1">
        <v>10603</v>
      </c>
      <c r="B357" s="3" t="s">
        <v>226</v>
      </c>
      <c r="C357" s="3">
        <v>8</v>
      </c>
      <c r="D357" s="4">
        <v>35629</v>
      </c>
      <c r="E357" s="4">
        <v>35657</v>
      </c>
      <c r="F357" s="4">
        <v>35650</v>
      </c>
      <c r="G357" s="3">
        <v>2</v>
      </c>
      <c r="H357" s="3">
        <v>48.77</v>
      </c>
      <c r="I357" s="3" t="s">
        <v>227</v>
      </c>
      <c r="J357" s="3" t="s">
        <v>228</v>
      </c>
      <c r="K357" s="3" t="s">
        <v>229</v>
      </c>
      <c r="L357" s="3" t="s">
        <v>230</v>
      </c>
      <c r="M357" s="3">
        <v>83720</v>
      </c>
      <c r="N357" s="3" t="s">
        <v>86</v>
      </c>
      <c r="O357" s="2"/>
      <c r="P357" t="str">
        <f t="shared" si="26"/>
        <v>187 Suffolk Ln.</v>
      </c>
      <c r="Q357" t="str">
        <f t="shared" si="30"/>
        <v>Boise</v>
      </c>
      <c r="R357" t="str">
        <f t="shared" si="27"/>
        <v>ID</v>
      </c>
      <c r="S357">
        <f t="shared" si="28"/>
        <v>83720</v>
      </c>
      <c r="T357" t="str">
        <f t="shared" si="29"/>
        <v>USA</v>
      </c>
    </row>
    <row r="358" spans="1:20" x14ac:dyDescent="0.2">
      <c r="A358" s="1">
        <v>10604</v>
      </c>
      <c r="B358" s="3" t="s">
        <v>234</v>
      </c>
      <c r="C358" s="3">
        <v>1</v>
      </c>
      <c r="D358" s="4">
        <v>35629</v>
      </c>
      <c r="E358" s="4">
        <v>35657</v>
      </c>
      <c r="F358" s="4">
        <v>35640</v>
      </c>
      <c r="G358" s="3">
        <v>1</v>
      </c>
      <c r="H358" s="3">
        <v>7.46</v>
      </c>
      <c r="I358" s="3" t="s">
        <v>235</v>
      </c>
      <c r="J358" s="3" t="s">
        <v>236</v>
      </c>
      <c r="K358" s="3" t="s">
        <v>237</v>
      </c>
      <c r="L358" s="3" t="s">
        <v>18</v>
      </c>
      <c r="M358" s="3">
        <v>1675</v>
      </c>
      <c r="N358" s="3" t="s">
        <v>238</v>
      </c>
      <c r="O358" s="2"/>
      <c r="P358" t="str">
        <f t="shared" si="26"/>
        <v>Jardim das rosas n. 32</v>
      </c>
      <c r="Q358" t="str">
        <f t="shared" si="30"/>
        <v>Lisboa</v>
      </c>
      <c r="R358" t="str">
        <f t="shared" si="27"/>
        <v>NULL</v>
      </c>
      <c r="S358">
        <f t="shared" si="28"/>
        <v>1675</v>
      </c>
      <c r="T358" t="str">
        <f t="shared" si="29"/>
        <v>Portugal</v>
      </c>
    </row>
    <row r="359" spans="1:20" x14ac:dyDescent="0.2">
      <c r="A359" s="1">
        <v>10605</v>
      </c>
      <c r="B359" s="3" t="s">
        <v>243</v>
      </c>
      <c r="C359" s="3">
        <v>1</v>
      </c>
      <c r="D359" s="4">
        <v>35632</v>
      </c>
      <c r="E359" s="4">
        <v>35660</v>
      </c>
      <c r="F359" s="4">
        <v>35640</v>
      </c>
      <c r="G359" s="3">
        <v>2</v>
      </c>
      <c r="H359" s="3">
        <v>379.13</v>
      </c>
      <c r="I359" s="3" t="s">
        <v>244</v>
      </c>
      <c r="J359" s="3" t="s">
        <v>245</v>
      </c>
      <c r="K359" s="3" t="s">
        <v>246</v>
      </c>
      <c r="L359" s="3" t="s">
        <v>247</v>
      </c>
      <c r="M359" s="3" t="s">
        <v>248</v>
      </c>
      <c r="N359" s="3" t="s">
        <v>249</v>
      </c>
      <c r="O359" s="2"/>
      <c r="P359" t="str">
        <f t="shared" si="26"/>
        <v>43 rue St. Laurent</v>
      </c>
      <c r="Q359" t="str">
        <f t="shared" si="30"/>
        <v>Montréal</v>
      </c>
      <c r="R359" t="str">
        <f t="shared" si="27"/>
        <v>Québec</v>
      </c>
      <c r="S359" t="str">
        <f t="shared" si="28"/>
        <v>H1J 1C3</v>
      </c>
      <c r="T359" t="str">
        <f t="shared" si="29"/>
        <v>Canada</v>
      </c>
    </row>
    <row r="360" spans="1:20" x14ac:dyDescent="0.2">
      <c r="A360" s="1">
        <v>10606</v>
      </c>
      <c r="B360" s="3" t="s">
        <v>175</v>
      </c>
      <c r="C360" s="3">
        <v>4</v>
      </c>
      <c r="D360" s="4">
        <v>35633</v>
      </c>
      <c r="E360" s="4">
        <v>35661</v>
      </c>
      <c r="F360" s="4">
        <v>35642</v>
      </c>
      <c r="G360" s="3">
        <v>3</v>
      </c>
      <c r="H360" s="3">
        <v>79.400000000000006</v>
      </c>
      <c r="I360" s="3" t="s">
        <v>176</v>
      </c>
      <c r="J360" s="3" t="s">
        <v>177</v>
      </c>
      <c r="K360" s="3">
        <v>414</v>
      </c>
      <c r="L360" s="3" t="s">
        <v>173</v>
      </c>
      <c r="M360" s="3" t="s">
        <v>55</v>
      </c>
      <c r="N360" s="3" t="s">
        <v>178</v>
      </c>
      <c r="O360" s="3" t="s">
        <v>31</v>
      </c>
      <c r="P360" t="str">
        <f t="shared" si="26"/>
        <v>Av. Inês de Castro 414</v>
      </c>
      <c r="Q360" t="str">
        <f t="shared" si="30"/>
        <v>Sao Paulo</v>
      </c>
      <c r="R360" t="str">
        <f t="shared" si="27"/>
        <v>SP</v>
      </c>
      <c r="S360" t="str">
        <f t="shared" si="28"/>
        <v>05634-030</v>
      </c>
      <c r="T360" t="str">
        <f t="shared" si="29"/>
        <v>Brazil</v>
      </c>
    </row>
    <row r="361" spans="1:20" x14ac:dyDescent="0.2">
      <c r="A361" s="1">
        <v>10607</v>
      </c>
      <c r="B361" s="3" t="s">
        <v>226</v>
      </c>
      <c r="C361" s="3">
        <v>5</v>
      </c>
      <c r="D361" s="4">
        <v>35633</v>
      </c>
      <c r="E361" s="4">
        <v>35661</v>
      </c>
      <c r="F361" s="4">
        <v>35636</v>
      </c>
      <c r="G361" s="3">
        <v>1</v>
      </c>
      <c r="H361" s="3">
        <v>200.24</v>
      </c>
      <c r="I361" s="3" t="s">
        <v>227</v>
      </c>
      <c r="J361" s="3" t="s">
        <v>228</v>
      </c>
      <c r="K361" s="3" t="s">
        <v>229</v>
      </c>
      <c r="L361" s="3" t="s">
        <v>230</v>
      </c>
      <c r="M361" s="3">
        <v>83720</v>
      </c>
      <c r="N361" s="3" t="s">
        <v>86</v>
      </c>
      <c r="O361" s="2"/>
      <c r="P361" t="str">
        <f t="shared" si="26"/>
        <v>187 Suffolk Ln.</v>
      </c>
      <c r="Q361" t="str">
        <f t="shared" si="30"/>
        <v>Boise</v>
      </c>
      <c r="R361" t="str">
        <f t="shared" si="27"/>
        <v>ID</v>
      </c>
      <c r="S361">
        <f t="shared" si="28"/>
        <v>83720</v>
      </c>
      <c r="T361" t="str">
        <f t="shared" si="29"/>
        <v>USA</v>
      </c>
    </row>
    <row r="362" spans="1:20" x14ac:dyDescent="0.2">
      <c r="A362" s="1">
        <v>10608</v>
      </c>
      <c r="B362" s="3" t="s">
        <v>20</v>
      </c>
      <c r="C362" s="3">
        <v>4</v>
      </c>
      <c r="D362" s="4">
        <v>35634</v>
      </c>
      <c r="E362" s="4">
        <v>35662</v>
      </c>
      <c r="F362" s="4">
        <v>35643</v>
      </c>
      <c r="G362" s="3">
        <v>2</v>
      </c>
      <c r="H362" s="3">
        <v>27.79</v>
      </c>
      <c r="I362" s="3" t="s">
        <v>21</v>
      </c>
      <c r="J362" s="3" t="s">
        <v>22</v>
      </c>
      <c r="K362" s="3" t="s">
        <v>23</v>
      </c>
      <c r="L362" s="3" t="s">
        <v>18</v>
      </c>
      <c r="M362" s="3">
        <v>44087</v>
      </c>
      <c r="N362" s="3" t="s">
        <v>24</v>
      </c>
      <c r="O362" s="2"/>
      <c r="P362" t="str">
        <f t="shared" si="26"/>
        <v>Luisenstr. 48</v>
      </c>
      <c r="Q362" t="str">
        <f t="shared" si="30"/>
        <v>Münster</v>
      </c>
      <c r="R362" t="str">
        <f t="shared" si="27"/>
        <v>NULL</v>
      </c>
      <c r="S362">
        <f t="shared" si="28"/>
        <v>44087</v>
      </c>
      <c r="T362" t="str">
        <f t="shared" si="29"/>
        <v>Germany</v>
      </c>
    </row>
    <row r="363" spans="1:20" x14ac:dyDescent="0.2">
      <c r="A363" s="1">
        <v>10609</v>
      </c>
      <c r="B363" s="3" t="s">
        <v>209</v>
      </c>
      <c r="C363" s="3">
        <v>7</v>
      </c>
      <c r="D363" s="4">
        <v>35635</v>
      </c>
      <c r="E363" s="4">
        <v>35663</v>
      </c>
      <c r="F363" s="4">
        <v>35641</v>
      </c>
      <c r="G363" s="3">
        <v>2</v>
      </c>
      <c r="H363" s="3">
        <v>1.85</v>
      </c>
      <c r="I363" s="3" t="s">
        <v>210</v>
      </c>
      <c r="J363" s="3">
        <v>67</v>
      </c>
      <c r="K363" s="3" t="s">
        <v>211</v>
      </c>
      <c r="L363" s="3" t="s">
        <v>212</v>
      </c>
      <c r="M363" s="3" t="s">
        <v>18</v>
      </c>
      <c r="N363" s="3">
        <v>44000</v>
      </c>
      <c r="O363" s="3" t="s">
        <v>19</v>
      </c>
      <c r="P363" t="str">
        <f t="shared" si="26"/>
        <v>67  rue des Cinquante Otages</v>
      </c>
      <c r="Q363" t="str">
        <f t="shared" si="30"/>
        <v>Nantes</v>
      </c>
      <c r="R363" t="str">
        <f t="shared" si="27"/>
        <v>NULL</v>
      </c>
      <c r="S363">
        <f t="shared" si="28"/>
        <v>44000</v>
      </c>
      <c r="T363" t="str">
        <f t="shared" si="29"/>
        <v>France</v>
      </c>
    </row>
    <row r="364" spans="1:20" x14ac:dyDescent="0.2">
      <c r="A364" s="1">
        <v>10610</v>
      </c>
      <c r="B364" s="3" t="s">
        <v>262</v>
      </c>
      <c r="C364" s="3">
        <v>8</v>
      </c>
      <c r="D364" s="4">
        <v>35636</v>
      </c>
      <c r="E364" s="4">
        <v>35664</v>
      </c>
      <c r="F364" s="4">
        <v>35648</v>
      </c>
      <c r="G364" s="3">
        <v>1</v>
      </c>
      <c r="H364" s="3">
        <v>26.78</v>
      </c>
      <c r="I364" s="3" t="s">
        <v>263</v>
      </c>
      <c r="J364" s="3" t="s">
        <v>264</v>
      </c>
      <c r="K364" s="3" t="s">
        <v>265</v>
      </c>
      <c r="L364" s="3" t="s">
        <v>18</v>
      </c>
      <c r="M364" s="3">
        <v>31000</v>
      </c>
      <c r="N364" s="3" t="s">
        <v>19</v>
      </c>
      <c r="O364" s="2"/>
      <c r="P364" t="str">
        <f t="shared" si="26"/>
        <v>1 rue Alsace-Lorraine</v>
      </c>
      <c r="Q364" t="str">
        <f t="shared" si="30"/>
        <v>Toulouse</v>
      </c>
      <c r="R364" t="str">
        <f t="shared" si="27"/>
        <v>NULL</v>
      </c>
      <c r="S364">
        <f t="shared" si="28"/>
        <v>31000</v>
      </c>
      <c r="T364" t="str">
        <f t="shared" si="29"/>
        <v>France</v>
      </c>
    </row>
    <row r="365" spans="1:20" x14ac:dyDescent="0.2">
      <c r="A365" s="1">
        <v>10611</v>
      </c>
      <c r="B365" s="3" t="s">
        <v>303</v>
      </c>
      <c r="C365" s="3">
        <v>6</v>
      </c>
      <c r="D365" s="4">
        <v>35636</v>
      </c>
      <c r="E365" s="4">
        <v>35664</v>
      </c>
      <c r="F365" s="4">
        <v>35643</v>
      </c>
      <c r="G365" s="3">
        <v>2</v>
      </c>
      <c r="H365" s="3">
        <v>80.650000000000006</v>
      </c>
      <c r="I365" s="3" t="s">
        <v>304</v>
      </c>
      <c r="J365" s="3" t="s">
        <v>305</v>
      </c>
      <c r="K365" s="3" t="s">
        <v>306</v>
      </c>
      <c r="L365" s="3" t="s">
        <v>18</v>
      </c>
      <c r="M365" s="3" t="s">
        <v>307</v>
      </c>
      <c r="N365" s="3" t="s">
        <v>308</v>
      </c>
      <c r="O365" s="2"/>
      <c r="P365" t="str">
        <f t="shared" si="26"/>
        <v>ul. Filtrowa 68</v>
      </c>
      <c r="Q365" t="str">
        <f t="shared" si="30"/>
        <v>Warszawa</v>
      </c>
      <c r="R365" t="str">
        <f t="shared" si="27"/>
        <v>NULL</v>
      </c>
      <c r="S365" t="str">
        <f t="shared" si="28"/>
        <v>01-012</v>
      </c>
      <c r="T365" t="str">
        <f t="shared" si="29"/>
        <v>Poland</v>
      </c>
    </row>
    <row r="366" spans="1:20" x14ac:dyDescent="0.2">
      <c r="A366" s="1">
        <v>10612</v>
      </c>
      <c r="B366" s="3" t="s">
        <v>226</v>
      </c>
      <c r="C366" s="3">
        <v>1</v>
      </c>
      <c r="D366" s="4">
        <v>35639</v>
      </c>
      <c r="E366" s="4">
        <v>35667</v>
      </c>
      <c r="F366" s="4">
        <v>35643</v>
      </c>
      <c r="G366" s="3">
        <v>2</v>
      </c>
      <c r="H366" s="3">
        <v>544.08000000000004</v>
      </c>
      <c r="I366" s="3" t="s">
        <v>227</v>
      </c>
      <c r="J366" s="3" t="s">
        <v>228</v>
      </c>
      <c r="K366" s="3" t="s">
        <v>229</v>
      </c>
      <c r="L366" s="3" t="s">
        <v>230</v>
      </c>
      <c r="M366" s="3">
        <v>83720</v>
      </c>
      <c r="N366" s="3" t="s">
        <v>86</v>
      </c>
      <c r="O366" s="2"/>
      <c r="P366" t="str">
        <f t="shared" si="26"/>
        <v>187 Suffolk Ln.</v>
      </c>
      <c r="Q366" t="str">
        <f t="shared" si="30"/>
        <v>Boise</v>
      </c>
      <c r="R366" t="str">
        <f t="shared" si="27"/>
        <v>ID</v>
      </c>
      <c r="S366">
        <f t="shared" si="28"/>
        <v>83720</v>
      </c>
      <c r="T366" t="str">
        <f t="shared" si="29"/>
        <v>USA</v>
      </c>
    </row>
    <row r="367" spans="1:20" x14ac:dyDescent="0.2">
      <c r="A367" s="1">
        <v>10613</v>
      </c>
      <c r="B367" s="3" t="s">
        <v>57</v>
      </c>
      <c r="C367" s="3">
        <v>4</v>
      </c>
      <c r="D367" s="4">
        <v>35640</v>
      </c>
      <c r="E367" s="4">
        <v>35668</v>
      </c>
      <c r="F367" s="4">
        <v>35643</v>
      </c>
      <c r="G367" s="3">
        <v>2</v>
      </c>
      <c r="H367" s="3">
        <v>8.11</v>
      </c>
      <c r="I367" s="3" t="s">
        <v>58</v>
      </c>
      <c r="J367" s="3" t="s">
        <v>59</v>
      </c>
      <c r="K367" s="3" t="s">
        <v>60</v>
      </c>
      <c r="L367" s="3" t="s">
        <v>61</v>
      </c>
      <c r="M367" s="3">
        <v>5022</v>
      </c>
      <c r="N367" s="3" t="s">
        <v>62</v>
      </c>
      <c r="O367" s="2"/>
      <c r="P367" t="str">
        <f t="shared" si="26"/>
        <v>Carrera 22 con Ave. Carlos Soublette #8-35</v>
      </c>
      <c r="Q367" t="str">
        <f t="shared" si="30"/>
        <v>San Cristóbal</v>
      </c>
      <c r="R367" t="str">
        <f t="shared" si="27"/>
        <v>Táchira</v>
      </c>
      <c r="S367">
        <f t="shared" si="28"/>
        <v>5022</v>
      </c>
      <c r="T367" t="str">
        <f t="shared" si="29"/>
        <v>Venezuela</v>
      </c>
    </row>
    <row r="368" spans="1:20" x14ac:dyDescent="0.2">
      <c r="A368" s="1">
        <v>10614</v>
      </c>
      <c r="B368" s="3" t="s">
        <v>363</v>
      </c>
      <c r="C368" s="3">
        <v>8</v>
      </c>
      <c r="D368" s="4">
        <v>35640</v>
      </c>
      <c r="E368" s="4">
        <v>35668</v>
      </c>
      <c r="F368" s="4">
        <v>35643</v>
      </c>
      <c r="G368" s="3">
        <v>3</v>
      </c>
      <c r="H368" s="3">
        <v>1.93</v>
      </c>
      <c r="I368" s="3" t="s">
        <v>364</v>
      </c>
      <c r="J368" s="3" t="s">
        <v>365</v>
      </c>
      <c r="K368" s="3" t="s">
        <v>366</v>
      </c>
      <c r="L368" s="3" t="s">
        <v>18</v>
      </c>
      <c r="M368" s="3">
        <v>68306</v>
      </c>
      <c r="N368" s="3" t="s">
        <v>24</v>
      </c>
      <c r="O368" s="2"/>
      <c r="P368" t="str">
        <f t="shared" si="26"/>
        <v>Forsterstr. 57</v>
      </c>
      <c r="Q368" t="str">
        <f t="shared" si="30"/>
        <v>Mannheim</v>
      </c>
      <c r="R368" t="str">
        <f t="shared" si="27"/>
        <v>NULL</v>
      </c>
      <c r="S368">
        <f t="shared" si="28"/>
        <v>68306</v>
      </c>
      <c r="T368" t="str">
        <f t="shared" si="29"/>
        <v>Germany</v>
      </c>
    </row>
    <row r="369" spans="1:20" x14ac:dyDescent="0.2">
      <c r="A369" s="1">
        <v>10615</v>
      </c>
      <c r="B369" s="3" t="s">
        <v>392</v>
      </c>
      <c r="C369" s="3">
        <v>2</v>
      </c>
      <c r="D369" s="4">
        <v>35641</v>
      </c>
      <c r="E369" s="4">
        <v>35669</v>
      </c>
      <c r="F369" s="4">
        <v>35648</v>
      </c>
      <c r="G369" s="3">
        <v>3</v>
      </c>
      <c r="H369" s="3">
        <v>0.75</v>
      </c>
      <c r="I369" s="3" t="s">
        <v>393</v>
      </c>
      <c r="J369" s="3" t="s">
        <v>394</v>
      </c>
      <c r="K369" s="3" t="s">
        <v>395</v>
      </c>
      <c r="L369" s="3" t="s">
        <v>18</v>
      </c>
      <c r="M369" s="3">
        <v>21240</v>
      </c>
      <c r="N369" s="3" t="s">
        <v>101</v>
      </c>
      <c r="O369" s="2"/>
      <c r="P369" t="str">
        <f t="shared" si="26"/>
        <v>Keskuskatu 45</v>
      </c>
      <c r="Q369" t="str">
        <f t="shared" si="30"/>
        <v>Helsinki</v>
      </c>
      <c r="R369" t="str">
        <f t="shared" si="27"/>
        <v>NULL</v>
      </c>
      <c r="S369">
        <f t="shared" si="28"/>
        <v>21240</v>
      </c>
      <c r="T369" t="str">
        <f t="shared" si="29"/>
        <v>Finland</v>
      </c>
    </row>
    <row r="370" spans="1:20" x14ac:dyDescent="0.2">
      <c r="A370" s="1">
        <v>10616</v>
      </c>
      <c r="B370" s="3" t="s">
        <v>374</v>
      </c>
      <c r="C370" s="3">
        <v>1</v>
      </c>
      <c r="D370" s="4">
        <v>35642</v>
      </c>
      <c r="E370" s="4">
        <v>35670</v>
      </c>
      <c r="F370" s="4">
        <v>35647</v>
      </c>
      <c r="G370" s="3">
        <v>2</v>
      </c>
      <c r="H370" s="3">
        <v>116.53</v>
      </c>
      <c r="I370" s="3" t="s">
        <v>375</v>
      </c>
      <c r="J370" s="3" t="s">
        <v>376</v>
      </c>
      <c r="K370" s="3" t="s">
        <v>377</v>
      </c>
      <c r="L370" s="3" t="s">
        <v>202</v>
      </c>
      <c r="M370" s="3">
        <v>97403</v>
      </c>
      <c r="N370" s="3" t="s">
        <v>86</v>
      </c>
      <c r="O370" s="2"/>
      <c r="P370" t="str">
        <f t="shared" si="26"/>
        <v>2732 Baker Blvd.</v>
      </c>
      <c r="Q370" t="str">
        <f t="shared" si="30"/>
        <v>Eugene</v>
      </c>
      <c r="R370" t="str">
        <f t="shared" si="27"/>
        <v>OR</v>
      </c>
      <c r="S370">
        <f t="shared" si="28"/>
        <v>97403</v>
      </c>
      <c r="T370" t="str">
        <f t="shared" si="29"/>
        <v>USA</v>
      </c>
    </row>
    <row r="371" spans="1:20" x14ac:dyDescent="0.2">
      <c r="A371" s="1">
        <v>10617</v>
      </c>
      <c r="B371" s="3" t="s">
        <v>374</v>
      </c>
      <c r="C371" s="3">
        <v>4</v>
      </c>
      <c r="D371" s="4">
        <v>35642</v>
      </c>
      <c r="E371" s="4">
        <v>35670</v>
      </c>
      <c r="F371" s="4">
        <v>35646</v>
      </c>
      <c r="G371" s="3">
        <v>2</v>
      </c>
      <c r="H371" s="3">
        <v>18.53</v>
      </c>
      <c r="I371" s="3" t="s">
        <v>375</v>
      </c>
      <c r="J371" s="3" t="s">
        <v>376</v>
      </c>
      <c r="K371" s="3" t="s">
        <v>377</v>
      </c>
      <c r="L371" s="3" t="s">
        <v>202</v>
      </c>
      <c r="M371" s="3">
        <v>97403</v>
      </c>
      <c r="N371" s="3" t="s">
        <v>86</v>
      </c>
      <c r="O371" s="2"/>
      <c r="P371" t="str">
        <f t="shared" si="26"/>
        <v>2732 Baker Blvd.</v>
      </c>
      <c r="Q371" t="str">
        <f t="shared" si="30"/>
        <v>Eugene</v>
      </c>
      <c r="R371" t="str">
        <f t="shared" si="27"/>
        <v>OR</v>
      </c>
      <c r="S371">
        <f t="shared" si="28"/>
        <v>97403</v>
      </c>
      <c r="T371" t="str">
        <f t="shared" si="29"/>
        <v>USA</v>
      </c>
    </row>
    <row r="372" spans="1:20" x14ac:dyDescent="0.2">
      <c r="A372" s="1">
        <v>10618</v>
      </c>
      <c r="B372" s="3" t="s">
        <v>243</v>
      </c>
      <c r="C372" s="3">
        <v>1</v>
      </c>
      <c r="D372" s="4">
        <v>35643</v>
      </c>
      <c r="E372" s="4">
        <v>35685</v>
      </c>
      <c r="F372" s="4">
        <v>35650</v>
      </c>
      <c r="G372" s="3">
        <v>1</v>
      </c>
      <c r="H372" s="3">
        <v>154.68</v>
      </c>
      <c r="I372" s="3" t="s">
        <v>244</v>
      </c>
      <c r="J372" s="3" t="s">
        <v>245</v>
      </c>
      <c r="K372" s="3" t="s">
        <v>246</v>
      </c>
      <c r="L372" s="3" t="s">
        <v>247</v>
      </c>
      <c r="M372" s="3" t="s">
        <v>248</v>
      </c>
      <c r="N372" s="3" t="s">
        <v>249</v>
      </c>
      <c r="O372" s="2"/>
      <c r="P372" t="str">
        <f t="shared" si="26"/>
        <v>43 rue St. Laurent</v>
      </c>
      <c r="Q372" t="str">
        <f t="shared" si="30"/>
        <v>Montréal</v>
      </c>
      <c r="R372" t="str">
        <f t="shared" si="27"/>
        <v>Québec</v>
      </c>
      <c r="S372" t="str">
        <f t="shared" si="28"/>
        <v>H1J 1C3</v>
      </c>
      <c r="T372" t="str">
        <f t="shared" si="29"/>
        <v>Canada</v>
      </c>
    </row>
    <row r="373" spans="1:20" x14ac:dyDescent="0.2">
      <c r="A373" s="1">
        <v>10619</v>
      </c>
      <c r="B373" s="3" t="s">
        <v>243</v>
      </c>
      <c r="C373" s="3">
        <v>3</v>
      </c>
      <c r="D373" s="4">
        <v>35646</v>
      </c>
      <c r="E373" s="4">
        <v>35674</v>
      </c>
      <c r="F373" s="4">
        <v>35649</v>
      </c>
      <c r="G373" s="3">
        <v>3</v>
      </c>
      <c r="H373" s="3">
        <v>91.05</v>
      </c>
      <c r="I373" s="3" t="s">
        <v>244</v>
      </c>
      <c r="J373" s="3" t="s">
        <v>245</v>
      </c>
      <c r="K373" s="3" t="s">
        <v>246</v>
      </c>
      <c r="L373" s="3" t="s">
        <v>247</v>
      </c>
      <c r="M373" s="3" t="s">
        <v>248</v>
      </c>
      <c r="N373" s="3" t="s">
        <v>249</v>
      </c>
      <c r="O373" s="2"/>
      <c r="P373" t="str">
        <f t="shared" si="26"/>
        <v>43 rue St. Laurent</v>
      </c>
      <c r="Q373" t="str">
        <f t="shared" si="30"/>
        <v>Montréal</v>
      </c>
      <c r="R373" t="str">
        <f t="shared" si="27"/>
        <v>Québec</v>
      </c>
      <c r="S373" t="str">
        <f t="shared" si="28"/>
        <v>H1J 1C3</v>
      </c>
      <c r="T373" t="str">
        <f t="shared" si="29"/>
        <v>Canada</v>
      </c>
    </row>
    <row r="374" spans="1:20" x14ac:dyDescent="0.2">
      <c r="A374" s="1">
        <v>10620</v>
      </c>
      <c r="B374" s="3" t="s">
        <v>358</v>
      </c>
      <c r="C374" s="3">
        <v>2</v>
      </c>
      <c r="D374" s="4">
        <v>35647</v>
      </c>
      <c r="E374" s="4">
        <v>35675</v>
      </c>
      <c r="F374" s="4">
        <v>35656</v>
      </c>
      <c r="G374" s="3">
        <v>3</v>
      </c>
      <c r="H374" s="3">
        <v>0.94</v>
      </c>
      <c r="I374" s="3" t="s">
        <v>359</v>
      </c>
      <c r="J374" s="3" t="s">
        <v>360</v>
      </c>
      <c r="K374" s="3" t="s">
        <v>361</v>
      </c>
      <c r="L374" s="3" t="s">
        <v>322</v>
      </c>
      <c r="M374" s="3" t="s">
        <v>362</v>
      </c>
      <c r="N374" s="3" t="s">
        <v>249</v>
      </c>
      <c r="O374" s="2"/>
      <c r="P374" t="str">
        <f t="shared" si="26"/>
        <v>2319 Elm St.</v>
      </c>
      <c r="Q374" t="str">
        <f t="shared" si="30"/>
        <v>Vancouver</v>
      </c>
      <c r="R374" t="str">
        <f t="shared" si="27"/>
        <v>BC</v>
      </c>
      <c r="S374" t="str">
        <f t="shared" si="28"/>
        <v>V3F 2K1</v>
      </c>
      <c r="T374" t="str">
        <f t="shared" si="29"/>
        <v>Canada</v>
      </c>
    </row>
    <row r="375" spans="1:20" x14ac:dyDescent="0.2">
      <c r="A375" s="1">
        <v>10621</v>
      </c>
      <c r="B375" s="3" t="s">
        <v>213</v>
      </c>
      <c r="C375" s="3">
        <v>4</v>
      </c>
      <c r="D375" s="4">
        <v>35647</v>
      </c>
      <c r="E375" s="4">
        <v>35675</v>
      </c>
      <c r="F375" s="4">
        <v>35653</v>
      </c>
      <c r="G375" s="3">
        <v>2</v>
      </c>
      <c r="H375" s="3">
        <v>23.73</v>
      </c>
      <c r="I375" s="3" t="s">
        <v>214</v>
      </c>
      <c r="J375" s="3" t="s">
        <v>215</v>
      </c>
      <c r="K375" s="3" t="s">
        <v>216</v>
      </c>
      <c r="L375" s="3" t="s">
        <v>217</v>
      </c>
      <c r="M375" s="3" t="s">
        <v>218</v>
      </c>
      <c r="N375" s="3" t="s">
        <v>169</v>
      </c>
      <c r="O375" s="2"/>
      <c r="P375" t="str">
        <f t="shared" si="26"/>
        <v>Garden House Crowther Way</v>
      </c>
      <c r="Q375" t="str">
        <f t="shared" si="30"/>
        <v>Cowes</v>
      </c>
      <c r="R375" t="str">
        <f t="shared" si="27"/>
        <v>Isle of Wight</v>
      </c>
      <c r="S375" t="str">
        <f t="shared" si="28"/>
        <v>PO31 7PJ</v>
      </c>
      <c r="T375" t="str">
        <f t="shared" si="29"/>
        <v>UK</v>
      </c>
    </row>
    <row r="376" spans="1:20" x14ac:dyDescent="0.2">
      <c r="A376" s="1">
        <v>10622</v>
      </c>
      <c r="B376" s="3" t="s">
        <v>156</v>
      </c>
      <c r="C376" s="3">
        <v>4</v>
      </c>
      <c r="D376" s="4">
        <v>35648</v>
      </c>
      <c r="E376" s="4">
        <v>35676</v>
      </c>
      <c r="F376" s="4">
        <v>35653</v>
      </c>
      <c r="G376" s="3">
        <v>3</v>
      </c>
      <c r="H376" s="3">
        <v>50.97</v>
      </c>
      <c r="I376" s="3" t="s">
        <v>157</v>
      </c>
      <c r="J376" s="3" t="s">
        <v>158</v>
      </c>
      <c r="K376" s="3">
        <v>267</v>
      </c>
      <c r="L376" s="3" t="s">
        <v>28</v>
      </c>
      <c r="M376" s="3" t="s">
        <v>29</v>
      </c>
      <c r="N376" s="3" t="s">
        <v>159</v>
      </c>
      <c r="O376" s="3" t="s">
        <v>31</v>
      </c>
      <c r="P376" t="str">
        <f t="shared" si="26"/>
        <v>Av. Copacabana 267</v>
      </c>
      <c r="Q376" t="str">
        <f t="shared" si="30"/>
        <v>Rio de Janeiro</v>
      </c>
      <c r="R376" t="str">
        <f t="shared" si="27"/>
        <v>RJ</v>
      </c>
      <c r="S376" t="str">
        <f t="shared" si="28"/>
        <v>02389-890</v>
      </c>
      <c r="T376" t="str">
        <f t="shared" si="29"/>
        <v>Brazil</v>
      </c>
    </row>
    <row r="377" spans="1:20" x14ac:dyDescent="0.2">
      <c r="A377" s="1">
        <v>10623</v>
      </c>
      <c r="B377" s="3" t="s">
        <v>102</v>
      </c>
      <c r="C377" s="3">
        <v>8</v>
      </c>
      <c r="D377" s="4">
        <v>35649</v>
      </c>
      <c r="E377" s="4">
        <v>35677</v>
      </c>
      <c r="F377" s="4">
        <v>35654</v>
      </c>
      <c r="G377" s="3">
        <v>2</v>
      </c>
      <c r="H377" s="3">
        <v>97.18</v>
      </c>
      <c r="I377" s="3" t="s">
        <v>103</v>
      </c>
      <c r="J377" s="3" t="s">
        <v>104</v>
      </c>
      <c r="K377" s="3" t="s">
        <v>105</v>
      </c>
      <c r="L377" s="3" t="s">
        <v>18</v>
      </c>
      <c r="M377" s="3">
        <v>80805</v>
      </c>
      <c r="N377" s="3" t="s">
        <v>24</v>
      </c>
      <c r="O377" s="2"/>
      <c r="P377" t="str">
        <f t="shared" si="26"/>
        <v>Berliner Platz 43</v>
      </c>
      <c r="Q377" t="str">
        <f t="shared" si="30"/>
        <v>München</v>
      </c>
      <c r="R377" t="str">
        <f t="shared" si="27"/>
        <v>NULL</v>
      </c>
      <c r="S377">
        <f t="shared" si="28"/>
        <v>80805</v>
      </c>
      <c r="T377" t="str">
        <f t="shared" si="29"/>
        <v>Germany</v>
      </c>
    </row>
    <row r="378" spans="1:20" x14ac:dyDescent="0.2">
      <c r="A378" s="1">
        <v>10624</v>
      </c>
      <c r="B378" s="3" t="s">
        <v>396</v>
      </c>
      <c r="C378" s="3">
        <v>4</v>
      </c>
      <c r="D378" s="4">
        <v>35649</v>
      </c>
      <c r="E378" s="4">
        <v>35677</v>
      </c>
      <c r="F378" s="4">
        <v>35661</v>
      </c>
      <c r="G378" s="3">
        <v>2</v>
      </c>
      <c r="H378" s="3">
        <v>94.8</v>
      </c>
      <c r="I378" s="3" t="s">
        <v>397</v>
      </c>
      <c r="J378" s="3" t="s">
        <v>398</v>
      </c>
      <c r="K378" s="3" t="s">
        <v>399</v>
      </c>
      <c r="L378" s="3" t="s">
        <v>400</v>
      </c>
      <c r="M378" s="3">
        <v>59801</v>
      </c>
      <c r="N378" s="3" t="s">
        <v>86</v>
      </c>
      <c r="O378" s="2"/>
      <c r="P378" t="str">
        <f t="shared" si="26"/>
        <v>55 Grizzly Peak Rd.</v>
      </c>
      <c r="Q378" t="str">
        <f t="shared" si="30"/>
        <v>Butte</v>
      </c>
      <c r="R378" t="str">
        <f t="shared" si="27"/>
        <v>MT</v>
      </c>
      <c r="S378">
        <f t="shared" si="28"/>
        <v>59801</v>
      </c>
      <c r="T378" t="str">
        <f t="shared" si="29"/>
        <v>USA</v>
      </c>
    </row>
    <row r="379" spans="1:20" x14ac:dyDescent="0.2">
      <c r="A379" s="1">
        <v>10625</v>
      </c>
      <c r="B379" s="3" t="s">
        <v>203</v>
      </c>
      <c r="C379" s="3">
        <v>3</v>
      </c>
      <c r="D379" s="4">
        <v>35650</v>
      </c>
      <c r="E379" s="4">
        <v>35678</v>
      </c>
      <c r="F379" s="4">
        <v>35656</v>
      </c>
      <c r="G379" s="3">
        <v>1</v>
      </c>
      <c r="H379" s="3">
        <v>43.9</v>
      </c>
      <c r="I379" s="3" t="s">
        <v>204</v>
      </c>
      <c r="J379" s="3" t="s">
        <v>205</v>
      </c>
      <c r="K379" s="3" t="s">
        <v>71</v>
      </c>
      <c r="L379" s="3" t="s">
        <v>18</v>
      </c>
      <c r="M379" s="3">
        <v>5021</v>
      </c>
      <c r="N379" s="3" t="s">
        <v>72</v>
      </c>
      <c r="O379" s="2"/>
      <c r="P379" t="str">
        <f t="shared" si="26"/>
        <v>Avda. de la Constitución 2222</v>
      </c>
      <c r="Q379" t="str">
        <f t="shared" si="30"/>
        <v>México D.F.</v>
      </c>
      <c r="R379" t="str">
        <f t="shared" si="27"/>
        <v>NULL</v>
      </c>
      <c r="S379">
        <f t="shared" si="28"/>
        <v>5021</v>
      </c>
      <c r="T379" t="str">
        <f t="shared" si="29"/>
        <v>Mexico</v>
      </c>
    </row>
    <row r="380" spans="1:20" x14ac:dyDescent="0.2">
      <c r="A380" s="1">
        <v>10626</v>
      </c>
      <c r="B380" s="3" t="s">
        <v>137</v>
      </c>
      <c r="C380" s="3">
        <v>1</v>
      </c>
      <c r="D380" s="4">
        <v>35653</v>
      </c>
      <c r="E380" s="4">
        <v>35681</v>
      </c>
      <c r="F380" s="4">
        <v>35662</v>
      </c>
      <c r="G380" s="3">
        <v>2</v>
      </c>
      <c r="H380" s="3">
        <v>138.69</v>
      </c>
      <c r="I380" s="3" t="s">
        <v>138</v>
      </c>
      <c r="J380" s="3" t="s">
        <v>139</v>
      </c>
      <c r="K380" s="3" t="s">
        <v>140</v>
      </c>
      <c r="L380" s="3" t="s">
        <v>18</v>
      </c>
      <c r="M380" s="3" t="s">
        <v>141</v>
      </c>
      <c r="N380" s="3" t="s">
        <v>92</v>
      </c>
      <c r="O380" s="2"/>
      <c r="P380" t="str">
        <f t="shared" si="26"/>
        <v>Berguvsvägen  8</v>
      </c>
      <c r="Q380" t="str">
        <f t="shared" si="30"/>
        <v>Luleå</v>
      </c>
      <c r="R380" t="str">
        <f t="shared" si="27"/>
        <v>NULL</v>
      </c>
      <c r="S380" t="str">
        <f t="shared" si="28"/>
        <v>S-958 22</v>
      </c>
      <c r="T380" t="str">
        <f t="shared" si="29"/>
        <v>Sweden</v>
      </c>
    </row>
    <row r="381" spans="1:20" x14ac:dyDescent="0.2">
      <c r="A381" s="1">
        <v>10627</v>
      </c>
      <c r="B381" s="3" t="s">
        <v>226</v>
      </c>
      <c r="C381" s="3">
        <v>8</v>
      </c>
      <c r="D381" s="4">
        <v>35653</v>
      </c>
      <c r="E381" s="4">
        <v>35695</v>
      </c>
      <c r="F381" s="4">
        <v>35663</v>
      </c>
      <c r="G381" s="3">
        <v>3</v>
      </c>
      <c r="H381" s="3">
        <v>107.46</v>
      </c>
      <c r="I381" s="3" t="s">
        <v>227</v>
      </c>
      <c r="J381" s="3" t="s">
        <v>228</v>
      </c>
      <c r="K381" s="3" t="s">
        <v>229</v>
      </c>
      <c r="L381" s="3" t="s">
        <v>230</v>
      </c>
      <c r="M381" s="3">
        <v>83720</v>
      </c>
      <c r="N381" s="3" t="s">
        <v>86</v>
      </c>
      <c r="O381" s="2"/>
      <c r="P381" t="str">
        <f t="shared" si="26"/>
        <v>187 Suffolk Ln.</v>
      </c>
      <c r="Q381" t="str">
        <f t="shared" si="30"/>
        <v>Boise</v>
      </c>
      <c r="R381" t="str">
        <f t="shared" si="27"/>
        <v>ID</v>
      </c>
      <c r="S381">
        <f t="shared" si="28"/>
        <v>83720</v>
      </c>
      <c r="T381" t="str">
        <f t="shared" si="29"/>
        <v>USA</v>
      </c>
    </row>
    <row r="382" spans="1:20" x14ac:dyDescent="0.2">
      <c r="A382" s="1">
        <v>10628</v>
      </c>
      <c r="B382" s="3" t="s">
        <v>93</v>
      </c>
      <c r="C382" s="3">
        <v>4</v>
      </c>
      <c r="D382" s="4">
        <v>35654</v>
      </c>
      <c r="E382" s="4">
        <v>35682</v>
      </c>
      <c r="F382" s="4">
        <v>35662</v>
      </c>
      <c r="G382" s="3">
        <v>3</v>
      </c>
      <c r="H382" s="3">
        <v>30.36</v>
      </c>
      <c r="I382" s="3" t="s">
        <v>94</v>
      </c>
      <c r="J382" s="3">
        <v>24</v>
      </c>
      <c r="K382" s="3" t="s">
        <v>95</v>
      </c>
      <c r="L382" s="3" t="s">
        <v>96</v>
      </c>
      <c r="M382" s="3" t="s">
        <v>18</v>
      </c>
      <c r="N382" s="3">
        <v>67000</v>
      </c>
      <c r="O382" s="3" t="s">
        <v>19</v>
      </c>
      <c r="P382" t="str">
        <f t="shared" si="26"/>
        <v>24  place Kléber</v>
      </c>
      <c r="Q382" t="str">
        <f t="shared" si="30"/>
        <v>Strasbourg</v>
      </c>
      <c r="R382" t="str">
        <f t="shared" si="27"/>
        <v>NULL</v>
      </c>
      <c r="S382">
        <f t="shared" si="28"/>
        <v>67000</v>
      </c>
      <c r="T382" t="str">
        <f t="shared" si="29"/>
        <v>France</v>
      </c>
    </row>
    <row r="383" spans="1:20" x14ac:dyDescent="0.2">
      <c r="A383" s="1">
        <v>10629</v>
      </c>
      <c r="B383" s="3" t="s">
        <v>189</v>
      </c>
      <c r="C383" s="3">
        <v>4</v>
      </c>
      <c r="D383" s="4">
        <v>35654</v>
      </c>
      <c r="E383" s="4">
        <v>35682</v>
      </c>
      <c r="F383" s="4">
        <v>35662</v>
      </c>
      <c r="G383" s="3">
        <v>3</v>
      </c>
      <c r="H383" s="3">
        <v>85.46</v>
      </c>
      <c r="I383" s="3" t="s">
        <v>190</v>
      </c>
      <c r="J383" s="3" t="s">
        <v>191</v>
      </c>
      <c r="K383" s="3">
        <v>33</v>
      </c>
      <c r="L383" s="3" t="s">
        <v>192</v>
      </c>
      <c r="M383" s="3" t="s">
        <v>18</v>
      </c>
      <c r="N383" s="3">
        <v>41101</v>
      </c>
      <c r="O383" s="3" t="s">
        <v>150</v>
      </c>
      <c r="P383" t="str">
        <f t="shared" si="26"/>
        <v>C/ Romero 33</v>
      </c>
      <c r="Q383" t="str">
        <f t="shared" si="30"/>
        <v>Sevilla</v>
      </c>
      <c r="R383" t="str">
        <f t="shared" si="27"/>
        <v>NULL</v>
      </c>
      <c r="S383">
        <f t="shared" si="28"/>
        <v>41101</v>
      </c>
      <c r="T383" t="str">
        <f t="shared" si="29"/>
        <v>Spain</v>
      </c>
    </row>
    <row r="384" spans="1:20" x14ac:dyDescent="0.2">
      <c r="A384" s="1">
        <v>10630</v>
      </c>
      <c r="B384" s="3" t="s">
        <v>222</v>
      </c>
      <c r="C384" s="3">
        <v>1</v>
      </c>
      <c r="D384" s="4">
        <v>35655</v>
      </c>
      <c r="E384" s="4">
        <v>35683</v>
      </c>
      <c r="F384" s="4">
        <v>35661</v>
      </c>
      <c r="G384" s="3">
        <v>2</v>
      </c>
      <c r="H384" s="3">
        <v>32.35</v>
      </c>
      <c r="I384" s="3" t="s">
        <v>223</v>
      </c>
      <c r="J384" s="3" t="s">
        <v>224</v>
      </c>
      <c r="K384" s="3" t="s">
        <v>225</v>
      </c>
      <c r="L384" s="3" t="s">
        <v>18</v>
      </c>
      <c r="M384" s="3">
        <v>14776</v>
      </c>
      <c r="N384" s="3" t="s">
        <v>24</v>
      </c>
      <c r="O384" s="2"/>
      <c r="P384" t="str">
        <f t="shared" si="26"/>
        <v>Maubelstr. 90</v>
      </c>
      <c r="Q384" t="str">
        <f t="shared" si="30"/>
        <v>Brandenburg</v>
      </c>
      <c r="R384" t="str">
        <f t="shared" si="27"/>
        <v>NULL</v>
      </c>
      <c r="S384">
        <f t="shared" si="28"/>
        <v>14776</v>
      </c>
      <c r="T384" t="str">
        <f t="shared" si="29"/>
        <v>Germany</v>
      </c>
    </row>
    <row r="385" spans="1:20" x14ac:dyDescent="0.2">
      <c r="A385" s="1">
        <v>10631</v>
      </c>
      <c r="B385" s="3" t="s">
        <v>262</v>
      </c>
      <c r="C385" s="3">
        <v>8</v>
      </c>
      <c r="D385" s="4">
        <v>35656</v>
      </c>
      <c r="E385" s="4">
        <v>35684</v>
      </c>
      <c r="F385" s="4">
        <v>35657</v>
      </c>
      <c r="G385" s="3">
        <v>1</v>
      </c>
      <c r="H385" s="3">
        <v>0.87</v>
      </c>
      <c r="I385" s="3" t="s">
        <v>263</v>
      </c>
      <c r="J385" s="3" t="s">
        <v>264</v>
      </c>
      <c r="K385" s="3" t="s">
        <v>265</v>
      </c>
      <c r="L385" s="3" t="s">
        <v>18</v>
      </c>
      <c r="M385" s="3">
        <v>31000</v>
      </c>
      <c r="N385" s="3" t="s">
        <v>19</v>
      </c>
      <c r="O385" s="2"/>
      <c r="P385" t="str">
        <f t="shared" si="26"/>
        <v>1 rue Alsace-Lorraine</v>
      </c>
      <c r="Q385" t="str">
        <f t="shared" si="30"/>
        <v>Toulouse</v>
      </c>
      <c r="R385" t="str">
        <f t="shared" si="27"/>
        <v>NULL</v>
      </c>
      <c r="S385">
        <f t="shared" si="28"/>
        <v>31000</v>
      </c>
      <c r="T385" t="str">
        <f t="shared" si="29"/>
        <v>France</v>
      </c>
    </row>
    <row r="386" spans="1:20" x14ac:dyDescent="0.2">
      <c r="A386" s="1">
        <v>10632</v>
      </c>
      <c r="B386" s="3" t="s">
        <v>185</v>
      </c>
      <c r="C386" s="3">
        <v>8</v>
      </c>
      <c r="D386" s="4">
        <v>35656</v>
      </c>
      <c r="E386" s="4">
        <v>35684</v>
      </c>
      <c r="F386" s="4">
        <v>35661</v>
      </c>
      <c r="G386" s="3">
        <v>1</v>
      </c>
      <c r="H386" s="3">
        <v>41.38</v>
      </c>
      <c r="I386" s="3" t="s">
        <v>186</v>
      </c>
      <c r="J386" s="3" t="s">
        <v>187</v>
      </c>
      <c r="K386" s="3" t="s">
        <v>188</v>
      </c>
      <c r="L386" s="3" t="s">
        <v>18</v>
      </c>
      <c r="M386" s="3">
        <v>70563</v>
      </c>
      <c r="N386" s="3" t="s">
        <v>24</v>
      </c>
      <c r="O386" s="2"/>
      <c r="P386" t="str">
        <f t="shared" ref="P386:P449" si="31">IF(O386&lt;&gt;"",J386&amp;" "&amp;K386,J386)</f>
        <v>Adenauerallee 900</v>
      </c>
      <c r="Q386" t="str">
        <f t="shared" si="30"/>
        <v>Stuttgart</v>
      </c>
      <c r="R386" t="str">
        <f t="shared" si="27"/>
        <v>NULL</v>
      </c>
      <c r="S386">
        <f t="shared" si="28"/>
        <v>70563</v>
      </c>
      <c r="T386" t="str">
        <f t="shared" si="29"/>
        <v>Germany</v>
      </c>
    </row>
    <row r="387" spans="1:20" x14ac:dyDescent="0.2">
      <c r="A387" s="1">
        <v>10633</v>
      </c>
      <c r="B387" s="3" t="s">
        <v>63</v>
      </c>
      <c r="C387" s="3">
        <v>7</v>
      </c>
      <c r="D387" s="4">
        <v>35657</v>
      </c>
      <c r="E387" s="4">
        <v>35685</v>
      </c>
      <c r="F387" s="4">
        <v>35660</v>
      </c>
      <c r="G387" s="3">
        <v>3</v>
      </c>
      <c r="H387" s="3">
        <v>477.9</v>
      </c>
      <c r="I387" s="3" t="s">
        <v>64</v>
      </c>
      <c r="J387" s="3" t="s">
        <v>65</v>
      </c>
      <c r="K387" s="3" t="s">
        <v>66</v>
      </c>
      <c r="L387" s="3" t="s">
        <v>18</v>
      </c>
      <c r="M387" s="3">
        <v>8010</v>
      </c>
      <c r="N387" s="3" t="s">
        <v>67</v>
      </c>
      <c r="O387" s="2"/>
      <c r="P387" t="str">
        <f t="shared" si="31"/>
        <v>Kirchgasse 6</v>
      </c>
      <c r="Q387" t="str">
        <f t="shared" si="30"/>
        <v>Graz</v>
      </c>
      <c r="R387" t="str">
        <f t="shared" ref="R387:R450" si="32">IF(O387&lt;&gt;"",M387,L387)</f>
        <v>NULL</v>
      </c>
      <c r="S387">
        <f t="shared" ref="S387:S450" si="33">IF(O387&lt;&gt;"",N387,M387)</f>
        <v>8010</v>
      </c>
      <c r="T387" t="str">
        <f t="shared" ref="T387:T450" si="34">IF(O387&lt;&gt;"",O387,N387)</f>
        <v>Austria</v>
      </c>
    </row>
    <row r="388" spans="1:20" x14ac:dyDescent="0.2">
      <c r="A388" s="1">
        <v>10634</v>
      </c>
      <c r="B388" s="3" t="s">
        <v>329</v>
      </c>
      <c r="C388" s="3">
        <v>4</v>
      </c>
      <c r="D388" s="4">
        <v>35657</v>
      </c>
      <c r="E388" s="4">
        <v>35685</v>
      </c>
      <c r="F388" s="4">
        <v>35663</v>
      </c>
      <c r="G388" s="3">
        <v>3</v>
      </c>
      <c r="H388" s="3">
        <v>487.38</v>
      </c>
      <c r="I388" s="3" t="s">
        <v>330</v>
      </c>
      <c r="J388" s="3">
        <v>184</v>
      </c>
      <c r="K388" s="3" t="s">
        <v>331</v>
      </c>
      <c r="L388" s="3" t="s">
        <v>332</v>
      </c>
      <c r="M388" s="3" t="s">
        <v>18</v>
      </c>
      <c r="N388" s="3">
        <v>59000</v>
      </c>
      <c r="O388" s="3" t="s">
        <v>19</v>
      </c>
      <c r="P388" t="str">
        <f t="shared" si="31"/>
        <v>184  chaussée de Tournai</v>
      </c>
      <c r="Q388" t="str">
        <f t="shared" si="30"/>
        <v>Lille</v>
      </c>
      <c r="R388" t="str">
        <f t="shared" si="32"/>
        <v>NULL</v>
      </c>
      <c r="S388">
        <f t="shared" si="33"/>
        <v>59000</v>
      </c>
      <c r="T388" t="str">
        <f t="shared" si="34"/>
        <v>France</v>
      </c>
    </row>
    <row r="389" spans="1:20" x14ac:dyDescent="0.2">
      <c r="A389" s="1">
        <v>10635</v>
      </c>
      <c r="B389" s="3" t="s">
        <v>125</v>
      </c>
      <c r="C389" s="3">
        <v>8</v>
      </c>
      <c r="D389" s="4">
        <v>35660</v>
      </c>
      <c r="E389" s="4">
        <v>35688</v>
      </c>
      <c r="F389" s="4">
        <v>35663</v>
      </c>
      <c r="G389" s="3">
        <v>3</v>
      </c>
      <c r="H389" s="3">
        <v>47.46</v>
      </c>
      <c r="I389" s="3" t="s">
        <v>126</v>
      </c>
      <c r="J389" s="3" t="s">
        <v>127</v>
      </c>
      <c r="K389" s="3" t="s">
        <v>128</v>
      </c>
      <c r="L389" s="3" t="s">
        <v>18</v>
      </c>
      <c r="M389" s="3">
        <v>24100</v>
      </c>
      <c r="N389" s="3" t="s">
        <v>129</v>
      </c>
      <c r="O389" s="2"/>
      <c r="P389" t="str">
        <f t="shared" si="31"/>
        <v>Via Ludovico il Moro 22</v>
      </c>
      <c r="Q389" t="str">
        <f t="shared" si="30"/>
        <v>Bergamo</v>
      </c>
      <c r="R389" t="str">
        <f t="shared" si="32"/>
        <v>NULL</v>
      </c>
      <c r="S389">
        <f t="shared" si="33"/>
        <v>24100</v>
      </c>
      <c r="T389" t="str">
        <f t="shared" si="34"/>
        <v>Italy</v>
      </c>
    </row>
    <row r="390" spans="1:20" x14ac:dyDescent="0.2">
      <c r="A390" s="1">
        <v>10636</v>
      </c>
      <c r="B390" s="3" t="s">
        <v>97</v>
      </c>
      <c r="C390" s="3">
        <v>4</v>
      </c>
      <c r="D390" s="4">
        <v>35661</v>
      </c>
      <c r="E390" s="4">
        <v>35689</v>
      </c>
      <c r="F390" s="4">
        <v>35668</v>
      </c>
      <c r="G390" s="3">
        <v>1</v>
      </c>
      <c r="H390" s="3">
        <v>1.1499999999999999</v>
      </c>
      <c r="I390" s="3" t="s">
        <v>98</v>
      </c>
      <c r="J390" s="3" t="s">
        <v>99</v>
      </c>
      <c r="K390" s="3" t="s">
        <v>100</v>
      </c>
      <c r="L390" s="3" t="s">
        <v>18</v>
      </c>
      <c r="M390" s="3">
        <v>90110</v>
      </c>
      <c r="N390" s="3" t="s">
        <v>101</v>
      </c>
      <c r="O390" s="2"/>
      <c r="P390" t="str">
        <f t="shared" si="31"/>
        <v>Torikatu 38</v>
      </c>
      <c r="Q390" t="str">
        <f t="shared" si="30"/>
        <v>Oulu</v>
      </c>
      <c r="R390" t="str">
        <f t="shared" si="32"/>
        <v>NULL</v>
      </c>
      <c r="S390">
        <f t="shared" si="33"/>
        <v>90110</v>
      </c>
      <c r="T390" t="str">
        <f t="shared" si="34"/>
        <v>Finland</v>
      </c>
    </row>
    <row r="391" spans="1:20" x14ac:dyDescent="0.2">
      <c r="A391" s="1">
        <v>10637</v>
      </c>
      <c r="B391" s="3" t="s">
        <v>299</v>
      </c>
      <c r="C391" s="3">
        <v>6</v>
      </c>
      <c r="D391" s="4">
        <v>35661</v>
      </c>
      <c r="E391" s="4">
        <v>35689</v>
      </c>
      <c r="F391" s="4">
        <v>35668</v>
      </c>
      <c r="G391" s="3">
        <v>1</v>
      </c>
      <c r="H391" s="3">
        <v>201.29</v>
      </c>
      <c r="I391" s="3" t="s">
        <v>300</v>
      </c>
      <c r="J391" s="3" t="s">
        <v>301</v>
      </c>
      <c r="K391" s="3">
        <v>891</v>
      </c>
      <c r="L391" s="3" t="s">
        <v>173</v>
      </c>
      <c r="M391" s="3" t="s">
        <v>55</v>
      </c>
      <c r="N391" s="3" t="s">
        <v>302</v>
      </c>
      <c r="O391" s="3" t="s">
        <v>31</v>
      </c>
      <c r="P391" t="str">
        <f t="shared" si="31"/>
        <v>Alameda dos Canàrios 891</v>
      </c>
      <c r="Q391" t="str">
        <f t="shared" ref="Q391:Q454" si="35">IF(O391&lt;&gt;"",L391,K391)</f>
        <v>Sao Paulo</v>
      </c>
      <c r="R391" t="str">
        <f t="shared" si="32"/>
        <v>SP</v>
      </c>
      <c r="S391" t="str">
        <f t="shared" si="33"/>
        <v>05487-020</v>
      </c>
      <c r="T391" t="str">
        <f t="shared" si="34"/>
        <v>Brazil</v>
      </c>
    </row>
    <row r="392" spans="1:20" x14ac:dyDescent="0.2">
      <c r="A392" s="1">
        <v>10638</v>
      </c>
      <c r="B392" s="3" t="s">
        <v>324</v>
      </c>
      <c r="C392" s="3">
        <v>3</v>
      </c>
      <c r="D392" s="4">
        <v>35662</v>
      </c>
      <c r="E392" s="4">
        <v>35690</v>
      </c>
      <c r="F392" s="4">
        <v>35674</v>
      </c>
      <c r="G392" s="3">
        <v>1</v>
      </c>
      <c r="H392" s="3">
        <v>158.44</v>
      </c>
      <c r="I392" s="3" t="s">
        <v>325</v>
      </c>
      <c r="J392" s="3" t="s">
        <v>326</v>
      </c>
      <c r="K392" s="3" t="s">
        <v>327</v>
      </c>
      <c r="L392" s="3" t="s">
        <v>328</v>
      </c>
      <c r="M392" s="3">
        <v>4980</v>
      </c>
      <c r="N392" s="3" t="s">
        <v>62</v>
      </c>
      <c r="O392" s="2"/>
      <c r="P392" t="str">
        <f t="shared" si="31"/>
        <v>Ave. 5 de Mayo Porlamar</v>
      </c>
      <c r="Q392" t="str">
        <f t="shared" si="35"/>
        <v>I. de Margarita</v>
      </c>
      <c r="R392" t="str">
        <f t="shared" si="32"/>
        <v>Nueva Esparta</v>
      </c>
      <c r="S392">
        <f t="shared" si="33"/>
        <v>4980</v>
      </c>
      <c r="T392" t="str">
        <f t="shared" si="34"/>
        <v>Venezuela</v>
      </c>
    </row>
    <row r="393" spans="1:20" x14ac:dyDescent="0.2">
      <c r="A393" s="1">
        <v>10639</v>
      </c>
      <c r="B393" s="3" t="s">
        <v>313</v>
      </c>
      <c r="C393" s="3">
        <v>7</v>
      </c>
      <c r="D393" s="4">
        <v>35662</v>
      </c>
      <c r="E393" s="4">
        <v>35690</v>
      </c>
      <c r="F393" s="4">
        <v>35669</v>
      </c>
      <c r="G393" s="3">
        <v>3</v>
      </c>
      <c r="H393" s="3">
        <v>38.64</v>
      </c>
      <c r="I393" s="3" t="s">
        <v>314</v>
      </c>
      <c r="J393" s="3" t="s">
        <v>315</v>
      </c>
      <c r="K393" s="3" t="s">
        <v>316</v>
      </c>
      <c r="L393" s="3" t="s">
        <v>18</v>
      </c>
      <c r="M393" s="3">
        <v>4110</v>
      </c>
      <c r="N393" s="3" t="s">
        <v>317</v>
      </c>
      <c r="O393" s="2"/>
      <c r="P393" t="str">
        <f t="shared" si="31"/>
        <v>Erling Skakkes gate 78</v>
      </c>
      <c r="Q393" t="str">
        <f t="shared" si="35"/>
        <v>Stavern</v>
      </c>
      <c r="R393" t="str">
        <f t="shared" si="32"/>
        <v>NULL</v>
      </c>
      <c r="S393">
        <f t="shared" si="33"/>
        <v>4110</v>
      </c>
      <c r="T393" t="str">
        <f t="shared" si="34"/>
        <v>Norway</v>
      </c>
    </row>
    <row r="394" spans="1:20" x14ac:dyDescent="0.2">
      <c r="A394" s="1">
        <v>10640</v>
      </c>
      <c r="B394" s="3" t="s">
        <v>185</v>
      </c>
      <c r="C394" s="3">
        <v>4</v>
      </c>
      <c r="D394" s="4">
        <v>35663</v>
      </c>
      <c r="E394" s="4">
        <v>35691</v>
      </c>
      <c r="F394" s="4">
        <v>35670</v>
      </c>
      <c r="G394" s="3">
        <v>1</v>
      </c>
      <c r="H394" s="3">
        <v>23.55</v>
      </c>
      <c r="I394" s="3" t="s">
        <v>186</v>
      </c>
      <c r="J394" s="3" t="s">
        <v>187</v>
      </c>
      <c r="K394" s="3" t="s">
        <v>188</v>
      </c>
      <c r="L394" s="3" t="s">
        <v>18</v>
      </c>
      <c r="M394" s="3">
        <v>70563</v>
      </c>
      <c r="N394" s="3" t="s">
        <v>24</v>
      </c>
      <c r="O394" s="2"/>
      <c r="P394" t="str">
        <f t="shared" si="31"/>
        <v>Adenauerallee 900</v>
      </c>
      <c r="Q394" t="str">
        <f t="shared" si="35"/>
        <v>Stuttgart</v>
      </c>
      <c r="R394" t="str">
        <f t="shared" si="32"/>
        <v>NULL</v>
      </c>
      <c r="S394">
        <f t="shared" si="33"/>
        <v>70563</v>
      </c>
      <c r="T394" t="str">
        <f t="shared" si="34"/>
        <v>Germany</v>
      </c>
    </row>
    <row r="395" spans="1:20" x14ac:dyDescent="0.2">
      <c r="A395" s="1">
        <v>10641</v>
      </c>
      <c r="B395" s="3" t="s">
        <v>57</v>
      </c>
      <c r="C395" s="3">
        <v>4</v>
      </c>
      <c r="D395" s="4">
        <v>35664</v>
      </c>
      <c r="E395" s="4">
        <v>35692</v>
      </c>
      <c r="F395" s="4">
        <v>35668</v>
      </c>
      <c r="G395" s="3">
        <v>2</v>
      </c>
      <c r="H395" s="3">
        <v>179.61</v>
      </c>
      <c r="I395" s="3" t="s">
        <v>58</v>
      </c>
      <c r="J395" s="3" t="s">
        <v>59</v>
      </c>
      <c r="K395" s="3" t="s">
        <v>60</v>
      </c>
      <c r="L395" s="3" t="s">
        <v>61</v>
      </c>
      <c r="M395" s="3">
        <v>5022</v>
      </c>
      <c r="N395" s="3" t="s">
        <v>62</v>
      </c>
      <c r="O395" s="2"/>
      <c r="P395" t="str">
        <f t="shared" si="31"/>
        <v>Carrera 22 con Ave. Carlos Soublette #8-35</v>
      </c>
      <c r="Q395" t="str">
        <f t="shared" si="35"/>
        <v>San Cristóbal</v>
      </c>
      <c r="R395" t="str">
        <f t="shared" si="32"/>
        <v>Táchira</v>
      </c>
      <c r="S395">
        <f t="shared" si="33"/>
        <v>5022</v>
      </c>
      <c r="T395" t="str">
        <f t="shared" si="34"/>
        <v>Venezuela</v>
      </c>
    </row>
    <row r="396" spans="1:20" x14ac:dyDescent="0.2">
      <c r="A396" s="1">
        <v>10642</v>
      </c>
      <c r="B396" s="3" t="s">
        <v>253</v>
      </c>
      <c r="C396" s="3">
        <v>7</v>
      </c>
      <c r="D396" s="4">
        <v>35664</v>
      </c>
      <c r="E396" s="4">
        <v>35692</v>
      </c>
      <c r="F396" s="4">
        <v>35678</v>
      </c>
      <c r="G396" s="3">
        <v>3</v>
      </c>
      <c r="H396" s="3">
        <v>41.89</v>
      </c>
      <c r="I396" s="3" t="s">
        <v>254</v>
      </c>
      <c r="J396" s="3" t="s">
        <v>255</v>
      </c>
      <c r="K396" s="3" t="s">
        <v>256</v>
      </c>
      <c r="L396" s="3" t="s">
        <v>18</v>
      </c>
      <c r="M396" s="3">
        <v>1734</v>
      </c>
      <c r="N396" s="3" t="s">
        <v>257</v>
      </c>
      <c r="O396" s="2"/>
      <c r="P396" t="str">
        <f t="shared" si="31"/>
        <v>Vinbæltet 34</v>
      </c>
      <c r="Q396" t="str">
        <f t="shared" si="35"/>
        <v>Kobenhavn</v>
      </c>
      <c r="R396" t="str">
        <f t="shared" si="32"/>
        <v>NULL</v>
      </c>
      <c r="S396">
        <f t="shared" si="33"/>
        <v>1734</v>
      </c>
      <c r="T396" t="str">
        <f t="shared" si="34"/>
        <v>Denmark</v>
      </c>
    </row>
    <row r="397" spans="1:20" x14ac:dyDescent="0.2">
      <c r="A397" s="1">
        <v>10643</v>
      </c>
      <c r="B397" s="3" t="s">
        <v>401</v>
      </c>
      <c r="C397" s="3">
        <v>6</v>
      </c>
      <c r="D397" s="4">
        <v>35667</v>
      </c>
      <c r="E397" s="4">
        <v>35695</v>
      </c>
      <c r="F397" s="4">
        <v>35675</v>
      </c>
      <c r="G397" s="3">
        <v>1</v>
      </c>
      <c r="H397" s="3">
        <v>29.46</v>
      </c>
      <c r="I397" s="3" t="s">
        <v>402</v>
      </c>
      <c r="J397" s="3" t="s">
        <v>403</v>
      </c>
      <c r="K397" s="3" t="s">
        <v>404</v>
      </c>
      <c r="L397" s="3" t="s">
        <v>18</v>
      </c>
      <c r="M397" s="3">
        <v>12209</v>
      </c>
      <c r="N397" s="3" t="s">
        <v>24</v>
      </c>
      <c r="O397" s="2"/>
      <c r="P397" t="str">
        <f t="shared" si="31"/>
        <v>Obere Str. 57</v>
      </c>
      <c r="Q397" t="str">
        <f t="shared" si="35"/>
        <v>Berlin</v>
      </c>
      <c r="R397" t="str">
        <f t="shared" si="32"/>
        <v>NULL</v>
      </c>
      <c r="S397">
        <f t="shared" si="33"/>
        <v>12209</v>
      </c>
      <c r="T397" t="str">
        <f t="shared" si="34"/>
        <v>Germany</v>
      </c>
    </row>
    <row r="398" spans="1:20" x14ac:dyDescent="0.2">
      <c r="A398" s="1">
        <v>10644</v>
      </c>
      <c r="B398" s="3" t="s">
        <v>51</v>
      </c>
      <c r="C398" s="3">
        <v>3</v>
      </c>
      <c r="D398" s="4">
        <v>35667</v>
      </c>
      <c r="E398" s="4">
        <v>35695</v>
      </c>
      <c r="F398" s="4">
        <v>35674</v>
      </c>
      <c r="G398" s="3">
        <v>2</v>
      </c>
      <c r="H398" s="3">
        <v>0.14000000000000001</v>
      </c>
      <c r="I398" s="3" t="s">
        <v>52</v>
      </c>
      <c r="J398" s="3" t="s">
        <v>53</v>
      </c>
      <c r="K398" s="3">
        <v>12</v>
      </c>
      <c r="L398" s="3" t="s">
        <v>54</v>
      </c>
      <c r="M398" s="3" t="s">
        <v>55</v>
      </c>
      <c r="N398" s="3" t="s">
        <v>56</v>
      </c>
      <c r="O398" s="3" t="s">
        <v>31</v>
      </c>
      <c r="P398" t="str">
        <f t="shared" si="31"/>
        <v>Rua do Mercado 12</v>
      </c>
      <c r="Q398" t="str">
        <f t="shared" si="35"/>
        <v>Resende</v>
      </c>
      <c r="R398" t="str">
        <f t="shared" si="32"/>
        <v>SP</v>
      </c>
      <c r="S398" t="str">
        <f t="shared" si="33"/>
        <v>08737-363</v>
      </c>
      <c r="T398" t="str">
        <f t="shared" si="34"/>
        <v>Brazil</v>
      </c>
    </row>
    <row r="399" spans="1:20" x14ac:dyDescent="0.2">
      <c r="A399" s="1">
        <v>10645</v>
      </c>
      <c r="B399" s="3" t="s">
        <v>25</v>
      </c>
      <c r="C399" s="3">
        <v>4</v>
      </c>
      <c r="D399" s="4">
        <v>35668</v>
      </c>
      <c r="E399" s="4">
        <v>35696</v>
      </c>
      <c r="F399" s="4">
        <v>35675</v>
      </c>
      <c r="G399" s="3">
        <v>1</v>
      </c>
      <c r="H399" s="3">
        <v>12.41</v>
      </c>
      <c r="I399" s="3" t="s">
        <v>26</v>
      </c>
      <c r="J399" s="3" t="s">
        <v>27</v>
      </c>
      <c r="K399" s="3">
        <v>67</v>
      </c>
      <c r="L399" s="3" t="s">
        <v>28</v>
      </c>
      <c r="M399" s="3" t="s">
        <v>29</v>
      </c>
      <c r="N399" s="3" t="s">
        <v>30</v>
      </c>
      <c r="O399" s="3" t="s">
        <v>31</v>
      </c>
      <c r="P399" t="str">
        <f t="shared" si="31"/>
        <v>Rua do Paço 67</v>
      </c>
      <c r="Q399" t="str">
        <f t="shared" si="35"/>
        <v>Rio de Janeiro</v>
      </c>
      <c r="R399" t="str">
        <f t="shared" si="32"/>
        <v>RJ</v>
      </c>
      <c r="S399" t="str">
        <f t="shared" si="33"/>
        <v>05454-876</v>
      </c>
      <c r="T399" t="str">
        <f t="shared" si="34"/>
        <v>Brazil</v>
      </c>
    </row>
    <row r="400" spans="1:20" x14ac:dyDescent="0.2">
      <c r="A400" s="1">
        <v>10646</v>
      </c>
      <c r="B400" s="3" t="s">
        <v>179</v>
      </c>
      <c r="C400" s="3">
        <v>9</v>
      </c>
      <c r="D400" s="4">
        <v>35669</v>
      </c>
      <c r="E400" s="4">
        <v>35711</v>
      </c>
      <c r="F400" s="4">
        <v>35676</v>
      </c>
      <c r="G400" s="3">
        <v>3</v>
      </c>
      <c r="H400" s="3">
        <v>142.33000000000001</v>
      </c>
      <c r="I400" s="3" t="s">
        <v>180</v>
      </c>
      <c r="J400" s="3" t="s">
        <v>181</v>
      </c>
      <c r="K400" s="3" t="s">
        <v>182</v>
      </c>
      <c r="L400" s="3" t="s">
        <v>183</v>
      </c>
      <c r="M400" s="3" t="s">
        <v>18</v>
      </c>
      <c r="N400" s="3" t="s">
        <v>184</v>
      </c>
      <c r="O400" s="2"/>
      <c r="P400" t="str">
        <f t="shared" si="31"/>
        <v>8 Johnstown Road</v>
      </c>
      <c r="Q400" t="str">
        <f t="shared" si="35"/>
        <v>Cork</v>
      </c>
      <c r="R400" t="str">
        <f t="shared" si="32"/>
        <v>Co. Cork</v>
      </c>
      <c r="S400" t="str">
        <f t="shared" si="33"/>
        <v>NULL</v>
      </c>
      <c r="T400" t="str">
        <f t="shared" si="34"/>
        <v>Ireland</v>
      </c>
    </row>
    <row r="401" spans="1:20" x14ac:dyDescent="0.2">
      <c r="A401" s="1">
        <v>10647</v>
      </c>
      <c r="B401" s="3" t="s">
        <v>77</v>
      </c>
      <c r="C401" s="3">
        <v>4</v>
      </c>
      <c r="D401" s="4">
        <v>35669</v>
      </c>
      <c r="E401" s="4">
        <v>35683</v>
      </c>
      <c r="F401" s="4">
        <v>35676</v>
      </c>
      <c r="G401" s="3">
        <v>2</v>
      </c>
      <c r="H401" s="3">
        <v>45.54</v>
      </c>
      <c r="I401" s="3" t="s">
        <v>78</v>
      </c>
      <c r="J401" s="3" t="s">
        <v>79</v>
      </c>
      <c r="K401" s="3">
        <v>12</v>
      </c>
      <c r="L401" s="3" t="s">
        <v>28</v>
      </c>
      <c r="M401" s="3" t="s">
        <v>29</v>
      </c>
      <c r="N401" s="3" t="s">
        <v>80</v>
      </c>
      <c r="O401" s="3" t="s">
        <v>31</v>
      </c>
      <c r="P401" t="str">
        <f t="shared" si="31"/>
        <v>Rua da Panificadora 12</v>
      </c>
      <c r="Q401" t="str">
        <f t="shared" si="35"/>
        <v>Rio de Janeiro</v>
      </c>
      <c r="R401" t="str">
        <f t="shared" si="32"/>
        <v>RJ</v>
      </c>
      <c r="S401" t="str">
        <f t="shared" si="33"/>
        <v>02389-673</v>
      </c>
      <c r="T401" t="str">
        <f t="shared" si="34"/>
        <v>Brazil</v>
      </c>
    </row>
    <row r="402" spans="1:20" x14ac:dyDescent="0.2">
      <c r="A402" s="1">
        <v>10648</v>
      </c>
      <c r="B402" s="3" t="s">
        <v>156</v>
      </c>
      <c r="C402" s="3">
        <v>5</v>
      </c>
      <c r="D402" s="4">
        <v>35670</v>
      </c>
      <c r="E402" s="4">
        <v>35712</v>
      </c>
      <c r="F402" s="4">
        <v>35682</v>
      </c>
      <c r="G402" s="3">
        <v>2</v>
      </c>
      <c r="H402" s="3">
        <v>14.25</v>
      </c>
      <c r="I402" s="3" t="s">
        <v>157</v>
      </c>
      <c r="J402" s="3" t="s">
        <v>158</v>
      </c>
      <c r="K402" s="3">
        <v>267</v>
      </c>
      <c r="L402" s="3" t="s">
        <v>28</v>
      </c>
      <c r="M402" s="3" t="s">
        <v>29</v>
      </c>
      <c r="N402" s="3" t="s">
        <v>159</v>
      </c>
      <c r="O402" s="3" t="s">
        <v>31</v>
      </c>
      <c r="P402" t="str">
        <f t="shared" si="31"/>
        <v>Av. Copacabana 267</v>
      </c>
      <c r="Q402" t="str">
        <f t="shared" si="35"/>
        <v>Rio de Janeiro</v>
      </c>
      <c r="R402" t="str">
        <f t="shared" si="32"/>
        <v>RJ</v>
      </c>
      <c r="S402" t="str">
        <f t="shared" si="33"/>
        <v>02389-890</v>
      </c>
      <c r="T402" t="str">
        <f t="shared" si="34"/>
        <v>Brazil</v>
      </c>
    </row>
    <row r="403" spans="1:20" x14ac:dyDescent="0.2">
      <c r="A403" s="1">
        <v>10649</v>
      </c>
      <c r="B403" s="3" t="s">
        <v>378</v>
      </c>
      <c r="C403" s="3">
        <v>5</v>
      </c>
      <c r="D403" s="4">
        <v>35670</v>
      </c>
      <c r="E403" s="4">
        <v>35698</v>
      </c>
      <c r="F403" s="4">
        <v>35671</v>
      </c>
      <c r="G403" s="3">
        <v>3</v>
      </c>
      <c r="H403" s="3">
        <v>6.2</v>
      </c>
      <c r="I403" s="3" t="s">
        <v>379</v>
      </c>
      <c r="J403" s="3" t="s">
        <v>380</v>
      </c>
      <c r="K403" s="3" t="s">
        <v>381</v>
      </c>
      <c r="L403" s="3" t="s">
        <v>18</v>
      </c>
      <c r="M403" s="3" t="s">
        <v>382</v>
      </c>
      <c r="N403" s="3" t="s">
        <v>41</v>
      </c>
      <c r="O403" s="2"/>
      <c r="P403" t="str">
        <f t="shared" si="31"/>
        <v>Rue Joseph-Bens 532</v>
      </c>
      <c r="Q403" t="str">
        <f t="shared" si="35"/>
        <v>Bruxelles</v>
      </c>
      <c r="R403" t="str">
        <f t="shared" si="32"/>
        <v>NULL</v>
      </c>
      <c r="S403" t="str">
        <f t="shared" si="33"/>
        <v>B-1180</v>
      </c>
      <c r="T403" t="str">
        <f t="shared" si="34"/>
        <v>Belgium</v>
      </c>
    </row>
    <row r="404" spans="1:20" x14ac:dyDescent="0.2">
      <c r="A404" s="1">
        <v>10650</v>
      </c>
      <c r="B404" s="3" t="s">
        <v>258</v>
      </c>
      <c r="C404" s="3">
        <v>5</v>
      </c>
      <c r="D404" s="4">
        <v>35671</v>
      </c>
      <c r="E404" s="4">
        <v>35699</v>
      </c>
      <c r="F404" s="4">
        <v>35676</v>
      </c>
      <c r="G404" s="3">
        <v>3</v>
      </c>
      <c r="H404" s="3">
        <v>176.81</v>
      </c>
      <c r="I404" s="3" t="s">
        <v>259</v>
      </c>
      <c r="J404" s="3" t="s">
        <v>260</v>
      </c>
      <c r="K404" s="3">
        <v>92</v>
      </c>
      <c r="L404" s="3" t="s">
        <v>173</v>
      </c>
      <c r="M404" s="3" t="s">
        <v>55</v>
      </c>
      <c r="N404" s="3" t="s">
        <v>261</v>
      </c>
      <c r="O404" s="3" t="s">
        <v>31</v>
      </c>
      <c r="P404" t="str">
        <f t="shared" si="31"/>
        <v>Rua Orós 92</v>
      </c>
      <c r="Q404" t="str">
        <f t="shared" si="35"/>
        <v>Sao Paulo</v>
      </c>
      <c r="R404" t="str">
        <f t="shared" si="32"/>
        <v>SP</v>
      </c>
      <c r="S404" t="str">
        <f t="shared" si="33"/>
        <v>05442-030</v>
      </c>
      <c r="T404" t="str">
        <f t="shared" si="34"/>
        <v>Brazil</v>
      </c>
    </row>
    <row r="405" spans="1:20" x14ac:dyDescent="0.2">
      <c r="A405" s="1">
        <v>10651</v>
      </c>
      <c r="B405" s="3" t="s">
        <v>185</v>
      </c>
      <c r="C405" s="3">
        <v>8</v>
      </c>
      <c r="D405" s="4">
        <v>35674</v>
      </c>
      <c r="E405" s="4">
        <v>35702</v>
      </c>
      <c r="F405" s="4">
        <v>35684</v>
      </c>
      <c r="G405" s="3">
        <v>2</v>
      </c>
      <c r="H405" s="3">
        <v>20.6</v>
      </c>
      <c r="I405" s="3" t="s">
        <v>186</v>
      </c>
      <c r="J405" s="3" t="s">
        <v>187</v>
      </c>
      <c r="K405" s="3" t="s">
        <v>188</v>
      </c>
      <c r="L405" s="3" t="s">
        <v>18</v>
      </c>
      <c r="M405" s="3">
        <v>70563</v>
      </c>
      <c r="N405" s="3" t="s">
        <v>24</v>
      </c>
      <c r="O405" s="2"/>
      <c r="P405" t="str">
        <f t="shared" si="31"/>
        <v>Adenauerallee 900</v>
      </c>
      <c r="Q405" t="str">
        <f t="shared" si="35"/>
        <v>Stuttgart</v>
      </c>
      <c r="R405" t="str">
        <f t="shared" si="32"/>
        <v>NULL</v>
      </c>
      <c r="S405">
        <f t="shared" si="33"/>
        <v>70563</v>
      </c>
      <c r="T405" t="str">
        <f t="shared" si="34"/>
        <v>Germany</v>
      </c>
    </row>
    <row r="406" spans="1:20" x14ac:dyDescent="0.2">
      <c r="A406" s="1">
        <v>10652</v>
      </c>
      <c r="B406" s="3" t="s">
        <v>342</v>
      </c>
      <c r="C406" s="3">
        <v>4</v>
      </c>
      <c r="D406" s="4">
        <v>35674</v>
      </c>
      <c r="E406" s="4">
        <v>35702</v>
      </c>
      <c r="F406" s="4">
        <v>35681</v>
      </c>
      <c r="G406" s="3">
        <v>2</v>
      </c>
      <c r="H406" s="3">
        <v>7.14</v>
      </c>
      <c r="I406" s="3" t="s">
        <v>343</v>
      </c>
      <c r="J406" s="3" t="s">
        <v>344</v>
      </c>
      <c r="K406" s="3">
        <v>442</v>
      </c>
      <c r="L406" s="3" t="s">
        <v>345</v>
      </c>
      <c r="M406" s="3" t="s">
        <v>55</v>
      </c>
      <c r="N406" s="3" t="s">
        <v>346</v>
      </c>
      <c r="O406" s="3" t="s">
        <v>31</v>
      </c>
      <c r="P406" t="str">
        <f t="shared" si="31"/>
        <v>Av. Brasil 442</v>
      </c>
      <c r="Q406" t="str">
        <f t="shared" si="35"/>
        <v>Campinas</v>
      </c>
      <c r="R406" t="str">
        <f t="shared" si="32"/>
        <v>SP</v>
      </c>
      <c r="S406" t="str">
        <f t="shared" si="33"/>
        <v>04876-786</v>
      </c>
      <c r="T406" t="str">
        <f t="shared" si="34"/>
        <v>Brazil</v>
      </c>
    </row>
    <row r="407" spans="1:20" x14ac:dyDescent="0.2">
      <c r="A407" s="1">
        <v>10653</v>
      </c>
      <c r="B407" s="3" t="s">
        <v>102</v>
      </c>
      <c r="C407" s="3">
        <v>1</v>
      </c>
      <c r="D407" s="4">
        <v>35675</v>
      </c>
      <c r="E407" s="4">
        <v>35703</v>
      </c>
      <c r="F407" s="4">
        <v>35692</v>
      </c>
      <c r="G407" s="3">
        <v>1</v>
      </c>
      <c r="H407" s="3">
        <v>93.25</v>
      </c>
      <c r="I407" s="3" t="s">
        <v>103</v>
      </c>
      <c r="J407" s="3" t="s">
        <v>104</v>
      </c>
      <c r="K407" s="3" t="s">
        <v>105</v>
      </c>
      <c r="L407" s="3" t="s">
        <v>18</v>
      </c>
      <c r="M407" s="3">
        <v>80805</v>
      </c>
      <c r="N407" s="3" t="s">
        <v>24</v>
      </c>
      <c r="O407" s="2"/>
      <c r="P407" t="str">
        <f t="shared" si="31"/>
        <v>Berliner Platz 43</v>
      </c>
      <c r="Q407" t="str">
        <f t="shared" si="35"/>
        <v>München</v>
      </c>
      <c r="R407" t="str">
        <f t="shared" si="32"/>
        <v>NULL</v>
      </c>
      <c r="S407">
        <f t="shared" si="33"/>
        <v>80805</v>
      </c>
      <c r="T407" t="str">
        <f t="shared" si="34"/>
        <v>Germany</v>
      </c>
    </row>
    <row r="408" spans="1:20" x14ac:dyDescent="0.2">
      <c r="A408" s="1">
        <v>10654</v>
      </c>
      <c r="B408" s="3" t="s">
        <v>137</v>
      </c>
      <c r="C408" s="3">
        <v>5</v>
      </c>
      <c r="D408" s="4">
        <v>35675</v>
      </c>
      <c r="E408" s="4">
        <v>35703</v>
      </c>
      <c r="F408" s="4">
        <v>35684</v>
      </c>
      <c r="G408" s="3">
        <v>1</v>
      </c>
      <c r="H408" s="3">
        <v>55.26</v>
      </c>
      <c r="I408" s="3" t="s">
        <v>138</v>
      </c>
      <c r="J408" s="3" t="s">
        <v>139</v>
      </c>
      <c r="K408" s="3" t="s">
        <v>140</v>
      </c>
      <c r="L408" s="3" t="s">
        <v>18</v>
      </c>
      <c r="M408" s="3" t="s">
        <v>141</v>
      </c>
      <c r="N408" s="3" t="s">
        <v>92</v>
      </c>
      <c r="O408" s="2"/>
      <c r="P408" t="str">
        <f t="shared" si="31"/>
        <v>Berguvsvägen  8</v>
      </c>
      <c r="Q408" t="str">
        <f t="shared" si="35"/>
        <v>Luleå</v>
      </c>
      <c r="R408" t="str">
        <f t="shared" si="32"/>
        <v>NULL</v>
      </c>
      <c r="S408" t="str">
        <f t="shared" si="33"/>
        <v>S-958 22</v>
      </c>
      <c r="T408" t="str">
        <f t="shared" si="34"/>
        <v>Sweden</v>
      </c>
    </row>
    <row r="409" spans="1:20" x14ac:dyDescent="0.2">
      <c r="A409" s="1">
        <v>10655</v>
      </c>
      <c r="B409" s="3" t="s">
        <v>160</v>
      </c>
      <c r="C409" s="3">
        <v>1</v>
      </c>
      <c r="D409" s="4">
        <v>35676</v>
      </c>
      <c r="E409" s="4">
        <v>35704</v>
      </c>
      <c r="F409" s="4">
        <v>35684</v>
      </c>
      <c r="G409" s="3">
        <v>2</v>
      </c>
      <c r="H409" s="3">
        <v>4.41</v>
      </c>
      <c r="I409" s="3" t="s">
        <v>161</v>
      </c>
      <c r="J409" s="3" t="s">
        <v>162</v>
      </c>
      <c r="K409" s="3" t="s">
        <v>163</v>
      </c>
      <c r="L409" s="3" t="s">
        <v>18</v>
      </c>
      <c r="M409" s="3">
        <v>42100</v>
      </c>
      <c r="N409" s="3" t="s">
        <v>129</v>
      </c>
      <c r="O409" s="2"/>
      <c r="P409" t="str">
        <f t="shared" si="31"/>
        <v>Strada Provinciale 124</v>
      </c>
      <c r="Q409" t="str">
        <f t="shared" si="35"/>
        <v>Reggio Emilia</v>
      </c>
      <c r="R409" t="str">
        <f t="shared" si="32"/>
        <v>NULL</v>
      </c>
      <c r="S409">
        <f t="shared" si="33"/>
        <v>42100</v>
      </c>
      <c r="T409" t="str">
        <f t="shared" si="34"/>
        <v>Italy</v>
      </c>
    </row>
    <row r="410" spans="1:20" x14ac:dyDescent="0.2">
      <c r="A410" s="1">
        <v>10656</v>
      </c>
      <c r="B410" s="3" t="s">
        <v>374</v>
      </c>
      <c r="C410" s="3">
        <v>6</v>
      </c>
      <c r="D410" s="4">
        <v>35677</v>
      </c>
      <c r="E410" s="4">
        <v>35705</v>
      </c>
      <c r="F410" s="4">
        <v>35683</v>
      </c>
      <c r="G410" s="3">
        <v>1</v>
      </c>
      <c r="H410" s="3">
        <v>57.15</v>
      </c>
      <c r="I410" s="3" t="s">
        <v>375</v>
      </c>
      <c r="J410" s="3" t="s">
        <v>376</v>
      </c>
      <c r="K410" s="3" t="s">
        <v>377</v>
      </c>
      <c r="L410" s="3" t="s">
        <v>202</v>
      </c>
      <c r="M410" s="3">
        <v>97403</v>
      </c>
      <c r="N410" s="3" t="s">
        <v>86</v>
      </c>
      <c r="O410" s="2"/>
      <c r="P410" t="str">
        <f t="shared" si="31"/>
        <v>2732 Baker Blvd.</v>
      </c>
      <c r="Q410" t="str">
        <f t="shared" si="35"/>
        <v>Eugene</v>
      </c>
      <c r="R410" t="str">
        <f t="shared" si="32"/>
        <v>OR</v>
      </c>
      <c r="S410">
        <f t="shared" si="33"/>
        <v>97403</v>
      </c>
      <c r="T410" t="str">
        <f t="shared" si="34"/>
        <v>USA</v>
      </c>
    </row>
    <row r="411" spans="1:20" x14ac:dyDescent="0.2">
      <c r="A411" s="1">
        <v>10657</v>
      </c>
      <c r="B411" s="3" t="s">
        <v>226</v>
      </c>
      <c r="C411" s="3">
        <v>2</v>
      </c>
      <c r="D411" s="4">
        <v>35677</v>
      </c>
      <c r="E411" s="4">
        <v>35705</v>
      </c>
      <c r="F411" s="4">
        <v>35688</v>
      </c>
      <c r="G411" s="3">
        <v>2</v>
      </c>
      <c r="H411" s="3">
        <v>352.69</v>
      </c>
      <c r="I411" s="3" t="s">
        <v>227</v>
      </c>
      <c r="J411" s="3" t="s">
        <v>228</v>
      </c>
      <c r="K411" s="3" t="s">
        <v>229</v>
      </c>
      <c r="L411" s="3" t="s">
        <v>230</v>
      </c>
      <c r="M411" s="3">
        <v>83720</v>
      </c>
      <c r="N411" s="3" t="s">
        <v>86</v>
      </c>
      <c r="O411" s="2"/>
      <c r="P411" t="str">
        <f t="shared" si="31"/>
        <v>187 Suffolk Ln.</v>
      </c>
      <c r="Q411" t="str">
        <f t="shared" si="35"/>
        <v>Boise</v>
      </c>
      <c r="R411" t="str">
        <f t="shared" si="32"/>
        <v>ID</v>
      </c>
      <c r="S411">
        <f t="shared" si="33"/>
        <v>83720</v>
      </c>
      <c r="T411" t="str">
        <f t="shared" si="34"/>
        <v>USA</v>
      </c>
    </row>
    <row r="412" spans="1:20" x14ac:dyDescent="0.2">
      <c r="A412" s="1">
        <v>10658</v>
      </c>
      <c r="B412" s="3" t="s">
        <v>121</v>
      </c>
      <c r="C412" s="3">
        <v>4</v>
      </c>
      <c r="D412" s="4">
        <v>35678</v>
      </c>
      <c r="E412" s="4">
        <v>35706</v>
      </c>
      <c r="F412" s="4">
        <v>35681</v>
      </c>
      <c r="G412" s="3">
        <v>1</v>
      </c>
      <c r="H412" s="3">
        <v>364.15</v>
      </c>
      <c r="I412" s="3" t="s">
        <v>122</v>
      </c>
      <c r="J412" s="3" t="s">
        <v>123</v>
      </c>
      <c r="K412" s="3" t="s">
        <v>124</v>
      </c>
      <c r="L412" s="3" t="s">
        <v>18</v>
      </c>
      <c r="M412" s="3">
        <v>1307</v>
      </c>
      <c r="N412" s="3" t="s">
        <v>24</v>
      </c>
      <c r="O412" s="2"/>
      <c r="P412" t="str">
        <f t="shared" si="31"/>
        <v>Taucherstraße 10</v>
      </c>
      <c r="Q412" t="str">
        <f t="shared" si="35"/>
        <v>Cunewalde</v>
      </c>
      <c r="R412" t="str">
        <f t="shared" si="32"/>
        <v>NULL</v>
      </c>
      <c r="S412">
        <f t="shared" si="33"/>
        <v>1307</v>
      </c>
      <c r="T412" t="str">
        <f t="shared" si="34"/>
        <v>Germany</v>
      </c>
    </row>
    <row r="413" spans="1:20" x14ac:dyDescent="0.2">
      <c r="A413" s="1">
        <v>10659</v>
      </c>
      <c r="B413" s="3" t="s">
        <v>299</v>
      </c>
      <c r="C413" s="3">
        <v>7</v>
      </c>
      <c r="D413" s="4">
        <v>35678</v>
      </c>
      <c r="E413" s="4">
        <v>35706</v>
      </c>
      <c r="F413" s="4">
        <v>35683</v>
      </c>
      <c r="G413" s="3">
        <v>2</v>
      </c>
      <c r="H413" s="3">
        <v>105.81</v>
      </c>
      <c r="I413" s="3" t="s">
        <v>300</v>
      </c>
      <c r="J413" s="3" t="s">
        <v>301</v>
      </c>
      <c r="K413" s="3">
        <v>891</v>
      </c>
      <c r="L413" s="3" t="s">
        <v>173</v>
      </c>
      <c r="M413" s="3" t="s">
        <v>55</v>
      </c>
      <c r="N413" s="3" t="s">
        <v>302</v>
      </c>
      <c r="O413" s="3" t="s">
        <v>31</v>
      </c>
      <c r="P413" t="str">
        <f t="shared" si="31"/>
        <v>Alameda dos Canàrios 891</v>
      </c>
      <c r="Q413" t="str">
        <f t="shared" si="35"/>
        <v>Sao Paulo</v>
      </c>
      <c r="R413" t="str">
        <f t="shared" si="32"/>
        <v>SP</v>
      </c>
      <c r="S413" t="str">
        <f t="shared" si="33"/>
        <v>05487-020</v>
      </c>
      <c r="T413" t="str">
        <f t="shared" si="34"/>
        <v>Brazil</v>
      </c>
    </row>
    <row r="414" spans="1:20" x14ac:dyDescent="0.2">
      <c r="A414" s="1">
        <v>10660</v>
      </c>
      <c r="B414" s="3" t="s">
        <v>309</v>
      </c>
      <c r="C414" s="3">
        <v>8</v>
      </c>
      <c r="D414" s="4">
        <v>35681</v>
      </c>
      <c r="E414" s="4">
        <v>35709</v>
      </c>
      <c r="F414" s="4">
        <v>35718</v>
      </c>
      <c r="G414" s="3">
        <v>1</v>
      </c>
      <c r="H414" s="3">
        <v>111.29</v>
      </c>
      <c r="I414" s="3" t="s">
        <v>310</v>
      </c>
      <c r="J414" s="3" t="s">
        <v>311</v>
      </c>
      <c r="K414" s="3" t="s">
        <v>312</v>
      </c>
      <c r="L414" s="3" t="s">
        <v>202</v>
      </c>
      <c r="M414" s="3">
        <v>97827</v>
      </c>
      <c r="N414" s="3" t="s">
        <v>86</v>
      </c>
      <c r="O414" s="2"/>
      <c r="P414" t="str">
        <f t="shared" si="31"/>
        <v>City Center Plaza 516 Main St.</v>
      </c>
      <c r="Q414" t="str">
        <f t="shared" si="35"/>
        <v>Elgin</v>
      </c>
      <c r="R414" t="str">
        <f t="shared" si="32"/>
        <v>OR</v>
      </c>
      <c r="S414">
        <f t="shared" si="33"/>
        <v>97827</v>
      </c>
      <c r="T414" t="str">
        <f t="shared" si="34"/>
        <v>USA</v>
      </c>
    </row>
    <row r="415" spans="1:20" x14ac:dyDescent="0.2">
      <c r="A415" s="1">
        <v>10661</v>
      </c>
      <c r="B415" s="3" t="s">
        <v>179</v>
      </c>
      <c r="C415" s="3">
        <v>7</v>
      </c>
      <c r="D415" s="4">
        <v>35682</v>
      </c>
      <c r="E415" s="4">
        <v>35710</v>
      </c>
      <c r="F415" s="4">
        <v>35688</v>
      </c>
      <c r="G415" s="3">
        <v>3</v>
      </c>
      <c r="H415" s="3">
        <v>17.55</v>
      </c>
      <c r="I415" s="3" t="s">
        <v>180</v>
      </c>
      <c r="J415" s="3" t="s">
        <v>181</v>
      </c>
      <c r="K415" s="3" t="s">
        <v>182</v>
      </c>
      <c r="L415" s="3" t="s">
        <v>183</v>
      </c>
      <c r="M415" s="3" t="s">
        <v>18</v>
      </c>
      <c r="N415" s="3" t="s">
        <v>184</v>
      </c>
      <c r="O415" s="2"/>
      <c r="P415" t="str">
        <f t="shared" si="31"/>
        <v>8 Johnstown Road</v>
      </c>
      <c r="Q415" t="str">
        <f t="shared" si="35"/>
        <v>Cork</v>
      </c>
      <c r="R415" t="str">
        <f t="shared" si="32"/>
        <v>Co. Cork</v>
      </c>
      <c r="S415" t="str">
        <f t="shared" si="33"/>
        <v>NULL</v>
      </c>
      <c r="T415" t="str">
        <f t="shared" si="34"/>
        <v>Ireland</v>
      </c>
    </row>
    <row r="416" spans="1:20" x14ac:dyDescent="0.2">
      <c r="A416" s="1">
        <v>10662</v>
      </c>
      <c r="B416" s="3" t="s">
        <v>198</v>
      </c>
      <c r="C416" s="3">
        <v>3</v>
      </c>
      <c r="D416" s="4">
        <v>35682</v>
      </c>
      <c r="E416" s="4">
        <v>35710</v>
      </c>
      <c r="F416" s="4">
        <v>35691</v>
      </c>
      <c r="G416" s="3">
        <v>2</v>
      </c>
      <c r="H416" s="3">
        <v>1.28</v>
      </c>
      <c r="I416" s="3" t="s">
        <v>199</v>
      </c>
      <c r="J416" s="3" t="s">
        <v>200</v>
      </c>
      <c r="K416" s="3" t="s">
        <v>201</v>
      </c>
      <c r="L416" s="3" t="s">
        <v>202</v>
      </c>
      <c r="M416" s="3">
        <v>97219</v>
      </c>
      <c r="N416" s="3" t="s">
        <v>86</v>
      </c>
      <c r="O416" s="2"/>
      <c r="P416" t="str">
        <f t="shared" si="31"/>
        <v>89 Chiaroscuro Rd.</v>
      </c>
      <c r="Q416" t="str">
        <f t="shared" si="35"/>
        <v>Portland</v>
      </c>
      <c r="R416" t="str">
        <f t="shared" si="32"/>
        <v>OR</v>
      </c>
      <c r="S416">
        <f t="shared" si="33"/>
        <v>97219</v>
      </c>
      <c r="T416" t="str">
        <f t="shared" si="34"/>
        <v>USA</v>
      </c>
    </row>
    <row r="417" spans="1:20" x14ac:dyDescent="0.2">
      <c r="A417" s="1">
        <v>10663</v>
      </c>
      <c r="B417" s="3" t="s">
        <v>239</v>
      </c>
      <c r="C417" s="3">
        <v>2</v>
      </c>
      <c r="D417" s="4">
        <v>35683</v>
      </c>
      <c r="E417" s="4">
        <v>35697</v>
      </c>
      <c r="F417" s="4">
        <v>35706</v>
      </c>
      <c r="G417" s="3">
        <v>2</v>
      </c>
      <c r="H417" s="3">
        <v>113.15</v>
      </c>
      <c r="I417" s="3" t="s">
        <v>240</v>
      </c>
      <c r="J417" s="3">
        <v>12</v>
      </c>
      <c r="K417" s="3" t="s">
        <v>241</v>
      </c>
      <c r="L417" s="3" t="s">
        <v>242</v>
      </c>
      <c r="M417" s="3" t="s">
        <v>18</v>
      </c>
      <c r="N417" s="3">
        <v>13008</v>
      </c>
      <c r="O417" s="3" t="s">
        <v>19</v>
      </c>
      <c r="P417" t="str">
        <f t="shared" si="31"/>
        <v>12  rue des Bouchers</v>
      </c>
      <c r="Q417" t="str">
        <f t="shared" si="35"/>
        <v>Marseille</v>
      </c>
      <c r="R417" t="str">
        <f t="shared" si="32"/>
        <v>NULL</v>
      </c>
      <c r="S417">
        <f t="shared" si="33"/>
        <v>13008</v>
      </c>
      <c r="T417" t="str">
        <f t="shared" si="34"/>
        <v>France</v>
      </c>
    </row>
    <row r="418" spans="1:20" x14ac:dyDescent="0.2">
      <c r="A418" s="1">
        <v>10664</v>
      </c>
      <c r="B418" s="3" t="s">
        <v>234</v>
      </c>
      <c r="C418" s="3">
        <v>1</v>
      </c>
      <c r="D418" s="4">
        <v>35683</v>
      </c>
      <c r="E418" s="4">
        <v>35711</v>
      </c>
      <c r="F418" s="4">
        <v>35692</v>
      </c>
      <c r="G418" s="3">
        <v>3</v>
      </c>
      <c r="H418" s="3">
        <v>1.27</v>
      </c>
      <c r="I418" s="3" t="s">
        <v>235</v>
      </c>
      <c r="J418" s="3" t="s">
        <v>236</v>
      </c>
      <c r="K418" s="3" t="s">
        <v>237</v>
      </c>
      <c r="L418" s="3" t="s">
        <v>18</v>
      </c>
      <c r="M418" s="3">
        <v>1675</v>
      </c>
      <c r="N418" s="3" t="s">
        <v>238</v>
      </c>
      <c r="O418" s="2"/>
      <c r="P418" t="str">
        <f t="shared" si="31"/>
        <v>Jardim das rosas n. 32</v>
      </c>
      <c r="Q418" t="str">
        <f t="shared" si="35"/>
        <v>Lisboa</v>
      </c>
      <c r="R418" t="str">
        <f t="shared" si="32"/>
        <v>NULL</v>
      </c>
      <c r="S418">
        <f t="shared" si="33"/>
        <v>1675</v>
      </c>
      <c r="T418" t="str">
        <f t="shared" si="34"/>
        <v>Portugal</v>
      </c>
    </row>
    <row r="419" spans="1:20" x14ac:dyDescent="0.2">
      <c r="A419" s="1">
        <v>10665</v>
      </c>
      <c r="B419" s="3" t="s">
        <v>198</v>
      </c>
      <c r="C419" s="3">
        <v>1</v>
      </c>
      <c r="D419" s="4">
        <v>35684</v>
      </c>
      <c r="E419" s="4">
        <v>35712</v>
      </c>
      <c r="F419" s="4">
        <v>35690</v>
      </c>
      <c r="G419" s="3">
        <v>2</v>
      </c>
      <c r="H419" s="3">
        <v>26.31</v>
      </c>
      <c r="I419" s="3" t="s">
        <v>199</v>
      </c>
      <c r="J419" s="3" t="s">
        <v>200</v>
      </c>
      <c r="K419" s="3" t="s">
        <v>201</v>
      </c>
      <c r="L419" s="3" t="s">
        <v>202</v>
      </c>
      <c r="M419" s="3">
        <v>97219</v>
      </c>
      <c r="N419" s="3" t="s">
        <v>86</v>
      </c>
      <c r="O419" s="2"/>
      <c r="P419" t="str">
        <f t="shared" si="31"/>
        <v>89 Chiaroscuro Rd.</v>
      </c>
      <c r="Q419" t="str">
        <f t="shared" si="35"/>
        <v>Portland</v>
      </c>
      <c r="R419" t="str">
        <f t="shared" si="32"/>
        <v>OR</v>
      </c>
      <c r="S419">
        <f t="shared" si="33"/>
        <v>97219</v>
      </c>
      <c r="T419" t="str">
        <f t="shared" si="34"/>
        <v>USA</v>
      </c>
    </row>
    <row r="420" spans="1:20" x14ac:dyDescent="0.2">
      <c r="A420" s="1">
        <v>10666</v>
      </c>
      <c r="B420" s="3" t="s">
        <v>47</v>
      </c>
      <c r="C420" s="3">
        <v>7</v>
      </c>
      <c r="D420" s="4">
        <v>35685</v>
      </c>
      <c r="E420" s="4">
        <v>35713</v>
      </c>
      <c r="F420" s="4">
        <v>35695</v>
      </c>
      <c r="G420" s="3">
        <v>2</v>
      </c>
      <c r="H420" s="3">
        <v>232.42</v>
      </c>
      <c r="I420" s="3" t="s">
        <v>48</v>
      </c>
      <c r="J420" s="3" t="s">
        <v>49</v>
      </c>
      <c r="K420" s="3" t="s">
        <v>50</v>
      </c>
      <c r="L420" s="3" t="s">
        <v>18</v>
      </c>
      <c r="M420" s="3">
        <v>1204</v>
      </c>
      <c r="N420" s="3" t="s">
        <v>46</v>
      </c>
      <c r="O420" s="2"/>
      <c r="P420" t="str">
        <f t="shared" si="31"/>
        <v>Starenweg 5</v>
      </c>
      <c r="Q420" t="str">
        <f t="shared" si="35"/>
        <v>Genève</v>
      </c>
      <c r="R420" t="str">
        <f t="shared" si="32"/>
        <v>NULL</v>
      </c>
      <c r="S420">
        <f t="shared" si="33"/>
        <v>1204</v>
      </c>
      <c r="T420" t="str">
        <f t="shared" si="34"/>
        <v>Switzerland</v>
      </c>
    </row>
    <row r="421" spans="1:20" x14ac:dyDescent="0.2">
      <c r="A421" s="1">
        <v>10667</v>
      </c>
      <c r="B421" s="3" t="s">
        <v>63</v>
      </c>
      <c r="C421" s="3">
        <v>7</v>
      </c>
      <c r="D421" s="4">
        <v>35685</v>
      </c>
      <c r="E421" s="4">
        <v>35713</v>
      </c>
      <c r="F421" s="4">
        <v>35692</v>
      </c>
      <c r="G421" s="3">
        <v>1</v>
      </c>
      <c r="H421" s="3">
        <v>78.09</v>
      </c>
      <c r="I421" s="3" t="s">
        <v>64</v>
      </c>
      <c r="J421" s="3" t="s">
        <v>65</v>
      </c>
      <c r="K421" s="3" t="s">
        <v>66</v>
      </c>
      <c r="L421" s="3" t="s">
        <v>18</v>
      </c>
      <c r="M421" s="3">
        <v>8010</v>
      </c>
      <c r="N421" s="3" t="s">
        <v>67</v>
      </c>
      <c r="O421" s="2"/>
      <c r="P421" t="str">
        <f t="shared" si="31"/>
        <v>Kirchgasse 6</v>
      </c>
      <c r="Q421" t="str">
        <f t="shared" si="35"/>
        <v>Graz</v>
      </c>
      <c r="R421" t="str">
        <f t="shared" si="32"/>
        <v>NULL</v>
      </c>
      <c r="S421">
        <f t="shared" si="33"/>
        <v>8010</v>
      </c>
      <c r="T421" t="str">
        <f t="shared" si="34"/>
        <v>Austria</v>
      </c>
    </row>
    <row r="422" spans="1:20" x14ac:dyDescent="0.2">
      <c r="A422" s="1">
        <v>10668</v>
      </c>
      <c r="B422" s="3" t="s">
        <v>185</v>
      </c>
      <c r="C422" s="3">
        <v>1</v>
      </c>
      <c r="D422" s="4">
        <v>35688</v>
      </c>
      <c r="E422" s="4">
        <v>35716</v>
      </c>
      <c r="F422" s="4">
        <v>35696</v>
      </c>
      <c r="G422" s="3">
        <v>2</v>
      </c>
      <c r="H422" s="3">
        <v>47.22</v>
      </c>
      <c r="I422" s="3" t="s">
        <v>186</v>
      </c>
      <c r="J422" s="3" t="s">
        <v>187</v>
      </c>
      <c r="K422" s="3" t="s">
        <v>188</v>
      </c>
      <c r="L422" s="3" t="s">
        <v>18</v>
      </c>
      <c r="M422" s="3">
        <v>70563</v>
      </c>
      <c r="N422" s="3" t="s">
        <v>24</v>
      </c>
      <c r="O422" s="2"/>
      <c r="P422" t="str">
        <f t="shared" si="31"/>
        <v>Adenauerallee 900</v>
      </c>
      <c r="Q422" t="str">
        <f t="shared" si="35"/>
        <v>Stuttgart</v>
      </c>
      <c r="R422" t="str">
        <f t="shared" si="32"/>
        <v>NULL</v>
      </c>
      <c r="S422">
        <f t="shared" si="33"/>
        <v>70563</v>
      </c>
      <c r="T422" t="str">
        <f t="shared" si="34"/>
        <v>Germany</v>
      </c>
    </row>
    <row r="423" spans="1:20" x14ac:dyDescent="0.2">
      <c r="A423" s="1">
        <v>10669</v>
      </c>
      <c r="B423" s="3" t="s">
        <v>253</v>
      </c>
      <c r="C423" s="3">
        <v>2</v>
      </c>
      <c r="D423" s="4">
        <v>35688</v>
      </c>
      <c r="E423" s="4">
        <v>35716</v>
      </c>
      <c r="F423" s="4">
        <v>35695</v>
      </c>
      <c r="G423" s="3">
        <v>1</v>
      </c>
      <c r="H423" s="3">
        <v>24.39</v>
      </c>
      <c r="I423" s="3" t="s">
        <v>254</v>
      </c>
      <c r="J423" s="3" t="s">
        <v>255</v>
      </c>
      <c r="K423" s="3" t="s">
        <v>256</v>
      </c>
      <c r="L423" s="3" t="s">
        <v>18</v>
      </c>
      <c r="M423" s="3">
        <v>1734</v>
      </c>
      <c r="N423" s="3" t="s">
        <v>257</v>
      </c>
      <c r="O423" s="2"/>
      <c r="P423" t="str">
        <f t="shared" si="31"/>
        <v>Vinbæltet 34</v>
      </c>
      <c r="Q423" t="str">
        <f t="shared" si="35"/>
        <v>Kobenhavn</v>
      </c>
      <c r="R423" t="str">
        <f t="shared" si="32"/>
        <v>NULL</v>
      </c>
      <c r="S423">
        <f t="shared" si="33"/>
        <v>1734</v>
      </c>
      <c r="T423" t="str">
        <f t="shared" si="34"/>
        <v>Denmark</v>
      </c>
    </row>
    <row r="424" spans="1:20" x14ac:dyDescent="0.2">
      <c r="A424" s="1">
        <v>10670</v>
      </c>
      <c r="B424" s="3" t="s">
        <v>102</v>
      </c>
      <c r="C424" s="3">
        <v>4</v>
      </c>
      <c r="D424" s="4">
        <v>35689</v>
      </c>
      <c r="E424" s="4">
        <v>35717</v>
      </c>
      <c r="F424" s="4">
        <v>35691</v>
      </c>
      <c r="G424" s="3">
        <v>1</v>
      </c>
      <c r="H424" s="3">
        <v>203.48</v>
      </c>
      <c r="I424" s="3" t="s">
        <v>103</v>
      </c>
      <c r="J424" s="3" t="s">
        <v>104</v>
      </c>
      <c r="K424" s="3" t="s">
        <v>105</v>
      </c>
      <c r="L424" s="3" t="s">
        <v>18</v>
      </c>
      <c r="M424" s="3">
        <v>80805</v>
      </c>
      <c r="N424" s="3" t="s">
        <v>24</v>
      </c>
      <c r="O424" s="2"/>
      <c r="P424" t="str">
        <f t="shared" si="31"/>
        <v>Berliner Platz 43</v>
      </c>
      <c r="Q424" t="str">
        <f t="shared" si="35"/>
        <v>München</v>
      </c>
      <c r="R424" t="str">
        <f t="shared" si="32"/>
        <v>NULL</v>
      </c>
      <c r="S424">
        <f t="shared" si="33"/>
        <v>80805</v>
      </c>
      <c r="T424" t="str">
        <f t="shared" si="34"/>
        <v>Germany</v>
      </c>
    </row>
    <row r="425" spans="1:20" x14ac:dyDescent="0.2">
      <c r="A425" s="1">
        <v>10671</v>
      </c>
      <c r="B425" s="3" t="s">
        <v>405</v>
      </c>
      <c r="C425" s="3">
        <v>1</v>
      </c>
      <c r="D425" s="4">
        <v>35690</v>
      </c>
      <c r="E425" s="4">
        <v>35718</v>
      </c>
      <c r="F425" s="4">
        <v>35697</v>
      </c>
      <c r="G425" s="3">
        <v>1</v>
      </c>
      <c r="H425" s="3">
        <v>30.34</v>
      </c>
      <c r="I425" s="3" t="s">
        <v>406</v>
      </c>
      <c r="J425" s="3">
        <v>54</v>
      </c>
      <c r="K425" s="3" t="s">
        <v>407</v>
      </c>
      <c r="L425" s="3" t="s">
        <v>212</v>
      </c>
      <c r="M425" s="3" t="s">
        <v>18</v>
      </c>
      <c r="N425" s="3">
        <v>44000</v>
      </c>
      <c r="O425" s="3" t="s">
        <v>19</v>
      </c>
      <c r="P425" t="str">
        <f t="shared" si="31"/>
        <v>54  rue Royale</v>
      </c>
      <c r="Q425" t="str">
        <f t="shared" si="35"/>
        <v>Nantes</v>
      </c>
      <c r="R425" t="str">
        <f t="shared" si="32"/>
        <v>NULL</v>
      </c>
      <c r="S425">
        <f t="shared" si="33"/>
        <v>44000</v>
      </c>
      <c r="T425" t="str">
        <f t="shared" si="34"/>
        <v>France</v>
      </c>
    </row>
    <row r="426" spans="1:20" x14ac:dyDescent="0.2">
      <c r="A426" s="1">
        <v>10672</v>
      </c>
      <c r="B426" s="3" t="s">
        <v>137</v>
      </c>
      <c r="C426" s="3">
        <v>9</v>
      </c>
      <c r="D426" s="4">
        <v>35690</v>
      </c>
      <c r="E426" s="4">
        <v>35704</v>
      </c>
      <c r="F426" s="4">
        <v>35699</v>
      </c>
      <c r="G426" s="3">
        <v>2</v>
      </c>
      <c r="H426" s="3">
        <v>95.75</v>
      </c>
      <c r="I426" s="3" t="s">
        <v>138</v>
      </c>
      <c r="J426" s="3" t="s">
        <v>139</v>
      </c>
      <c r="K426" s="3" t="s">
        <v>140</v>
      </c>
      <c r="L426" s="3" t="s">
        <v>18</v>
      </c>
      <c r="M426" s="3" t="s">
        <v>141</v>
      </c>
      <c r="N426" s="3" t="s">
        <v>92</v>
      </c>
      <c r="O426" s="2"/>
      <c r="P426" t="str">
        <f t="shared" si="31"/>
        <v>Berguvsvägen  8</v>
      </c>
      <c r="Q426" t="str">
        <f t="shared" si="35"/>
        <v>Luleå</v>
      </c>
      <c r="R426" t="str">
        <f t="shared" si="32"/>
        <v>NULL</v>
      </c>
      <c r="S426" t="str">
        <f t="shared" si="33"/>
        <v>S-958 22</v>
      </c>
      <c r="T426" t="str">
        <f t="shared" si="34"/>
        <v>Sweden</v>
      </c>
    </row>
    <row r="427" spans="1:20" x14ac:dyDescent="0.2">
      <c r="A427" s="1">
        <v>10673</v>
      </c>
      <c r="B427" s="3" t="s">
        <v>392</v>
      </c>
      <c r="C427" s="3">
        <v>2</v>
      </c>
      <c r="D427" s="4">
        <v>35691</v>
      </c>
      <c r="E427" s="4">
        <v>35719</v>
      </c>
      <c r="F427" s="4">
        <v>35692</v>
      </c>
      <c r="G427" s="3">
        <v>1</v>
      </c>
      <c r="H427" s="3">
        <v>22.76</v>
      </c>
      <c r="I427" s="3" t="s">
        <v>393</v>
      </c>
      <c r="J427" s="3" t="s">
        <v>394</v>
      </c>
      <c r="K427" s="3" t="s">
        <v>395</v>
      </c>
      <c r="L427" s="3" t="s">
        <v>18</v>
      </c>
      <c r="M427" s="3">
        <v>21240</v>
      </c>
      <c r="N427" s="3" t="s">
        <v>101</v>
      </c>
      <c r="O427" s="2"/>
      <c r="P427" t="str">
        <f t="shared" si="31"/>
        <v>Keskuskatu 45</v>
      </c>
      <c r="Q427" t="str">
        <f t="shared" si="35"/>
        <v>Helsinki</v>
      </c>
      <c r="R427" t="str">
        <f t="shared" si="32"/>
        <v>NULL</v>
      </c>
      <c r="S427">
        <f t="shared" si="33"/>
        <v>21240</v>
      </c>
      <c r="T427" t="str">
        <f t="shared" si="34"/>
        <v>Finland</v>
      </c>
    </row>
    <row r="428" spans="1:20" x14ac:dyDescent="0.2">
      <c r="A428" s="1">
        <v>10674</v>
      </c>
      <c r="B428" s="3" t="s">
        <v>213</v>
      </c>
      <c r="C428" s="3">
        <v>4</v>
      </c>
      <c r="D428" s="4">
        <v>35691</v>
      </c>
      <c r="E428" s="4">
        <v>35719</v>
      </c>
      <c r="F428" s="4">
        <v>35703</v>
      </c>
      <c r="G428" s="3">
        <v>2</v>
      </c>
      <c r="H428" s="3">
        <v>0.9</v>
      </c>
      <c r="I428" s="3" t="s">
        <v>214</v>
      </c>
      <c r="J428" s="3" t="s">
        <v>215</v>
      </c>
      <c r="K428" s="3" t="s">
        <v>216</v>
      </c>
      <c r="L428" s="3" t="s">
        <v>217</v>
      </c>
      <c r="M428" s="3" t="s">
        <v>218</v>
      </c>
      <c r="N428" s="3" t="s">
        <v>169</v>
      </c>
      <c r="O428" s="2"/>
      <c r="P428" t="str">
        <f t="shared" si="31"/>
        <v>Garden House Crowther Way</v>
      </c>
      <c r="Q428" t="str">
        <f t="shared" si="35"/>
        <v>Cowes</v>
      </c>
      <c r="R428" t="str">
        <f t="shared" si="32"/>
        <v>Isle of Wight</v>
      </c>
      <c r="S428" t="str">
        <f t="shared" si="33"/>
        <v>PO31 7PJ</v>
      </c>
      <c r="T428" t="str">
        <f t="shared" si="34"/>
        <v>UK</v>
      </c>
    </row>
    <row r="429" spans="1:20" x14ac:dyDescent="0.2">
      <c r="A429" s="1">
        <v>10675</v>
      </c>
      <c r="B429" s="3" t="s">
        <v>102</v>
      </c>
      <c r="C429" s="3">
        <v>5</v>
      </c>
      <c r="D429" s="4">
        <v>35692</v>
      </c>
      <c r="E429" s="4">
        <v>35720</v>
      </c>
      <c r="F429" s="4">
        <v>35696</v>
      </c>
      <c r="G429" s="3">
        <v>2</v>
      </c>
      <c r="H429" s="3">
        <v>31.85</v>
      </c>
      <c r="I429" s="3" t="s">
        <v>103</v>
      </c>
      <c r="J429" s="3" t="s">
        <v>104</v>
      </c>
      <c r="K429" s="3" t="s">
        <v>105</v>
      </c>
      <c r="L429" s="3" t="s">
        <v>18</v>
      </c>
      <c r="M429" s="3">
        <v>80805</v>
      </c>
      <c r="N429" s="3" t="s">
        <v>24</v>
      </c>
      <c r="O429" s="2"/>
      <c r="P429" t="str">
        <f t="shared" si="31"/>
        <v>Berliner Platz 43</v>
      </c>
      <c r="Q429" t="str">
        <f t="shared" si="35"/>
        <v>München</v>
      </c>
      <c r="R429" t="str">
        <f t="shared" si="32"/>
        <v>NULL</v>
      </c>
      <c r="S429">
        <f t="shared" si="33"/>
        <v>80805</v>
      </c>
      <c r="T429" t="str">
        <f t="shared" si="34"/>
        <v>Germany</v>
      </c>
    </row>
    <row r="430" spans="1:20" x14ac:dyDescent="0.2">
      <c r="A430" s="1">
        <v>10676</v>
      </c>
      <c r="B430" s="3" t="s">
        <v>130</v>
      </c>
      <c r="C430" s="3">
        <v>2</v>
      </c>
      <c r="D430" s="4">
        <v>35695</v>
      </c>
      <c r="E430" s="4">
        <v>35723</v>
      </c>
      <c r="F430" s="4">
        <v>35702</v>
      </c>
      <c r="G430" s="3">
        <v>2</v>
      </c>
      <c r="H430" s="3">
        <v>2.0099999999999998</v>
      </c>
      <c r="I430" s="3" t="s">
        <v>131</v>
      </c>
      <c r="J430" s="3" t="s">
        <v>132</v>
      </c>
      <c r="K430" s="3" t="s">
        <v>71</v>
      </c>
      <c r="L430" s="3" t="s">
        <v>18</v>
      </c>
      <c r="M430" s="3">
        <v>5033</v>
      </c>
      <c r="N430" s="3" t="s">
        <v>72</v>
      </c>
      <c r="O430" s="2"/>
      <c r="P430" t="str">
        <f t="shared" si="31"/>
        <v>Avda. Azteca 123</v>
      </c>
      <c r="Q430" t="str">
        <f t="shared" si="35"/>
        <v>México D.F.</v>
      </c>
      <c r="R430" t="str">
        <f t="shared" si="32"/>
        <v>NULL</v>
      </c>
      <c r="S430">
        <f t="shared" si="33"/>
        <v>5033</v>
      </c>
      <c r="T430" t="str">
        <f t="shared" si="34"/>
        <v>Mexico</v>
      </c>
    </row>
    <row r="431" spans="1:20" x14ac:dyDescent="0.2">
      <c r="A431" s="1">
        <v>10677</v>
      </c>
      <c r="B431" s="3" t="s">
        <v>288</v>
      </c>
      <c r="C431" s="3">
        <v>1</v>
      </c>
      <c r="D431" s="4">
        <v>35695</v>
      </c>
      <c r="E431" s="4">
        <v>35723</v>
      </c>
      <c r="F431" s="4">
        <v>35699</v>
      </c>
      <c r="G431" s="3">
        <v>3</v>
      </c>
      <c r="H431" s="3">
        <v>4.03</v>
      </c>
      <c r="I431" s="3" t="s">
        <v>289</v>
      </c>
      <c r="J431" s="3" t="s">
        <v>290</v>
      </c>
      <c r="K431" s="3" t="s">
        <v>71</v>
      </c>
      <c r="L431" s="3" t="s">
        <v>18</v>
      </c>
      <c r="M431" s="3">
        <v>5023</v>
      </c>
      <c r="N431" s="3" t="s">
        <v>72</v>
      </c>
      <c r="O431" s="2"/>
      <c r="P431" t="str">
        <f t="shared" si="31"/>
        <v>Mataderos  2312</v>
      </c>
      <c r="Q431" t="str">
        <f t="shared" si="35"/>
        <v>México D.F.</v>
      </c>
      <c r="R431" t="str">
        <f t="shared" si="32"/>
        <v>NULL</v>
      </c>
      <c r="S431">
        <f t="shared" si="33"/>
        <v>5023</v>
      </c>
      <c r="T431" t="str">
        <f t="shared" si="34"/>
        <v>Mexico</v>
      </c>
    </row>
    <row r="432" spans="1:20" x14ac:dyDescent="0.2">
      <c r="A432" s="1">
        <v>10678</v>
      </c>
      <c r="B432" s="3" t="s">
        <v>226</v>
      </c>
      <c r="C432" s="3">
        <v>7</v>
      </c>
      <c r="D432" s="4">
        <v>35696</v>
      </c>
      <c r="E432" s="4">
        <v>35724</v>
      </c>
      <c r="F432" s="4">
        <v>35719</v>
      </c>
      <c r="G432" s="3">
        <v>3</v>
      </c>
      <c r="H432" s="3">
        <v>388.98</v>
      </c>
      <c r="I432" s="3" t="s">
        <v>227</v>
      </c>
      <c r="J432" s="3" t="s">
        <v>228</v>
      </c>
      <c r="K432" s="3" t="s">
        <v>229</v>
      </c>
      <c r="L432" s="3" t="s">
        <v>230</v>
      </c>
      <c r="M432" s="3">
        <v>83720</v>
      </c>
      <c r="N432" s="3" t="s">
        <v>86</v>
      </c>
      <c r="O432" s="2"/>
      <c r="P432" t="str">
        <f t="shared" si="31"/>
        <v>187 Suffolk Ln.</v>
      </c>
      <c r="Q432" t="str">
        <f t="shared" si="35"/>
        <v>Boise</v>
      </c>
      <c r="R432" t="str">
        <f t="shared" si="32"/>
        <v>ID</v>
      </c>
      <c r="S432">
        <f t="shared" si="33"/>
        <v>83720</v>
      </c>
      <c r="T432" t="str">
        <f t="shared" si="34"/>
        <v>USA</v>
      </c>
    </row>
    <row r="433" spans="1:20" x14ac:dyDescent="0.2">
      <c r="A433" s="1">
        <v>10679</v>
      </c>
      <c r="B433" s="3" t="s">
        <v>93</v>
      </c>
      <c r="C433" s="3">
        <v>8</v>
      </c>
      <c r="D433" s="4">
        <v>35696</v>
      </c>
      <c r="E433" s="4">
        <v>35724</v>
      </c>
      <c r="F433" s="4">
        <v>35703</v>
      </c>
      <c r="G433" s="3">
        <v>3</v>
      </c>
      <c r="H433" s="3">
        <v>27.94</v>
      </c>
      <c r="I433" s="3" t="s">
        <v>94</v>
      </c>
      <c r="J433" s="3">
        <v>24</v>
      </c>
      <c r="K433" s="3" t="s">
        <v>95</v>
      </c>
      <c r="L433" s="3" t="s">
        <v>96</v>
      </c>
      <c r="M433" s="3" t="s">
        <v>18</v>
      </c>
      <c r="N433" s="3">
        <v>67000</v>
      </c>
      <c r="O433" s="3" t="s">
        <v>19</v>
      </c>
      <c r="P433" t="str">
        <f t="shared" si="31"/>
        <v>24  place Kléber</v>
      </c>
      <c r="Q433" t="str">
        <f t="shared" si="35"/>
        <v>Strasbourg</v>
      </c>
      <c r="R433" t="str">
        <f t="shared" si="32"/>
        <v>NULL</v>
      </c>
      <c r="S433">
        <f t="shared" si="33"/>
        <v>67000</v>
      </c>
      <c r="T433" t="str">
        <f t="shared" si="34"/>
        <v>France</v>
      </c>
    </row>
    <row r="434" spans="1:20" x14ac:dyDescent="0.2">
      <c r="A434" s="1">
        <v>10680</v>
      </c>
      <c r="B434" s="3" t="s">
        <v>193</v>
      </c>
      <c r="C434" s="3">
        <v>1</v>
      </c>
      <c r="D434" s="4">
        <v>35697</v>
      </c>
      <c r="E434" s="4">
        <v>35725</v>
      </c>
      <c r="F434" s="4">
        <v>35699</v>
      </c>
      <c r="G434" s="3">
        <v>1</v>
      </c>
      <c r="H434" s="3">
        <v>26.61</v>
      </c>
      <c r="I434" s="3" t="s">
        <v>194</v>
      </c>
      <c r="J434" s="3" t="s">
        <v>195</v>
      </c>
      <c r="K434" s="3" t="s">
        <v>196</v>
      </c>
      <c r="L434" s="3" t="s">
        <v>197</v>
      </c>
      <c r="M434" s="3">
        <v>99508</v>
      </c>
      <c r="N434" s="3" t="s">
        <v>86</v>
      </c>
      <c r="O434" s="2"/>
      <c r="P434" t="str">
        <f t="shared" si="31"/>
        <v>2743 Bering St.</v>
      </c>
      <c r="Q434" t="str">
        <f t="shared" si="35"/>
        <v>Anchorage</v>
      </c>
      <c r="R434" t="str">
        <f t="shared" si="32"/>
        <v>AK</v>
      </c>
      <c r="S434">
        <f t="shared" si="33"/>
        <v>99508</v>
      </c>
      <c r="T434" t="str">
        <f t="shared" si="34"/>
        <v>USA</v>
      </c>
    </row>
    <row r="435" spans="1:20" x14ac:dyDescent="0.2">
      <c r="A435" s="1">
        <v>10681</v>
      </c>
      <c r="B435" s="3" t="s">
        <v>374</v>
      </c>
      <c r="C435" s="3">
        <v>3</v>
      </c>
      <c r="D435" s="4">
        <v>35698</v>
      </c>
      <c r="E435" s="4">
        <v>35726</v>
      </c>
      <c r="F435" s="4">
        <v>35703</v>
      </c>
      <c r="G435" s="3">
        <v>3</v>
      </c>
      <c r="H435" s="3">
        <v>76.13</v>
      </c>
      <c r="I435" s="3" t="s">
        <v>375</v>
      </c>
      <c r="J435" s="3" t="s">
        <v>376</v>
      </c>
      <c r="K435" s="3" t="s">
        <v>377</v>
      </c>
      <c r="L435" s="3" t="s">
        <v>202</v>
      </c>
      <c r="M435" s="3">
        <v>97403</v>
      </c>
      <c r="N435" s="3" t="s">
        <v>86</v>
      </c>
      <c r="O435" s="2"/>
      <c r="P435" t="str">
        <f t="shared" si="31"/>
        <v>2732 Baker Blvd.</v>
      </c>
      <c r="Q435" t="str">
        <f t="shared" si="35"/>
        <v>Eugene</v>
      </c>
      <c r="R435" t="str">
        <f t="shared" si="32"/>
        <v>OR</v>
      </c>
      <c r="S435">
        <f t="shared" si="33"/>
        <v>97403</v>
      </c>
      <c r="T435" t="str">
        <f t="shared" si="34"/>
        <v>USA</v>
      </c>
    </row>
    <row r="436" spans="1:20" x14ac:dyDescent="0.2">
      <c r="A436" s="1">
        <v>10682</v>
      </c>
      <c r="B436" s="3" t="s">
        <v>288</v>
      </c>
      <c r="C436" s="3">
        <v>3</v>
      </c>
      <c r="D436" s="4">
        <v>35698</v>
      </c>
      <c r="E436" s="4">
        <v>35726</v>
      </c>
      <c r="F436" s="4">
        <v>35704</v>
      </c>
      <c r="G436" s="3">
        <v>2</v>
      </c>
      <c r="H436" s="3">
        <v>36.130000000000003</v>
      </c>
      <c r="I436" s="3" t="s">
        <v>289</v>
      </c>
      <c r="J436" s="3" t="s">
        <v>290</v>
      </c>
      <c r="K436" s="3" t="s">
        <v>71</v>
      </c>
      <c r="L436" s="3" t="s">
        <v>18</v>
      </c>
      <c r="M436" s="3">
        <v>5023</v>
      </c>
      <c r="N436" s="3" t="s">
        <v>72</v>
      </c>
      <c r="O436" s="2"/>
      <c r="P436" t="str">
        <f t="shared" si="31"/>
        <v>Mataderos  2312</v>
      </c>
      <c r="Q436" t="str">
        <f t="shared" si="35"/>
        <v>México D.F.</v>
      </c>
      <c r="R436" t="str">
        <f t="shared" si="32"/>
        <v>NULL</v>
      </c>
      <c r="S436">
        <f t="shared" si="33"/>
        <v>5023</v>
      </c>
      <c r="T436" t="str">
        <f t="shared" si="34"/>
        <v>Mexico</v>
      </c>
    </row>
    <row r="437" spans="1:20" x14ac:dyDescent="0.2">
      <c r="A437" s="1">
        <v>10683</v>
      </c>
      <c r="B437" s="3" t="s">
        <v>209</v>
      </c>
      <c r="C437" s="3">
        <v>2</v>
      </c>
      <c r="D437" s="4">
        <v>35699</v>
      </c>
      <c r="E437" s="4">
        <v>35727</v>
      </c>
      <c r="F437" s="4">
        <v>35704</v>
      </c>
      <c r="G437" s="3">
        <v>1</v>
      </c>
      <c r="H437" s="3">
        <v>4.4000000000000004</v>
      </c>
      <c r="I437" s="3" t="s">
        <v>210</v>
      </c>
      <c r="J437" s="3">
        <v>67</v>
      </c>
      <c r="K437" s="3" t="s">
        <v>211</v>
      </c>
      <c r="L437" s="3" t="s">
        <v>212</v>
      </c>
      <c r="M437" s="3" t="s">
        <v>18</v>
      </c>
      <c r="N437" s="3">
        <v>44000</v>
      </c>
      <c r="O437" s="3" t="s">
        <v>19</v>
      </c>
      <c r="P437" t="str">
        <f t="shared" si="31"/>
        <v>67  rue des Cinquante Otages</v>
      </c>
      <c r="Q437" t="str">
        <f t="shared" si="35"/>
        <v>Nantes</v>
      </c>
      <c r="R437" t="str">
        <f t="shared" si="32"/>
        <v>NULL</v>
      </c>
      <c r="S437">
        <f t="shared" si="33"/>
        <v>44000</v>
      </c>
      <c r="T437" t="str">
        <f t="shared" si="34"/>
        <v>France</v>
      </c>
    </row>
    <row r="438" spans="1:20" x14ac:dyDescent="0.2">
      <c r="A438" s="1">
        <v>10684</v>
      </c>
      <c r="B438" s="3" t="s">
        <v>73</v>
      </c>
      <c r="C438" s="3">
        <v>3</v>
      </c>
      <c r="D438" s="4">
        <v>35699</v>
      </c>
      <c r="E438" s="4">
        <v>35727</v>
      </c>
      <c r="F438" s="4">
        <v>35703</v>
      </c>
      <c r="G438" s="3">
        <v>1</v>
      </c>
      <c r="H438" s="3">
        <v>145.63</v>
      </c>
      <c r="I438" s="3" t="s">
        <v>74</v>
      </c>
      <c r="J438" s="3" t="s">
        <v>75</v>
      </c>
      <c r="K438" s="3" t="s">
        <v>76</v>
      </c>
      <c r="L438" s="3" t="s">
        <v>18</v>
      </c>
      <c r="M438" s="3">
        <v>50739</v>
      </c>
      <c r="N438" s="3" t="s">
        <v>24</v>
      </c>
      <c r="O438" s="2"/>
      <c r="P438" t="str">
        <f t="shared" si="31"/>
        <v>Mehrheimerstr. 369</v>
      </c>
      <c r="Q438" t="str">
        <f t="shared" si="35"/>
        <v>Köln</v>
      </c>
      <c r="R438" t="str">
        <f t="shared" si="32"/>
        <v>NULL</v>
      </c>
      <c r="S438">
        <f t="shared" si="33"/>
        <v>50739</v>
      </c>
      <c r="T438" t="str">
        <f t="shared" si="34"/>
        <v>Germany</v>
      </c>
    </row>
    <row r="439" spans="1:20" x14ac:dyDescent="0.2">
      <c r="A439" s="1">
        <v>10685</v>
      </c>
      <c r="B439" s="3" t="s">
        <v>342</v>
      </c>
      <c r="C439" s="3">
        <v>4</v>
      </c>
      <c r="D439" s="4">
        <v>35702</v>
      </c>
      <c r="E439" s="4">
        <v>35716</v>
      </c>
      <c r="F439" s="4">
        <v>35706</v>
      </c>
      <c r="G439" s="3">
        <v>2</v>
      </c>
      <c r="H439" s="3">
        <v>33.75</v>
      </c>
      <c r="I439" s="3" t="s">
        <v>343</v>
      </c>
      <c r="J439" s="3" t="s">
        <v>344</v>
      </c>
      <c r="K439" s="3">
        <v>442</v>
      </c>
      <c r="L439" s="3" t="s">
        <v>345</v>
      </c>
      <c r="M439" s="3" t="s">
        <v>55</v>
      </c>
      <c r="N439" s="3" t="s">
        <v>346</v>
      </c>
      <c r="O439" s="3" t="s">
        <v>31</v>
      </c>
      <c r="P439" t="str">
        <f t="shared" si="31"/>
        <v>Av. Brasil 442</v>
      </c>
      <c r="Q439" t="str">
        <f t="shared" si="35"/>
        <v>Campinas</v>
      </c>
      <c r="R439" t="str">
        <f t="shared" si="32"/>
        <v>SP</v>
      </c>
      <c r="S439" t="str">
        <f t="shared" si="33"/>
        <v>04876-786</v>
      </c>
      <c r="T439" t="str">
        <f t="shared" si="34"/>
        <v>Brazil</v>
      </c>
    </row>
    <row r="440" spans="1:20" x14ac:dyDescent="0.2">
      <c r="A440" s="1">
        <v>10686</v>
      </c>
      <c r="B440" s="3" t="s">
        <v>266</v>
      </c>
      <c r="C440" s="3">
        <v>2</v>
      </c>
      <c r="D440" s="4">
        <v>35703</v>
      </c>
      <c r="E440" s="4">
        <v>35731</v>
      </c>
      <c r="F440" s="4">
        <v>35711</v>
      </c>
      <c r="G440" s="3">
        <v>1</v>
      </c>
      <c r="H440" s="3">
        <v>96.5</v>
      </c>
      <c r="I440" s="3" t="s">
        <v>267</v>
      </c>
      <c r="J440" s="3" t="s">
        <v>268</v>
      </c>
      <c r="K440" s="3" t="s">
        <v>269</v>
      </c>
      <c r="L440" s="3" t="s">
        <v>18</v>
      </c>
      <c r="M440" s="3">
        <v>5020</v>
      </c>
      <c r="N440" s="3" t="s">
        <v>67</v>
      </c>
      <c r="O440" s="2"/>
      <c r="P440" t="str">
        <f t="shared" si="31"/>
        <v>Geislweg 14</v>
      </c>
      <c r="Q440" t="str">
        <f t="shared" si="35"/>
        <v>Salzburg</v>
      </c>
      <c r="R440" t="str">
        <f t="shared" si="32"/>
        <v>NULL</v>
      </c>
      <c r="S440">
        <f t="shared" si="33"/>
        <v>5020</v>
      </c>
      <c r="T440" t="str">
        <f t="shared" si="34"/>
        <v>Austria</v>
      </c>
    </row>
    <row r="441" spans="1:20" x14ac:dyDescent="0.2">
      <c r="A441" s="1">
        <v>10687</v>
      </c>
      <c r="B441" s="3" t="s">
        <v>179</v>
      </c>
      <c r="C441" s="3">
        <v>9</v>
      </c>
      <c r="D441" s="4">
        <v>35703</v>
      </c>
      <c r="E441" s="4">
        <v>35731</v>
      </c>
      <c r="F441" s="4">
        <v>35733</v>
      </c>
      <c r="G441" s="3">
        <v>2</v>
      </c>
      <c r="H441" s="3">
        <v>296.43</v>
      </c>
      <c r="I441" s="3" t="s">
        <v>180</v>
      </c>
      <c r="J441" s="3" t="s">
        <v>181</v>
      </c>
      <c r="K441" s="3" t="s">
        <v>182</v>
      </c>
      <c r="L441" s="3" t="s">
        <v>183</v>
      </c>
      <c r="M441" s="3" t="s">
        <v>18</v>
      </c>
      <c r="N441" s="3" t="s">
        <v>184</v>
      </c>
      <c r="O441" s="2"/>
      <c r="P441" t="str">
        <f t="shared" si="31"/>
        <v>8 Johnstown Road</v>
      </c>
      <c r="Q441" t="str">
        <f t="shared" si="35"/>
        <v>Cork</v>
      </c>
      <c r="R441" t="str">
        <f t="shared" si="32"/>
        <v>Co. Cork</v>
      </c>
      <c r="S441" t="str">
        <f t="shared" si="33"/>
        <v>NULL</v>
      </c>
      <c r="T441" t="str">
        <f t="shared" si="34"/>
        <v>Ireland</v>
      </c>
    </row>
    <row r="442" spans="1:20" x14ac:dyDescent="0.2">
      <c r="A442" s="1">
        <v>10688</v>
      </c>
      <c r="B442" s="3" t="s">
        <v>295</v>
      </c>
      <c r="C442" s="3">
        <v>4</v>
      </c>
      <c r="D442" s="4">
        <v>35704</v>
      </c>
      <c r="E442" s="4">
        <v>35718</v>
      </c>
      <c r="F442" s="4">
        <v>35710</v>
      </c>
      <c r="G442" s="3">
        <v>2</v>
      </c>
      <c r="H442" s="3">
        <v>299.08999999999997</v>
      </c>
      <c r="I442" s="3" t="s">
        <v>296</v>
      </c>
      <c r="J442" s="3" t="s">
        <v>297</v>
      </c>
      <c r="K442" s="3" t="s">
        <v>298</v>
      </c>
      <c r="L442" s="3" t="s">
        <v>18</v>
      </c>
      <c r="M442" s="3">
        <v>8200</v>
      </c>
      <c r="N442" s="3" t="s">
        <v>257</v>
      </c>
      <c r="O442" s="2"/>
      <c r="P442" t="str">
        <f t="shared" si="31"/>
        <v>Smagsloget 45</v>
      </c>
      <c r="Q442" t="str">
        <f t="shared" si="35"/>
        <v>Århus</v>
      </c>
      <c r="R442" t="str">
        <f t="shared" si="32"/>
        <v>NULL</v>
      </c>
      <c r="S442">
        <f t="shared" si="33"/>
        <v>8200</v>
      </c>
      <c r="T442" t="str">
        <f t="shared" si="34"/>
        <v>Denmark</v>
      </c>
    </row>
    <row r="443" spans="1:20" x14ac:dyDescent="0.2">
      <c r="A443" s="1">
        <v>10689</v>
      </c>
      <c r="B443" s="3" t="s">
        <v>137</v>
      </c>
      <c r="C443" s="3">
        <v>1</v>
      </c>
      <c r="D443" s="4">
        <v>35704</v>
      </c>
      <c r="E443" s="4">
        <v>35732</v>
      </c>
      <c r="F443" s="4">
        <v>35710</v>
      </c>
      <c r="G443" s="3">
        <v>2</v>
      </c>
      <c r="H443" s="3">
        <v>13.42</v>
      </c>
      <c r="I443" s="3" t="s">
        <v>138</v>
      </c>
      <c r="J443" s="3" t="s">
        <v>139</v>
      </c>
      <c r="K443" s="3" t="s">
        <v>140</v>
      </c>
      <c r="L443" s="3" t="s">
        <v>18</v>
      </c>
      <c r="M443" s="3" t="s">
        <v>141</v>
      </c>
      <c r="N443" s="3" t="s">
        <v>92</v>
      </c>
      <c r="O443" s="2"/>
      <c r="P443" t="str">
        <f t="shared" si="31"/>
        <v>Berguvsvägen  8</v>
      </c>
      <c r="Q443" t="str">
        <f t="shared" si="35"/>
        <v>Luleå</v>
      </c>
      <c r="R443" t="str">
        <f t="shared" si="32"/>
        <v>NULL</v>
      </c>
      <c r="S443" t="str">
        <f t="shared" si="33"/>
        <v>S-958 22</v>
      </c>
      <c r="T443" t="str">
        <f t="shared" si="34"/>
        <v>Sweden</v>
      </c>
    </row>
    <row r="444" spans="1:20" x14ac:dyDescent="0.2">
      <c r="A444" s="1">
        <v>10690</v>
      </c>
      <c r="B444" s="3" t="s">
        <v>25</v>
      </c>
      <c r="C444" s="3">
        <v>1</v>
      </c>
      <c r="D444" s="4">
        <v>35705</v>
      </c>
      <c r="E444" s="4">
        <v>35733</v>
      </c>
      <c r="F444" s="4">
        <v>35706</v>
      </c>
      <c r="G444" s="3">
        <v>1</v>
      </c>
      <c r="H444" s="3">
        <v>15.8</v>
      </c>
      <c r="I444" s="3" t="s">
        <v>26</v>
      </c>
      <c r="J444" s="3" t="s">
        <v>27</v>
      </c>
      <c r="K444" s="3">
        <v>67</v>
      </c>
      <c r="L444" s="3" t="s">
        <v>28</v>
      </c>
      <c r="M444" s="3" t="s">
        <v>29</v>
      </c>
      <c r="N444" s="3" t="s">
        <v>30</v>
      </c>
      <c r="O444" s="3" t="s">
        <v>31</v>
      </c>
      <c r="P444" t="str">
        <f t="shared" si="31"/>
        <v>Rua do Paço 67</v>
      </c>
      <c r="Q444" t="str">
        <f t="shared" si="35"/>
        <v>Rio de Janeiro</v>
      </c>
      <c r="R444" t="str">
        <f t="shared" si="32"/>
        <v>RJ</v>
      </c>
      <c r="S444" t="str">
        <f t="shared" si="33"/>
        <v>05454-876</v>
      </c>
      <c r="T444" t="str">
        <f t="shared" si="34"/>
        <v>Brazil</v>
      </c>
    </row>
    <row r="445" spans="1:20" x14ac:dyDescent="0.2">
      <c r="A445" s="1">
        <v>10691</v>
      </c>
      <c r="B445" s="3" t="s">
        <v>121</v>
      </c>
      <c r="C445" s="3">
        <v>2</v>
      </c>
      <c r="D445" s="4">
        <v>35706</v>
      </c>
      <c r="E445" s="4">
        <v>35748</v>
      </c>
      <c r="F445" s="4">
        <v>35725</v>
      </c>
      <c r="G445" s="3">
        <v>2</v>
      </c>
      <c r="H445" s="3">
        <v>810.05</v>
      </c>
      <c r="I445" s="3" t="s">
        <v>122</v>
      </c>
      <c r="J445" s="3" t="s">
        <v>123</v>
      </c>
      <c r="K445" s="3" t="s">
        <v>124</v>
      </c>
      <c r="L445" s="3" t="s">
        <v>18</v>
      </c>
      <c r="M445" s="3">
        <v>1307</v>
      </c>
      <c r="N445" s="3" t="s">
        <v>24</v>
      </c>
      <c r="O445" s="2"/>
      <c r="P445" t="str">
        <f t="shared" si="31"/>
        <v>Taucherstraße 10</v>
      </c>
      <c r="Q445" t="str">
        <f t="shared" si="35"/>
        <v>Cunewalde</v>
      </c>
      <c r="R445" t="str">
        <f t="shared" si="32"/>
        <v>NULL</v>
      </c>
      <c r="S445">
        <f t="shared" si="33"/>
        <v>1307</v>
      </c>
      <c r="T445" t="str">
        <f t="shared" si="34"/>
        <v>Germany</v>
      </c>
    </row>
    <row r="446" spans="1:20" x14ac:dyDescent="0.2">
      <c r="A446" s="1">
        <v>10692</v>
      </c>
      <c r="B446" s="3" t="s">
        <v>401</v>
      </c>
      <c r="C446" s="3">
        <v>4</v>
      </c>
      <c r="D446" s="4">
        <v>35706</v>
      </c>
      <c r="E446" s="4">
        <v>35734</v>
      </c>
      <c r="F446" s="4">
        <v>35716</v>
      </c>
      <c r="G446" s="3">
        <v>2</v>
      </c>
      <c r="H446" s="3">
        <v>61.02</v>
      </c>
      <c r="I446" s="3" t="s">
        <v>408</v>
      </c>
      <c r="J446" s="3" t="s">
        <v>403</v>
      </c>
      <c r="K446" s="3" t="s">
        <v>404</v>
      </c>
      <c r="L446" s="3" t="s">
        <v>18</v>
      </c>
      <c r="M446" s="3">
        <v>12209</v>
      </c>
      <c r="N446" s="3" t="s">
        <v>24</v>
      </c>
      <c r="O446" s="2"/>
      <c r="P446" t="str">
        <f t="shared" si="31"/>
        <v>Obere Str. 57</v>
      </c>
      <c r="Q446" t="str">
        <f t="shared" si="35"/>
        <v>Berlin</v>
      </c>
      <c r="R446" t="str">
        <f t="shared" si="32"/>
        <v>NULL</v>
      </c>
      <c r="S446">
        <f t="shared" si="33"/>
        <v>12209</v>
      </c>
      <c r="T446" t="str">
        <f t="shared" si="34"/>
        <v>Germany</v>
      </c>
    </row>
    <row r="447" spans="1:20" x14ac:dyDescent="0.2">
      <c r="A447" s="1">
        <v>10693</v>
      </c>
      <c r="B447" s="3" t="s">
        <v>111</v>
      </c>
      <c r="C447" s="3">
        <v>3</v>
      </c>
      <c r="D447" s="4">
        <v>35709</v>
      </c>
      <c r="E447" s="4">
        <v>35723</v>
      </c>
      <c r="F447" s="4">
        <v>35713</v>
      </c>
      <c r="G447" s="3">
        <v>3</v>
      </c>
      <c r="H447" s="3">
        <v>139.34</v>
      </c>
      <c r="I447" s="3" t="s">
        <v>112</v>
      </c>
      <c r="J447" s="3" t="s">
        <v>113</v>
      </c>
      <c r="K447" s="3" t="s">
        <v>114</v>
      </c>
      <c r="L447" s="3" t="s">
        <v>115</v>
      </c>
      <c r="M447" s="3">
        <v>98124</v>
      </c>
      <c r="N447" s="3" t="s">
        <v>86</v>
      </c>
      <c r="O447" s="2"/>
      <c r="P447" t="str">
        <f t="shared" si="31"/>
        <v>1029 - 12th Ave. S.</v>
      </c>
      <c r="Q447" t="str">
        <f t="shared" si="35"/>
        <v>Seattle</v>
      </c>
      <c r="R447" t="str">
        <f t="shared" si="32"/>
        <v>WA</v>
      </c>
      <c r="S447">
        <f t="shared" si="33"/>
        <v>98124</v>
      </c>
      <c r="T447" t="str">
        <f t="shared" si="34"/>
        <v>USA</v>
      </c>
    </row>
    <row r="448" spans="1:20" x14ac:dyDescent="0.2">
      <c r="A448" s="1">
        <v>10694</v>
      </c>
      <c r="B448" s="3" t="s">
        <v>121</v>
      </c>
      <c r="C448" s="3">
        <v>8</v>
      </c>
      <c r="D448" s="4">
        <v>35709</v>
      </c>
      <c r="E448" s="4">
        <v>35737</v>
      </c>
      <c r="F448" s="4">
        <v>35712</v>
      </c>
      <c r="G448" s="3">
        <v>3</v>
      </c>
      <c r="H448" s="3">
        <v>398.36</v>
      </c>
      <c r="I448" s="3" t="s">
        <v>122</v>
      </c>
      <c r="J448" s="3" t="s">
        <v>123</v>
      </c>
      <c r="K448" s="3" t="s">
        <v>124</v>
      </c>
      <c r="L448" s="3" t="s">
        <v>18</v>
      </c>
      <c r="M448" s="3">
        <v>1307</v>
      </c>
      <c r="N448" s="3" t="s">
        <v>24</v>
      </c>
      <c r="O448" s="2"/>
      <c r="P448" t="str">
        <f t="shared" si="31"/>
        <v>Taucherstraße 10</v>
      </c>
      <c r="Q448" t="str">
        <f t="shared" si="35"/>
        <v>Cunewalde</v>
      </c>
      <c r="R448" t="str">
        <f t="shared" si="32"/>
        <v>NULL</v>
      </c>
      <c r="S448">
        <f t="shared" si="33"/>
        <v>1307</v>
      </c>
      <c r="T448" t="str">
        <f t="shared" si="34"/>
        <v>Germany</v>
      </c>
    </row>
    <row r="449" spans="1:20" x14ac:dyDescent="0.2">
      <c r="A449" s="1">
        <v>10695</v>
      </c>
      <c r="B449" s="3" t="s">
        <v>392</v>
      </c>
      <c r="C449" s="3">
        <v>7</v>
      </c>
      <c r="D449" s="4">
        <v>35710</v>
      </c>
      <c r="E449" s="4">
        <v>35752</v>
      </c>
      <c r="F449" s="4">
        <v>35717</v>
      </c>
      <c r="G449" s="3">
        <v>1</v>
      </c>
      <c r="H449" s="3">
        <v>16.72</v>
      </c>
      <c r="I449" s="3" t="s">
        <v>393</v>
      </c>
      <c r="J449" s="3" t="s">
        <v>394</v>
      </c>
      <c r="K449" s="3" t="s">
        <v>395</v>
      </c>
      <c r="L449" s="3" t="s">
        <v>18</v>
      </c>
      <c r="M449" s="3">
        <v>21240</v>
      </c>
      <c r="N449" s="3" t="s">
        <v>101</v>
      </c>
      <c r="O449" s="2"/>
      <c r="P449" t="str">
        <f t="shared" si="31"/>
        <v>Keskuskatu 45</v>
      </c>
      <c r="Q449" t="str">
        <f t="shared" si="35"/>
        <v>Helsinki</v>
      </c>
      <c r="R449" t="str">
        <f t="shared" si="32"/>
        <v>NULL</v>
      </c>
      <c r="S449">
        <f t="shared" si="33"/>
        <v>21240</v>
      </c>
      <c r="T449" t="str">
        <f t="shared" si="34"/>
        <v>Finland</v>
      </c>
    </row>
    <row r="450" spans="1:20" x14ac:dyDescent="0.2">
      <c r="A450" s="1">
        <v>10696</v>
      </c>
      <c r="B450" s="3" t="s">
        <v>111</v>
      </c>
      <c r="C450" s="3">
        <v>8</v>
      </c>
      <c r="D450" s="4">
        <v>35711</v>
      </c>
      <c r="E450" s="4">
        <v>35753</v>
      </c>
      <c r="F450" s="4">
        <v>35717</v>
      </c>
      <c r="G450" s="3">
        <v>3</v>
      </c>
      <c r="H450" s="3">
        <v>102.55</v>
      </c>
      <c r="I450" s="3" t="s">
        <v>112</v>
      </c>
      <c r="J450" s="3" t="s">
        <v>113</v>
      </c>
      <c r="K450" s="3" t="s">
        <v>114</v>
      </c>
      <c r="L450" s="3" t="s">
        <v>115</v>
      </c>
      <c r="M450" s="3">
        <v>98124</v>
      </c>
      <c r="N450" s="3" t="s">
        <v>86</v>
      </c>
      <c r="O450" s="2"/>
      <c r="P450" t="str">
        <f t="shared" ref="P450:P513" si="36">IF(O450&lt;&gt;"",J450&amp;" "&amp;K450,J450)</f>
        <v>1029 - 12th Ave. S.</v>
      </c>
      <c r="Q450" t="str">
        <f t="shared" si="35"/>
        <v>Seattle</v>
      </c>
      <c r="R450" t="str">
        <f t="shared" si="32"/>
        <v>WA</v>
      </c>
      <c r="S450">
        <f t="shared" si="33"/>
        <v>98124</v>
      </c>
      <c r="T450" t="str">
        <f t="shared" si="34"/>
        <v>USA</v>
      </c>
    </row>
    <row r="451" spans="1:20" x14ac:dyDescent="0.2">
      <c r="A451" s="1">
        <v>10697</v>
      </c>
      <c r="B451" s="3" t="s">
        <v>324</v>
      </c>
      <c r="C451" s="3">
        <v>3</v>
      </c>
      <c r="D451" s="4">
        <v>35711</v>
      </c>
      <c r="E451" s="4">
        <v>35739</v>
      </c>
      <c r="F451" s="4">
        <v>35717</v>
      </c>
      <c r="G451" s="3">
        <v>1</v>
      </c>
      <c r="H451" s="3">
        <v>45.52</v>
      </c>
      <c r="I451" s="3" t="s">
        <v>325</v>
      </c>
      <c r="J451" s="3" t="s">
        <v>326</v>
      </c>
      <c r="K451" s="3" t="s">
        <v>327</v>
      </c>
      <c r="L451" s="3" t="s">
        <v>328</v>
      </c>
      <c r="M451" s="3">
        <v>4980</v>
      </c>
      <c r="N451" s="3" t="s">
        <v>62</v>
      </c>
      <c r="O451" s="2"/>
      <c r="P451" t="str">
        <f t="shared" si="36"/>
        <v>Ave. 5 de Mayo Porlamar</v>
      </c>
      <c r="Q451" t="str">
        <f t="shared" si="35"/>
        <v>I. de Margarita</v>
      </c>
      <c r="R451" t="str">
        <f t="shared" ref="R451:R514" si="37">IF(O451&lt;&gt;"",M451,L451)</f>
        <v>Nueva Esparta</v>
      </c>
      <c r="S451">
        <f t="shared" ref="S451:S514" si="38">IF(O451&lt;&gt;"",N451,M451)</f>
        <v>4980</v>
      </c>
      <c r="T451" t="str">
        <f t="shared" ref="T451:T514" si="39">IF(O451&lt;&gt;"",O451,N451)</f>
        <v>Venezuela</v>
      </c>
    </row>
    <row r="452" spans="1:20" x14ac:dyDescent="0.2">
      <c r="A452" s="1">
        <v>10698</v>
      </c>
      <c r="B452" s="3" t="s">
        <v>63</v>
      </c>
      <c r="C452" s="3">
        <v>4</v>
      </c>
      <c r="D452" s="4">
        <v>35712</v>
      </c>
      <c r="E452" s="4">
        <v>35740</v>
      </c>
      <c r="F452" s="4">
        <v>35720</v>
      </c>
      <c r="G452" s="3">
        <v>1</v>
      </c>
      <c r="H452" s="3">
        <v>272.47000000000003</v>
      </c>
      <c r="I452" s="3" t="s">
        <v>64</v>
      </c>
      <c r="J452" s="3" t="s">
        <v>65</v>
      </c>
      <c r="K452" s="3" t="s">
        <v>66</v>
      </c>
      <c r="L452" s="3" t="s">
        <v>18</v>
      </c>
      <c r="M452" s="3">
        <v>8010</v>
      </c>
      <c r="N452" s="3" t="s">
        <v>67</v>
      </c>
      <c r="O452" s="2"/>
      <c r="P452" t="str">
        <f t="shared" si="36"/>
        <v>Kirchgasse 6</v>
      </c>
      <c r="Q452" t="str">
        <f t="shared" si="35"/>
        <v>Graz</v>
      </c>
      <c r="R452" t="str">
        <f t="shared" si="37"/>
        <v>NULL</v>
      </c>
      <c r="S452">
        <f t="shared" si="38"/>
        <v>8010</v>
      </c>
      <c r="T452" t="str">
        <f t="shared" si="39"/>
        <v>Austria</v>
      </c>
    </row>
    <row r="453" spans="1:20" x14ac:dyDescent="0.2">
      <c r="A453" s="1">
        <v>10699</v>
      </c>
      <c r="B453" s="3" t="s">
        <v>133</v>
      </c>
      <c r="C453" s="3">
        <v>3</v>
      </c>
      <c r="D453" s="4">
        <v>35712</v>
      </c>
      <c r="E453" s="4">
        <v>35740</v>
      </c>
      <c r="F453" s="4">
        <v>35716</v>
      </c>
      <c r="G453" s="3">
        <v>3</v>
      </c>
      <c r="H453" s="3">
        <v>0.57999999999999996</v>
      </c>
      <c r="I453" s="3" t="s">
        <v>134</v>
      </c>
      <c r="J453" s="3" t="s">
        <v>135</v>
      </c>
      <c r="K453" s="3" t="s">
        <v>136</v>
      </c>
      <c r="L453" s="3" t="s">
        <v>18</v>
      </c>
      <c r="M453" s="3">
        <v>4179</v>
      </c>
      <c r="N453" s="3" t="s">
        <v>24</v>
      </c>
      <c r="O453" s="2"/>
      <c r="P453" t="str">
        <f t="shared" si="36"/>
        <v>Heerstr. 22</v>
      </c>
      <c r="Q453" t="str">
        <f t="shared" si="35"/>
        <v>Leipzig</v>
      </c>
      <c r="R453" t="str">
        <f t="shared" si="37"/>
        <v>NULL</v>
      </c>
      <c r="S453">
        <f t="shared" si="38"/>
        <v>4179</v>
      </c>
      <c r="T453" t="str">
        <f t="shared" si="39"/>
        <v>Germany</v>
      </c>
    </row>
    <row r="454" spans="1:20" x14ac:dyDescent="0.2">
      <c r="A454" s="1">
        <v>10700</v>
      </c>
      <c r="B454" s="3" t="s">
        <v>226</v>
      </c>
      <c r="C454" s="3">
        <v>3</v>
      </c>
      <c r="D454" s="4">
        <v>35713</v>
      </c>
      <c r="E454" s="4">
        <v>35741</v>
      </c>
      <c r="F454" s="4">
        <v>35719</v>
      </c>
      <c r="G454" s="3">
        <v>1</v>
      </c>
      <c r="H454" s="3">
        <v>65.099999999999994</v>
      </c>
      <c r="I454" s="3" t="s">
        <v>227</v>
      </c>
      <c r="J454" s="3" t="s">
        <v>228</v>
      </c>
      <c r="K454" s="3" t="s">
        <v>229</v>
      </c>
      <c r="L454" s="3" t="s">
        <v>230</v>
      </c>
      <c r="M454" s="3">
        <v>83720</v>
      </c>
      <c r="N454" s="3" t="s">
        <v>86</v>
      </c>
      <c r="O454" s="2"/>
      <c r="P454" t="str">
        <f t="shared" si="36"/>
        <v>187 Suffolk Ln.</v>
      </c>
      <c r="Q454" t="str">
        <f t="shared" si="35"/>
        <v>Boise</v>
      </c>
      <c r="R454" t="str">
        <f t="shared" si="37"/>
        <v>ID</v>
      </c>
      <c r="S454">
        <f t="shared" si="38"/>
        <v>83720</v>
      </c>
      <c r="T454" t="str">
        <f t="shared" si="39"/>
        <v>USA</v>
      </c>
    </row>
    <row r="455" spans="1:20" x14ac:dyDescent="0.2">
      <c r="A455" s="1">
        <v>10701</v>
      </c>
      <c r="B455" s="3" t="s">
        <v>179</v>
      </c>
      <c r="C455" s="3">
        <v>6</v>
      </c>
      <c r="D455" s="4">
        <v>35716</v>
      </c>
      <c r="E455" s="4">
        <v>35730</v>
      </c>
      <c r="F455" s="4">
        <v>35718</v>
      </c>
      <c r="G455" s="3">
        <v>3</v>
      </c>
      <c r="H455" s="3">
        <v>220.31</v>
      </c>
      <c r="I455" s="3" t="s">
        <v>180</v>
      </c>
      <c r="J455" s="3" t="s">
        <v>181</v>
      </c>
      <c r="K455" s="3" t="s">
        <v>182</v>
      </c>
      <c r="L455" s="3" t="s">
        <v>183</v>
      </c>
      <c r="M455" s="3" t="s">
        <v>18</v>
      </c>
      <c r="N455" s="3" t="s">
        <v>184</v>
      </c>
      <c r="O455" s="2"/>
      <c r="P455" t="str">
        <f t="shared" si="36"/>
        <v>8 Johnstown Road</v>
      </c>
      <c r="Q455" t="str">
        <f t="shared" ref="Q455:Q518" si="40">IF(O455&lt;&gt;"",L455,K455)</f>
        <v>Cork</v>
      </c>
      <c r="R455" t="str">
        <f t="shared" si="37"/>
        <v>Co. Cork</v>
      </c>
      <c r="S455" t="str">
        <f t="shared" si="38"/>
        <v>NULL</v>
      </c>
      <c r="T455" t="str">
        <f t="shared" si="39"/>
        <v>Ireland</v>
      </c>
    </row>
    <row r="456" spans="1:20" x14ac:dyDescent="0.2">
      <c r="A456" s="1">
        <v>10702</v>
      </c>
      <c r="B456" s="3" t="s">
        <v>401</v>
      </c>
      <c r="C456" s="3">
        <v>4</v>
      </c>
      <c r="D456" s="4">
        <v>35716</v>
      </c>
      <c r="E456" s="4">
        <v>35758</v>
      </c>
      <c r="F456" s="4">
        <v>35724</v>
      </c>
      <c r="G456" s="3">
        <v>1</v>
      </c>
      <c r="H456" s="3">
        <v>23.94</v>
      </c>
      <c r="I456" s="3" t="s">
        <v>408</v>
      </c>
      <c r="J456" s="3" t="s">
        <v>403</v>
      </c>
      <c r="K456" s="3" t="s">
        <v>404</v>
      </c>
      <c r="L456" s="3" t="s">
        <v>18</v>
      </c>
      <c r="M456" s="3">
        <v>12209</v>
      </c>
      <c r="N456" s="3" t="s">
        <v>24</v>
      </c>
      <c r="O456" s="2"/>
      <c r="P456" t="str">
        <f t="shared" si="36"/>
        <v>Obere Str. 57</v>
      </c>
      <c r="Q456" t="str">
        <f t="shared" si="40"/>
        <v>Berlin</v>
      </c>
      <c r="R456" t="str">
        <f t="shared" si="37"/>
        <v>NULL</v>
      </c>
      <c r="S456">
        <f t="shared" si="38"/>
        <v>12209</v>
      </c>
      <c r="T456" t="str">
        <f t="shared" si="39"/>
        <v>Germany</v>
      </c>
    </row>
    <row r="457" spans="1:20" x14ac:dyDescent="0.2">
      <c r="A457" s="1">
        <v>10703</v>
      </c>
      <c r="B457" s="3" t="s">
        <v>87</v>
      </c>
      <c r="C457" s="3">
        <v>6</v>
      </c>
      <c r="D457" s="4">
        <v>35717</v>
      </c>
      <c r="E457" s="4">
        <v>35745</v>
      </c>
      <c r="F457" s="4">
        <v>35723</v>
      </c>
      <c r="G457" s="3">
        <v>2</v>
      </c>
      <c r="H457" s="3">
        <v>152.30000000000001</v>
      </c>
      <c r="I457" s="3" t="s">
        <v>88</v>
      </c>
      <c r="J457" s="3" t="s">
        <v>89</v>
      </c>
      <c r="K457" s="3" t="s">
        <v>90</v>
      </c>
      <c r="L457" s="3" t="s">
        <v>18</v>
      </c>
      <c r="M457" s="3" t="s">
        <v>91</v>
      </c>
      <c r="N457" s="3" t="s">
        <v>92</v>
      </c>
      <c r="O457" s="2"/>
      <c r="P457" t="str">
        <f t="shared" si="36"/>
        <v>Åkergatan 24</v>
      </c>
      <c r="Q457" t="str">
        <f t="shared" si="40"/>
        <v>Bräcke</v>
      </c>
      <c r="R457" t="str">
        <f t="shared" si="37"/>
        <v>NULL</v>
      </c>
      <c r="S457" t="str">
        <f t="shared" si="38"/>
        <v>S-844 67</v>
      </c>
      <c r="T457" t="str">
        <f t="shared" si="39"/>
        <v>Sweden</v>
      </c>
    </row>
    <row r="458" spans="1:20" x14ac:dyDescent="0.2">
      <c r="A458" s="1">
        <v>10704</v>
      </c>
      <c r="B458" s="3" t="s">
        <v>299</v>
      </c>
      <c r="C458" s="3">
        <v>6</v>
      </c>
      <c r="D458" s="4">
        <v>35717</v>
      </c>
      <c r="E458" s="4">
        <v>35745</v>
      </c>
      <c r="F458" s="4">
        <v>35741</v>
      </c>
      <c r="G458" s="3">
        <v>1</v>
      </c>
      <c r="H458" s="3">
        <v>4.78</v>
      </c>
      <c r="I458" s="3" t="s">
        <v>300</v>
      </c>
      <c r="J458" s="3" t="s">
        <v>301</v>
      </c>
      <c r="K458" s="3">
        <v>891</v>
      </c>
      <c r="L458" s="3" t="s">
        <v>173</v>
      </c>
      <c r="M458" s="3" t="s">
        <v>55</v>
      </c>
      <c r="N458" s="3" t="s">
        <v>302</v>
      </c>
      <c r="O458" s="3" t="s">
        <v>31</v>
      </c>
      <c r="P458" t="str">
        <f t="shared" si="36"/>
        <v>Alameda dos Canàrios 891</v>
      </c>
      <c r="Q458" t="str">
        <f t="shared" si="40"/>
        <v>Sao Paulo</v>
      </c>
      <c r="R458" t="str">
        <f t="shared" si="37"/>
        <v>SP</v>
      </c>
      <c r="S458" t="str">
        <f t="shared" si="38"/>
        <v>05487-020</v>
      </c>
      <c r="T458" t="str">
        <f t="shared" si="39"/>
        <v>Brazil</v>
      </c>
    </row>
    <row r="459" spans="1:20" x14ac:dyDescent="0.2">
      <c r="A459" s="1">
        <v>10705</v>
      </c>
      <c r="B459" s="3" t="s">
        <v>57</v>
      </c>
      <c r="C459" s="3">
        <v>9</v>
      </c>
      <c r="D459" s="4">
        <v>35718</v>
      </c>
      <c r="E459" s="4">
        <v>35746</v>
      </c>
      <c r="F459" s="4">
        <v>35752</v>
      </c>
      <c r="G459" s="3">
        <v>2</v>
      </c>
      <c r="H459" s="3">
        <v>3.52</v>
      </c>
      <c r="I459" s="3" t="s">
        <v>58</v>
      </c>
      <c r="J459" s="3" t="s">
        <v>59</v>
      </c>
      <c r="K459" s="3" t="s">
        <v>60</v>
      </c>
      <c r="L459" s="3" t="s">
        <v>61</v>
      </c>
      <c r="M459" s="3">
        <v>5022</v>
      </c>
      <c r="N459" s="3" t="s">
        <v>62</v>
      </c>
      <c r="O459" s="2"/>
      <c r="P459" t="str">
        <f t="shared" si="36"/>
        <v>Carrera 22 con Ave. Carlos Soublette #8-35</v>
      </c>
      <c r="Q459" t="str">
        <f t="shared" si="40"/>
        <v>San Cristóbal</v>
      </c>
      <c r="R459" t="str">
        <f t="shared" si="37"/>
        <v>Táchira</v>
      </c>
      <c r="S459">
        <f t="shared" si="38"/>
        <v>5022</v>
      </c>
      <c r="T459" t="str">
        <f t="shared" si="39"/>
        <v>Venezuela</v>
      </c>
    </row>
    <row r="460" spans="1:20" x14ac:dyDescent="0.2">
      <c r="A460" s="1">
        <v>10706</v>
      </c>
      <c r="B460" s="3" t="s">
        <v>193</v>
      </c>
      <c r="C460" s="3">
        <v>8</v>
      </c>
      <c r="D460" s="4">
        <v>35719</v>
      </c>
      <c r="E460" s="4">
        <v>35747</v>
      </c>
      <c r="F460" s="4">
        <v>35724</v>
      </c>
      <c r="G460" s="3">
        <v>3</v>
      </c>
      <c r="H460" s="3">
        <v>135.63</v>
      </c>
      <c r="I460" s="3" t="s">
        <v>194</v>
      </c>
      <c r="J460" s="3" t="s">
        <v>195</v>
      </c>
      <c r="K460" s="3" t="s">
        <v>196</v>
      </c>
      <c r="L460" s="3" t="s">
        <v>197</v>
      </c>
      <c r="M460" s="3">
        <v>99508</v>
      </c>
      <c r="N460" s="3" t="s">
        <v>86</v>
      </c>
      <c r="O460" s="2"/>
      <c r="P460" t="str">
        <f t="shared" si="36"/>
        <v>2743 Bering St.</v>
      </c>
      <c r="Q460" t="str">
        <f t="shared" si="40"/>
        <v>Anchorage</v>
      </c>
      <c r="R460" t="str">
        <f t="shared" si="37"/>
        <v>AK</v>
      </c>
      <c r="S460">
        <f t="shared" si="38"/>
        <v>99508</v>
      </c>
      <c r="T460" t="str">
        <f t="shared" si="39"/>
        <v>USA</v>
      </c>
    </row>
    <row r="461" spans="1:20" x14ac:dyDescent="0.2">
      <c r="A461" s="1">
        <v>10707</v>
      </c>
      <c r="B461" s="3" t="s">
        <v>270</v>
      </c>
      <c r="C461" s="3">
        <v>4</v>
      </c>
      <c r="D461" s="4">
        <v>35719</v>
      </c>
      <c r="E461" s="4">
        <v>35733</v>
      </c>
      <c r="F461" s="4">
        <v>35726</v>
      </c>
      <c r="G461" s="3">
        <v>3</v>
      </c>
      <c r="H461" s="3">
        <v>21.74</v>
      </c>
      <c r="I461" s="3" t="s">
        <v>271</v>
      </c>
      <c r="J461" s="3" t="s">
        <v>272</v>
      </c>
      <c r="K461" s="3" t="s">
        <v>273</v>
      </c>
      <c r="L461" s="3" t="s">
        <v>274</v>
      </c>
      <c r="M461" s="3" t="s">
        <v>275</v>
      </c>
      <c r="N461" s="3" t="s">
        <v>169</v>
      </c>
      <c r="O461" s="2"/>
      <c r="P461" t="str">
        <f t="shared" si="36"/>
        <v>Brook Farm Stratford St. Mary</v>
      </c>
      <c r="Q461" t="str">
        <f t="shared" si="40"/>
        <v>Colchester</v>
      </c>
      <c r="R461" t="str">
        <f t="shared" si="37"/>
        <v>Essex</v>
      </c>
      <c r="S461" t="str">
        <f t="shared" si="38"/>
        <v>CO7 6JX</v>
      </c>
      <c r="T461" t="str">
        <f t="shared" si="39"/>
        <v>UK</v>
      </c>
    </row>
    <row r="462" spans="1:20" x14ac:dyDescent="0.2">
      <c r="A462" s="1">
        <v>10708</v>
      </c>
      <c r="B462" s="3" t="s">
        <v>206</v>
      </c>
      <c r="C462" s="3">
        <v>6</v>
      </c>
      <c r="D462" s="4">
        <v>35720</v>
      </c>
      <c r="E462" s="4">
        <v>35762</v>
      </c>
      <c r="F462" s="4">
        <v>35739</v>
      </c>
      <c r="G462" s="3">
        <v>2</v>
      </c>
      <c r="H462" s="3">
        <v>2.96</v>
      </c>
      <c r="I462" s="3" t="s">
        <v>207</v>
      </c>
      <c r="J462" s="3" t="s">
        <v>208</v>
      </c>
      <c r="K462" s="3" t="s">
        <v>201</v>
      </c>
      <c r="L462" s="3" t="s">
        <v>202</v>
      </c>
      <c r="M462" s="3">
        <v>97201</v>
      </c>
      <c r="N462" s="3" t="s">
        <v>86</v>
      </c>
      <c r="O462" s="2"/>
      <c r="P462" t="str">
        <f t="shared" si="36"/>
        <v>89 Jefferson Way Suite 2</v>
      </c>
      <c r="Q462" t="str">
        <f t="shared" si="40"/>
        <v>Portland</v>
      </c>
      <c r="R462" t="str">
        <f t="shared" si="37"/>
        <v>OR</v>
      </c>
      <c r="S462">
        <f t="shared" si="38"/>
        <v>97201</v>
      </c>
      <c r="T462" t="str">
        <f t="shared" si="39"/>
        <v>USA</v>
      </c>
    </row>
    <row r="463" spans="1:20" x14ac:dyDescent="0.2">
      <c r="A463" s="1">
        <v>10709</v>
      </c>
      <c r="B463" s="3" t="s">
        <v>342</v>
      </c>
      <c r="C463" s="3">
        <v>1</v>
      </c>
      <c r="D463" s="4">
        <v>35720</v>
      </c>
      <c r="E463" s="4">
        <v>35748</v>
      </c>
      <c r="F463" s="4">
        <v>35754</v>
      </c>
      <c r="G463" s="3">
        <v>3</v>
      </c>
      <c r="H463" s="3">
        <v>210.8</v>
      </c>
      <c r="I463" s="3" t="s">
        <v>343</v>
      </c>
      <c r="J463" s="3" t="s">
        <v>344</v>
      </c>
      <c r="K463" s="3">
        <v>442</v>
      </c>
      <c r="L463" s="3" t="s">
        <v>345</v>
      </c>
      <c r="M463" s="3" t="s">
        <v>55</v>
      </c>
      <c r="N463" s="3" t="s">
        <v>346</v>
      </c>
      <c r="O463" s="3" t="s">
        <v>31</v>
      </c>
      <c r="P463" t="str">
        <f t="shared" si="36"/>
        <v>Av. Brasil 442</v>
      </c>
      <c r="Q463" t="str">
        <f t="shared" si="40"/>
        <v>Campinas</v>
      </c>
      <c r="R463" t="str">
        <f t="shared" si="37"/>
        <v>SP</v>
      </c>
      <c r="S463" t="str">
        <f t="shared" si="38"/>
        <v>04876-786</v>
      </c>
      <c r="T463" t="str">
        <f t="shared" si="39"/>
        <v>Brazil</v>
      </c>
    </row>
    <row r="464" spans="1:20" x14ac:dyDescent="0.2">
      <c r="A464" s="1">
        <v>10710</v>
      </c>
      <c r="B464" s="3" t="s">
        <v>338</v>
      </c>
      <c r="C464" s="3">
        <v>1</v>
      </c>
      <c r="D464" s="4">
        <v>35723</v>
      </c>
      <c r="E464" s="4">
        <v>35751</v>
      </c>
      <c r="F464" s="4">
        <v>35726</v>
      </c>
      <c r="G464" s="3">
        <v>1</v>
      </c>
      <c r="H464" s="3">
        <v>4.9800000000000004</v>
      </c>
      <c r="I464" s="3" t="s">
        <v>339</v>
      </c>
      <c r="J464" s="3" t="s">
        <v>340</v>
      </c>
      <c r="K464" s="3" t="s">
        <v>341</v>
      </c>
      <c r="L464" s="3" t="s">
        <v>18</v>
      </c>
      <c r="M464" s="3">
        <v>10100</v>
      </c>
      <c r="N464" s="3" t="s">
        <v>129</v>
      </c>
      <c r="O464" s="2"/>
      <c r="P464" t="str">
        <f t="shared" si="36"/>
        <v>Via Monte Bianco 34</v>
      </c>
      <c r="Q464" t="str">
        <f t="shared" si="40"/>
        <v>Torino</v>
      </c>
      <c r="R464" t="str">
        <f t="shared" si="37"/>
        <v>NULL</v>
      </c>
      <c r="S464">
        <f t="shared" si="38"/>
        <v>10100</v>
      </c>
      <c r="T464" t="str">
        <f t="shared" si="39"/>
        <v>Italy</v>
      </c>
    </row>
    <row r="465" spans="1:20" x14ac:dyDescent="0.2">
      <c r="A465" s="1">
        <v>10711</v>
      </c>
      <c r="B465" s="3" t="s">
        <v>226</v>
      </c>
      <c r="C465" s="3">
        <v>5</v>
      </c>
      <c r="D465" s="4">
        <v>35724</v>
      </c>
      <c r="E465" s="4">
        <v>35766</v>
      </c>
      <c r="F465" s="4">
        <v>35732</v>
      </c>
      <c r="G465" s="3">
        <v>2</v>
      </c>
      <c r="H465" s="3">
        <v>52.41</v>
      </c>
      <c r="I465" s="3" t="s">
        <v>227</v>
      </c>
      <c r="J465" s="3" t="s">
        <v>228</v>
      </c>
      <c r="K465" s="3" t="s">
        <v>229</v>
      </c>
      <c r="L465" s="3" t="s">
        <v>230</v>
      </c>
      <c r="M465" s="3">
        <v>83720</v>
      </c>
      <c r="N465" s="3" t="s">
        <v>86</v>
      </c>
      <c r="O465" s="2"/>
      <c r="P465" t="str">
        <f t="shared" si="36"/>
        <v>187 Suffolk Ln.</v>
      </c>
      <c r="Q465" t="str">
        <f t="shared" si="40"/>
        <v>Boise</v>
      </c>
      <c r="R465" t="str">
        <f t="shared" si="37"/>
        <v>ID</v>
      </c>
      <c r="S465">
        <f t="shared" si="38"/>
        <v>83720</v>
      </c>
      <c r="T465" t="str">
        <f t="shared" si="39"/>
        <v>USA</v>
      </c>
    </row>
    <row r="466" spans="1:20" x14ac:dyDescent="0.2">
      <c r="A466" s="1">
        <v>10712</v>
      </c>
      <c r="B466" s="3" t="s">
        <v>179</v>
      </c>
      <c r="C466" s="3">
        <v>3</v>
      </c>
      <c r="D466" s="4">
        <v>35724</v>
      </c>
      <c r="E466" s="4">
        <v>35752</v>
      </c>
      <c r="F466" s="4">
        <v>35734</v>
      </c>
      <c r="G466" s="3">
        <v>1</v>
      </c>
      <c r="H466" s="3">
        <v>89.93</v>
      </c>
      <c r="I466" s="3" t="s">
        <v>180</v>
      </c>
      <c r="J466" s="3" t="s">
        <v>181</v>
      </c>
      <c r="K466" s="3" t="s">
        <v>182</v>
      </c>
      <c r="L466" s="3" t="s">
        <v>183</v>
      </c>
      <c r="M466" s="3" t="s">
        <v>18</v>
      </c>
      <c r="N466" s="3" t="s">
        <v>184</v>
      </c>
      <c r="O466" s="2"/>
      <c r="P466" t="str">
        <f t="shared" si="36"/>
        <v>8 Johnstown Road</v>
      </c>
      <c r="Q466" t="str">
        <f t="shared" si="40"/>
        <v>Cork</v>
      </c>
      <c r="R466" t="str">
        <f t="shared" si="37"/>
        <v>Co. Cork</v>
      </c>
      <c r="S466" t="str">
        <f t="shared" si="38"/>
        <v>NULL</v>
      </c>
      <c r="T466" t="str">
        <f t="shared" si="39"/>
        <v>Ireland</v>
      </c>
    </row>
    <row r="467" spans="1:20" x14ac:dyDescent="0.2">
      <c r="A467" s="1">
        <v>10713</v>
      </c>
      <c r="B467" s="3" t="s">
        <v>226</v>
      </c>
      <c r="C467" s="3">
        <v>1</v>
      </c>
      <c r="D467" s="4">
        <v>35725</v>
      </c>
      <c r="E467" s="4">
        <v>35753</v>
      </c>
      <c r="F467" s="4">
        <v>35727</v>
      </c>
      <c r="G467" s="3">
        <v>1</v>
      </c>
      <c r="H467" s="3">
        <v>167.05</v>
      </c>
      <c r="I467" s="3" t="s">
        <v>227</v>
      </c>
      <c r="J467" s="3" t="s">
        <v>228</v>
      </c>
      <c r="K467" s="3" t="s">
        <v>229</v>
      </c>
      <c r="L467" s="3" t="s">
        <v>230</v>
      </c>
      <c r="M467" s="3">
        <v>83720</v>
      </c>
      <c r="N467" s="3" t="s">
        <v>86</v>
      </c>
      <c r="O467" s="2"/>
      <c r="P467" t="str">
        <f t="shared" si="36"/>
        <v>187 Suffolk Ln.</v>
      </c>
      <c r="Q467" t="str">
        <f t="shared" si="40"/>
        <v>Boise</v>
      </c>
      <c r="R467" t="str">
        <f t="shared" si="37"/>
        <v>ID</v>
      </c>
      <c r="S467">
        <f t="shared" si="38"/>
        <v>83720</v>
      </c>
      <c r="T467" t="str">
        <f t="shared" si="39"/>
        <v>USA</v>
      </c>
    </row>
    <row r="468" spans="1:20" x14ac:dyDescent="0.2">
      <c r="A468" s="1">
        <v>10714</v>
      </c>
      <c r="B468" s="3" t="s">
        <v>226</v>
      </c>
      <c r="C468" s="3">
        <v>5</v>
      </c>
      <c r="D468" s="4">
        <v>35725</v>
      </c>
      <c r="E468" s="4">
        <v>35753</v>
      </c>
      <c r="F468" s="4">
        <v>35730</v>
      </c>
      <c r="G468" s="3">
        <v>3</v>
      </c>
      <c r="H468" s="3">
        <v>24.49</v>
      </c>
      <c r="I468" s="3" t="s">
        <v>227</v>
      </c>
      <c r="J468" s="3" t="s">
        <v>228</v>
      </c>
      <c r="K468" s="3" t="s">
        <v>229</v>
      </c>
      <c r="L468" s="3" t="s">
        <v>230</v>
      </c>
      <c r="M468" s="3">
        <v>83720</v>
      </c>
      <c r="N468" s="3" t="s">
        <v>86</v>
      </c>
      <c r="O468" s="2"/>
      <c r="P468" t="str">
        <f t="shared" si="36"/>
        <v>187 Suffolk Ln.</v>
      </c>
      <c r="Q468" t="str">
        <f t="shared" si="40"/>
        <v>Boise</v>
      </c>
      <c r="R468" t="str">
        <f t="shared" si="37"/>
        <v>ID</v>
      </c>
      <c r="S468">
        <f t="shared" si="38"/>
        <v>83720</v>
      </c>
      <c r="T468" t="str">
        <f t="shared" si="39"/>
        <v>USA</v>
      </c>
    </row>
    <row r="469" spans="1:20" x14ac:dyDescent="0.2">
      <c r="A469" s="1">
        <v>10715</v>
      </c>
      <c r="B469" s="3" t="s">
        <v>239</v>
      </c>
      <c r="C469" s="3">
        <v>3</v>
      </c>
      <c r="D469" s="4">
        <v>35726</v>
      </c>
      <c r="E469" s="4">
        <v>35740</v>
      </c>
      <c r="F469" s="4">
        <v>35732</v>
      </c>
      <c r="G469" s="3">
        <v>1</v>
      </c>
      <c r="H469" s="3">
        <v>63.2</v>
      </c>
      <c r="I469" s="3" t="s">
        <v>240</v>
      </c>
      <c r="J469" s="3">
        <v>12</v>
      </c>
      <c r="K469" s="3" t="s">
        <v>241</v>
      </c>
      <c r="L469" s="3" t="s">
        <v>242</v>
      </c>
      <c r="M469" s="3" t="s">
        <v>18</v>
      </c>
      <c r="N469" s="3">
        <v>13008</v>
      </c>
      <c r="O469" s="3" t="s">
        <v>19</v>
      </c>
      <c r="P469" t="str">
        <f t="shared" si="36"/>
        <v>12  rue des Bouchers</v>
      </c>
      <c r="Q469" t="str">
        <f t="shared" si="40"/>
        <v>Marseille</v>
      </c>
      <c r="R469" t="str">
        <f t="shared" si="37"/>
        <v>NULL</v>
      </c>
      <c r="S469">
        <f t="shared" si="38"/>
        <v>13008</v>
      </c>
      <c r="T469" t="str">
        <f t="shared" si="39"/>
        <v>France</v>
      </c>
    </row>
    <row r="470" spans="1:20" x14ac:dyDescent="0.2">
      <c r="A470" s="1">
        <v>10716</v>
      </c>
      <c r="B470" s="3" t="s">
        <v>351</v>
      </c>
      <c r="C470" s="3">
        <v>4</v>
      </c>
      <c r="D470" s="4">
        <v>35727</v>
      </c>
      <c r="E470" s="4">
        <v>35755</v>
      </c>
      <c r="F470" s="4">
        <v>35730</v>
      </c>
      <c r="G470" s="3">
        <v>2</v>
      </c>
      <c r="H470" s="3">
        <v>22.57</v>
      </c>
      <c r="I470" s="3" t="s">
        <v>352</v>
      </c>
      <c r="J470" s="3" t="s">
        <v>353</v>
      </c>
      <c r="K470" s="3" t="s">
        <v>336</v>
      </c>
      <c r="L470" s="3" t="s">
        <v>18</v>
      </c>
      <c r="M470" s="3">
        <v>1010</v>
      </c>
      <c r="N470" s="3" t="s">
        <v>337</v>
      </c>
      <c r="O470" s="2"/>
      <c r="P470" t="str">
        <f t="shared" si="36"/>
        <v>Av. del Libertador 900</v>
      </c>
      <c r="Q470" t="str">
        <f t="shared" si="40"/>
        <v>Buenos Aires</v>
      </c>
      <c r="R470" t="str">
        <f t="shared" si="37"/>
        <v>NULL</v>
      </c>
      <c r="S470">
        <f t="shared" si="38"/>
        <v>1010</v>
      </c>
      <c r="T470" t="str">
        <f t="shared" si="39"/>
        <v>Argentina</v>
      </c>
    </row>
    <row r="471" spans="1:20" x14ac:dyDescent="0.2">
      <c r="A471" s="1">
        <v>10717</v>
      </c>
      <c r="B471" s="3" t="s">
        <v>102</v>
      </c>
      <c r="C471" s="3">
        <v>1</v>
      </c>
      <c r="D471" s="4">
        <v>35727</v>
      </c>
      <c r="E471" s="4">
        <v>35755</v>
      </c>
      <c r="F471" s="4">
        <v>35732</v>
      </c>
      <c r="G471" s="3">
        <v>2</v>
      </c>
      <c r="H471" s="3">
        <v>59.25</v>
      </c>
      <c r="I471" s="3" t="s">
        <v>103</v>
      </c>
      <c r="J471" s="3" t="s">
        <v>104</v>
      </c>
      <c r="K471" s="3" t="s">
        <v>105</v>
      </c>
      <c r="L471" s="3" t="s">
        <v>18</v>
      </c>
      <c r="M471" s="3">
        <v>80805</v>
      </c>
      <c r="N471" s="3" t="s">
        <v>24</v>
      </c>
      <c r="O471" s="2"/>
      <c r="P471" t="str">
        <f t="shared" si="36"/>
        <v>Berliner Platz 43</v>
      </c>
      <c r="Q471" t="str">
        <f t="shared" si="40"/>
        <v>München</v>
      </c>
      <c r="R471" t="str">
        <f t="shared" si="37"/>
        <v>NULL</v>
      </c>
      <c r="S471">
        <f t="shared" si="38"/>
        <v>80805</v>
      </c>
      <c r="T471" t="str">
        <f t="shared" si="39"/>
        <v>Germany</v>
      </c>
    </row>
    <row r="472" spans="1:20" x14ac:dyDescent="0.2">
      <c r="A472" s="1">
        <v>10718</v>
      </c>
      <c r="B472" s="3" t="s">
        <v>222</v>
      </c>
      <c r="C472" s="3">
        <v>1</v>
      </c>
      <c r="D472" s="4">
        <v>35730</v>
      </c>
      <c r="E472" s="4">
        <v>35758</v>
      </c>
      <c r="F472" s="4">
        <v>35732</v>
      </c>
      <c r="G472" s="3">
        <v>3</v>
      </c>
      <c r="H472" s="3">
        <v>170.88</v>
      </c>
      <c r="I472" s="3" t="s">
        <v>223</v>
      </c>
      <c r="J472" s="3" t="s">
        <v>224</v>
      </c>
      <c r="K472" s="3" t="s">
        <v>225</v>
      </c>
      <c r="L472" s="3" t="s">
        <v>18</v>
      </c>
      <c r="M472" s="3">
        <v>14776</v>
      </c>
      <c r="N472" s="3" t="s">
        <v>24</v>
      </c>
      <c r="O472" s="2"/>
      <c r="P472" t="str">
        <f t="shared" si="36"/>
        <v>Maubelstr. 90</v>
      </c>
      <c r="Q472" t="str">
        <f t="shared" si="40"/>
        <v>Brandenburg</v>
      </c>
      <c r="R472" t="str">
        <f t="shared" si="37"/>
        <v>NULL</v>
      </c>
      <c r="S472">
        <f t="shared" si="38"/>
        <v>14776</v>
      </c>
      <c r="T472" t="str">
        <f t="shared" si="39"/>
        <v>Germany</v>
      </c>
    </row>
    <row r="473" spans="1:20" x14ac:dyDescent="0.2">
      <c r="A473" s="1">
        <v>10719</v>
      </c>
      <c r="B473" s="3" t="s">
        <v>387</v>
      </c>
      <c r="C473" s="3">
        <v>8</v>
      </c>
      <c r="D473" s="4">
        <v>35730</v>
      </c>
      <c r="E473" s="4">
        <v>35758</v>
      </c>
      <c r="F473" s="4">
        <v>35739</v>
      </c>
      <c r="G473" s="3">
        <v>2</v>
      </c>
      <c r="H473" s="3">
        <v>51.44</v>
      </c>
      <c r="I473" s="3" t="s">
        <v>388</v>
      </c>
      <c r="J473" s="3" t="s">
        <v>389</v>
      </c>
      <c r="K473" s="3" t="s">
        <v>390</v>
      </c>
      <c r="L473" s="3" t="s">
        <v>391</v>
      </c>
      <c r="M473" s="3">
        <v>94117</v>
      </c>
      <c r="N473" s="3" t="s">
        <v>86</v>
      </c>
      <c r="O473" s="2"/>
      <c r="P473" t="str">
        <f t="shared" si="36"/>
        <v>87 Polk St. Suite 5</v>
      </c>
      <c r="Q473" t="str">
        <f t="shared" si="40"/>
        <v>San Francisco</v>
      </c>
      <c r="R473" t="str">
        <f t="shared" si="37"/>
        <v>CA</v>
      </c>
      <c r="S473">
        <f t="shared" si="38"/>
        <v>94117</v>
      </c>
      <c r="T473" t="str">
        <f t="shared" si="39"/>
        <v>USA</v>
      </c>
    </row>
    <row r="474" spans="1:20" x14ac:dyDescent="0.2">
      <c r="A474" s="1">
        <v>10720</v>
      </c>
      <c r="B474" s="3" t="s">
        <v>77</v>
      </c>
      <c r="C474" s="3">
        <v>8</v>
      </c>
      <c r="D474" s="4">
        <v>35731</v>
      </c>
      <c r="E474" s="4">
        <v>35745</v>
      </c>
      <c r="F474" s="4">
        <v>35739</v>
      </c>
      <c r="G474" s="3">
        <v>2</v>
      </c>
      <c r="H474" s="3">
        <v>9.5299999999999994</v>
      </c>
      <c r="I474" s="3" t="s">
        <v>78</v>
      </c>
      <c r="J474" s="3" t="s">
        <v>79</v>
      </c>
      <c r="K474" s="3">
        <v>12</v>
      </c>
      <c r="L474" s="3" t="s">
        <v>28</v>
      </c>
      <c r="M474" s="3" t="s">
        <v>29</v>
      </c>
      <c r="N474" s="3" t="s">
        <v>80</v>
      </c>
      <c r="O474" s="3" t="s">
        <v>31</v>
      </c>
      <c r="P474" t="str">
        <f t="shared" si="36"/>
        <v>Rua da Panificadora 12</v>
      </c>
      <c r="Q474" t="str">
        <f t="shared" si="40"/>
        <v>Rio de Janeiro</v>
      </c>
      <c r="R474" t="str">
        <f t="shared" si="37"/>
        <v>RJ</v>
      </c>
      <c r="S474" t="str">
        <f t="shared" si="38"/>
        <v>02389-673</v>
      </c>
      <c r="T474" t="str">
        <f t="shared" si="39"/>
        <v>Brazil</v>
      </c>
    </row>
    <row r="475" spans="1:20" x14ac:dyDescent="0.2">
      <c r="A475" s="1">
        <v>10721</v>
      </c>
      <c r="B475" s="3" t="s">
        <v>121</v>
      </c>
      <c r="C475" s="3">
        <v>5</v>
      </c>
      <c r="D475" s="4">
        <v>35732</v>
      </c>
      <c r="E475" s="4">
        <v>35760</v>
      </c>
      <c r="F475" s="4">
        <v>35734</v>
      </c>
      <c r="G475" s="3">
        <v>3</v>
      </c>
      <c r="H475" s="3">
        <v>48.92</v>
      </c>
      <c r="I475" s="3" t="s">
        <v>122</v>
      </c>
      <c r="J475" s="3" t="s">
        <v>123</v>
      </c>
      <c r="K475" s="3" t="s">
        <v>124</v>
      </c>
      <c r="L475" s="3" t="s">
        <v>18</v>
      </c>
      <c r="M475" s="3">
        <v>1307</v>
      </c>
      <c r="N475" s="3" t="s">
        <v>24</v>
      </c>
      <c r="O475" s="2"/>
      <c r="P475" t="str">
        <f t="shared" si="36"/>
        <v>Taucherstraße 10</v>
      </c>
      <c r="Q475" t="str">
        <f t="shared" si="40"/>
        <v>Cunewalde</v>
      </c>
      <c r="R475" t="str">
        <f t="shared" si="37"/>
        <v>NULL</v>
      </c>
      <c r="S475">
        <f t="shared" si="38"/>
        <v>1307</v>
      </c>
      <c r="T475" t="str">
        <f t="shared" si="39"/>
        <v>Germany</v>
      </c>
    </row>
    <row r="476" spans="1:20" x14ac:dyDescent="0.2">
      <c r="A476" s="1">
        <v>10722</v>
      </c>
      <c r="B476" s="3" t="s">
        <v>226</v>
      </c>
      <c r="C476" s="3">
        <v>8</v>
      </c>
      <c r="D476" s="4">
        <v>35732</v>
      </c>
      <c r="E476" s="4">
        <v>35774</v>
      </c>
      <c r="F476" s="4">
        <v>35738</v>
      </c>
      <c r="G476" s="3">
        <v>1</v>
      </c>
      <c r="H476" s="3">
        <v>74.58</v>
      </c>
      <c r="I476" s="3" t="s">
        <v>227</v>
      </c>
      <c r="J476" s="3" t="s">
        <v>228</v>
      </c>
      <c r="K476" s="3" t="s">
        <v>229</v>
      </c>
      <c r="L476" s="3" t="s">
        <v>230</v>
      </c>
      <c r="M476" s="3">
        <v>83720</v>
      </c>
      <c r="N476" s="3" t="s">
        <v>86</v>
      </c>
      <c r="O476" s="2"/>
      <c r="P476" t="str">
        <f t="shared" si="36"/>
        <v>187 Suffolk Ln.</v>
      </c>
      <c r="Q476" t="str">
        <f t="shared" si="40"/>
        <v>Boise</v>
      </c>
      <c r="R476" t="str">
        <f t="shared" si="37"/>
        <v>ID</v>
      </c>
      <c r="S476">
        <f t="shared" si="38"/>
        <v>83720</v>
      </c>
      <c r="T476" t="str">
        <f t="shared" si="39"/>
        <v>USA</v>
      </c>
    </row>
    <row r="477" spans="1:20" x14ac:dyDescent="0.2">
      <c r="A477" s="1">
        <v>10723</v>
      </c>
      <c r="B477" s="3" t="s">
        <v>111</v>
      </c>
      <c r="C477" s="3">
        <v>3</v>
      </c>
      <c r="D477" s="4">
        <v>35733</v>
      </c>
      <c r="E477" s="4">
        <v>35761</v>
      </c>
      <c r="F477" s="4">
        <v>35759</v>
      </c>
      <c r="G477" s="3">
        <v>1</v>
      </c>
      <c r="H477" s="3">
        <v>21.72</v>
      </c>
      <c r="I477" s="3" t="s">
        <v>112</v>
      </c>
      <c r="J477" s="3" t="s">
        <v>113</v>
      </c>
      <c r="K477" s="3" t="s">
        <v>114</v>
      </c>
      <c r="L477" s="3" t="s">
        <v>115</v>
      </c>
      <c r="M477" s="3">
        <v>98124</v>
      </c>
      <c r="N477" s="3" t="s">
        <v>86</v>
      </c>
      <c r="O477" s="2"/>
      <c r="P477" t="str">
        <f t="shared" si="36"/>
        <v>1029 - 12th Ave. S.</v>
      </c>
      <c r="Q477" t="str">
        <f t="shared" si="40"/>
        <v>Seattle</v>
      </c>
      <c r="R477" t="str">
        <f t="shared" si="37"/>
        <v>WA</v>
      </c>
      <c r="S477">
        <f t="shared" si="38"/>
        <v>98124</v>
      </c>
      <c r="T477" t="str">
        <f t="shared" si="39"/>
        <v>USA</v>
      </c>
    </row>
    <row r="478" spans="1:20" x14ac:dyDescent="0.2">
      <c r="A478" s="1">
        <v>10724</v>
      </c>
      <c r="B478" s="3" t="s">
        <v>243</v>
      </c>
      <c r="C478" s="3">
        <v>8</v>
      </c>
      <c r="D478" s="4">
        <v>35733</v>
      </c>
      <c r="E478" s="4">
        <v>35775</v>
      </c>
      <c r="F478" s="4">
        <v>35739</v>
      </c>
      <c r="G478" s="3">
        <v>2</v>
      </c>
      <c r="H478" s="3">
        <v>57.75</v>
      </c>
      <c r="I478" s="3" t="s">
        <v>244</v>
      </c>
      <c r="J478" s="3" t="s">
        <v>245</v>
      </c>
      <c r="K478" s="3" t="s">
        <v>246</v>
      </c>
      <c r="L478" s="3" t="s">
        <v>247</v>
      </c>
      <c r="M478" s="3" t="s">
        <v>248</v>
      </c>
      <c r="N478" s="3" t="s">
        <v>249</v>
      </c>
      <c r="O478" s="2"/>
      <c r="P478" t="str">
        <f t="shared" si="36"/>
        <v>43 rue St. Laurent</v>
      </c>
      <c r="Q478" t="str">
        <f t="shared" si="40"/>
        <v>Montréal</v>
      </c>
      <c r="R478" t="str">
        <f t="shared" si="37"/>
        <v>Québec</v>
      </c>
      <c r="S478" t="str">
        <f t="shared" si="38"/>
        <v>H1J 1C3</v>
      </c>
      <c r="T478" t="str">
        <f t="shared" si="39"/>
        <v>Canada</v>
      </c>
    </row>
    <row r="479" spans="1:20" x14ac:dyDescent="0.2">
      <c r="A479" s="1">
        <v>10725</v>
      </c>
      <c r="B479" s="3" t="s">
        <v>258</v>
      </c>
      <c r="C479" s="3">
        <v>4</v>
      </c>
      <c r="D479" s="4">
        <v>35734</v>
      </c>
      <c r="E479" s="4">
        <v>35762</v>
      </c>
      <c r="F479" s="4">
        <v>35739</v>
      </c>
      <c r="G479" s="3">
        <v>3</v>
      </c>
      <c r="H479" s="3">
        <v>10.83</v>
      </c>
      <c r="I479" s="3" t="s">
        <v>259</v>
      </c>
      <c r="J479" s="3" t="s">
        <v>260</v>
      </c>
      <c r="K479" s="3">
        <v>92</v>
      </c>
      <c r="L479" s="3" t="s">
        <v>173</v>
      </c>
      <c r="M479" s="3" t="s">
        <v>55</v>
      </c>
      <c r="N479" s="3" t="s">
        <v>261</v>
      </c>
      <c r="O479" s="3" t="s">
        <v>31</v>
      </c>
      <c r="P479" t="str">
        <f t="shared" si="36"/>
        <v>Rua Orós 92</v>
      </c>
      <c r="Q479" t="str">
        <f t="shared" si="40"/>
        <v>Sao Paulo</v>
      </c>
      <c r="R479" t="str">
        <f t="shared" si="37"/>
        <v>SP</v>
      </c>
      <c r="S479" t="str">
        <f t="shared" si="38"/>
        <v>05442-030</v>
      </c>
      <c r="T479" t="str">
        <f t="shared" si="39"/>
        <v>Brazil</v>
      </c>
    </row>
    <row r="480" spans="1:20" x14ac:dyDescent="0.2">
      <c r="A480" s="1">
        <v>10726</v>
      </c>
      <c r="B480" s="3" t="s">
        <v>284</v>
      </c>
      <c r="C480" s="3">
        <v>4</v>
      </c>
      <c r="D480" s="4">
        <v>35737</v>
      </c>
      <c r="E480" s="4">
        <v>35751</v>
      </c>
      <c r="F480" s="4">
        <v>35769</v>
      </c>
      <c r="G480" s="3">
        <v>1</v>
      </c>
      <c r="H480" s="3">
        <v>16.559999999999999</v>
      </c>
      <c r="I480" s="3" t="s">
        <v>285</v>
      </c>
      <c r="J480" s="3" t="s">
        <v>286</v>
      </c>
      <c r="K480" s="3" t="s">
        <v>167</v>
      </c>
      <c r="L480" s="3" t="s">
        <v>18</v>
      </c>
      <c r="M480" s="3" t="s">
        <v>287</v>
      </c>
      <c r="N480" s="3" t="s">
        <v>169</v>
      </c>
      <c r="O480" s="2"/>
      <c r="P480" t="str">
        <f t="shared" si="36"/>
        <v>35 King George</v>
      </c>
      <c r="Q480" t="str">
        <f t="shared" si="40"/>
        <v>London</v>
      </c>
      <c r="R480" t="str">
        <f t="shared" si="37"/>
        <v>NULL</v>
      </c>
      <c r="S480" t="str">
        <f t="shared" si="38"/>
        <v>WX3 6FW</v>
      </c>
      <c r="T480" t="str">
        <f t="shared" si="39"/>
        <v>UK</v>
      </c>
    </row>
    <row r="481" spans="1:20" x14ac:dyDescent="0.2">
      <c r="A481" s="1">
        <v>10727</v>
      </c>
      <c r="B481" s="3" t="s">
        <v>160</v>
      </c>
      <c r="C481" s="3">
        <v>2</v>
      </c>
      <c r="D481" s="4">
        <v>35737</v>
      </c>
      <c r="E481" s="4">
        <v>35765</v>
      </c>
      <c r="F481" s="4">
        <v>35769</v>
      </c>
      <c r="G481" s="3">
        <v>1</v>
      </c>
      <c r="H481" s="3">
        <v>89.9</v>
      </c>
      <c r="I481" s="3" t="s">
        <v>161</v>
      </c>
      <c r="J481" s="3" t="s">
        <v>162</v>
      </c>
      <c r="K481" s="3" t="s">
        <v>163</v>
      </c>
      <c r="L481" s="3" t="s">
        <v>18</v>
      </c>
      <c r="M481" s="3">
        <v>42100</v>
      </c>
      <c r="N481" s="3" t="s">
        <v>129</v>
      </c>
      <c r="O481" s="2"/>
      <c r="P481" t="str">
        <f t="shared" si="36"/>
        <v>Strada Provinciale 124</v>
      </c>
      <c r="Q481" t="str">
        <f t="shared" si="40"/>
        <v>Reggio Emilia</v>
      </c>
      <c r="R481" t="str">
        <f t="shared" si="37"/>
        <v>NULL</v>
      </c>
      <c r="S481">
        <f t="shared" si="38"/>
        <v>42100</v>
      </c>
      <c r="T481" t="str">
        <f t="shared" si="39"/>
        <v>Italy</v>
      </c>
    </row>
    <row r="482" spans="1:20" x14ac:dyDescent="0.2">
      <c r="A482" s="1">
        <v>10728</v>
      </c>
      <c r="B482" s="3" t="s">
        <v>299</v>
      </c>
      <c r="C482" s="3">
        <v>4</v>
      </c>
      <c r="D482" s="4">
        <v>35738</v>
      </c>
      <c r="E482" s="4">
        <v>35766</v>
      </c>
      <c r="F482" s="4">
        <v>35745</v>
      </c>
      <c r="G482" s="3">
        <v>2</v>
      </c>
      <c r="H482" s="3">
        <v>58.33</v>
      </c>
      <c r="I482" s="3" t="s">
        <v>300</v>
      </c>
      <c r="J482" s="3" t="s">
        <v>301</v>
      </c>
      <c r="K482" s="3">
        <v>891</v>
      </c>
      <c r="L482" s="3" t="s">
        <v>173</v>
      </c>
      <c r="M482" s="3" t="s">
        <v>55</v>
      </c>
      <c r="N482" s="3" t="s">
        <v>302</v>
      </c>
      <c r="O482" s="3" t="s">
        <v>31</v>
      </c>
      <c r="P482" t="str">
        <f t="shared" si="36"/>
        <v>Alameda dos Canàrios 891</v>
      </c>
      <c r="Q482" t="str">
        <f t="shared" si="40"/>
        <v>Sao Paulo</v>
      </c>
      <c r="R482" t="str">
        <f t="shared" si="37"/>
        <v>SP</v>
      </c>
      <c r="S482" t="str">
        <f t="shared" si="38"/>
        <v>05487-020</v>
      </c>
      <c r="T482" t="str">
        <f t="shared" si="39"/>
        <v>Brazil</v>
      </c>
    </row>
    <row r="483" spans="1:20" x14ac:dyDescent="0.2">
      <c r="A483" s="1">
        <v>10729</v>
      </c>
      <c r="B483" s="3" t="s">
        <v>324</v>
      </c>
      <c r="C483" s="3">
        <v>8</v>
      </c>
      <c r="D483" s="4">
        <v>35738</v>
      </c>
      <c r="E483" s="4">
        <v>35780</v>
      </c>
      <c r="F483" s="4">
        <v>35748</v>
      </c>
      <c r="G483" s="3">
        <v>3</v>
      </c>
      <c r="H483" s="3">
        <v>141.06</v>
      </c>
      <c r="I483" s="3" t="s">
        <v>325</v>
      </c>
      <c r="J483" s="3" t="s">
        <v>326</v>
      </c>
      <c r="K483" s="3" t="s">
        <v>327</v>
      </c>
      <c r="L483" s="3" t="s">
        <v>328</v>
      </c>
      <c r="M483" s="3">
        <v>4980</v>
      </c>
      <c r="N483" s="3" t="s">
        <v>62</v>
      </c>
      <c r="O483" s="2"/>
      <c r="P483" t="str">
        <f t="shared" si="36"/>
        <v>Ave. 5 de Mayo Porlamar</v>
      </c>
      <c r="Q483" t="str">
        <f t="shared" si="40"/>
        <v>I. de Margarita</v>
      </c>
      <c r="R483" t="str">
        <f t="shared" si="37"/>
        <v>Nueva Esparta</v>
      </c>
      <c r="S483">
        <f t="shared" si="38"/>
        <v>4980</v>
      </c>
      <c r="T483" t="str">
        <f t="shared" si="39"/>
        <v>Venezuela</v>
      </c>
    </row>
    <row r="484" spans="1:20" x14ac:dyDescent="0.2">
      <c r="A484" s="1">
        <v>10730</v>
      </c>
      <c r="B484" s="3" t="s">
        <v>239</v>
      </c>
      <c r="C484" s="3">
        <v>5</v>
      </c>
      <c r="D484" s="4">
        <v>35739</v>
      </c>
      <c r="E484" s="4">
        <v>35767</v>
      </c>
      <c r="F484" s="4">
        <v>35748</v>
      </c>
      <c r="G484" s="3">
        <v>1</v>
      </c>
      <c r="H484" s="3">
        <v>20.12</v>
      </c>
      <c r="I484" s="3" t="s">
        <v>240</v>
      </c>
      <c r="J484" s="3">
        <v>12</v>
      </c>
      <c r="K484" s="3" t="s">
        <v>241</v>
      </c>
      <c r="L484" s="3" t="s">
        <v>242</v>
      </c>
      <c r="M484" s="3" t="s">
        <v>18</v>
      </c>
      <c r="N484" s="3">
        <v>13008</v>
      </c>
      <c r="O484" s="3" t="s">
        <v>19</v>
      </c>
      <c r="P484" t="str">
        <f t="shared" si="36"/>
        <v>12  rue des Bouchers</v>
      </c>
      <c r="Q484" t="str">
        <f t="shared" si="40"/>
        <v>Marseille</v>
      </c>
      <c r="R484" t="str">
        <f t="shared" si="37"/>
        <v>NULL</v>
      </c>
      <c r="S484">
        <f t="shared" si="38"/>
        <v>13008</v>
      </c>
      <c r="T484" t="str">
        <f t="shared" si="39"/>
        <v>France</v>
      </c>
    </row>
    <row r="485" spans="1:20" x14ac:dyDescent="0.2">
      <c r="A485" s="1">
        <v>10731</v>
      </c>
      <c r="B485" s="3" t="s">
        <v>42</v>
      </c>
      <c r="C485" s="3">
        <v>7</v>
      </c>
      <c r="D485" s="4">
        <v>35740</v>
      </c>
      <c r="E485" s="4">
        <v>35768</v>
      </c>
      <c r="F485" s="4">
        <v>35748</v>
      </c>
      <c r="G485" s="3">
        <v>1</v>
      </c>
      <c r="H485" s="3">
        <v>96.65</v>
      </c>
      <c r="I485" s="3" t="s">
        <v>43</v>
      </c>
      <c r="J485" s="3" t="s">
        <v>44</v>
      </c>
      <c r="K485" s="3" t="s">
        <v>45</v>
      </c>
      <c r="L485" s="3" t="s">
        <v>18</v>
      </c>
      <c r="M485" s="3">
        <v>3012</v>
      </c>
      <c r="N485" s="3" t="s">
        <v>46</v>
      </c>
      <c r="O485" s="2"/>
      <c r="P485" t="str">
        <f t="shared" si="36"/>
        <v>Hauptstr. 31</v>
      </c>
      <c r="Q485" t="str">
        <f t="shared" si="40"/>
        <v>Bern</v>
      </c>
      <c r="R485" t="str">
        <f t="shared" si="37"/>
        <v>NULL</v>
      </c>
      <c r="S485">
        <f t="shared" si="38"/>
        <v>3012</v>
      </c>
      <c r="T485" t="str">
        <f t="shared" si="39"/>
        <v>Switzerland</v>
      </c>
    </row>
    <row r="486" spans="1:20" x14ac:dyDescent="0.2">
      <c r="A486" s="1">
        <v>10732</v>
      </c>
      <c r="B486" s="3" t="s">
        <v>239</v>
      </c>
      <c r="C486" s="3">
        <v>3</v>
      </c>
      <c r="D486" s="4">
        <v>35740</v>
      </c>
      <c r="E486" s="4">
        <v>35768</v>
      </c>
      <c r="F486" s="4">
        <v>35741</v>
      </c>
      <c r="G486" s="3">
        <v>1</v>
      </c>
      <c r="H486" s="3">
        <v>16.97</v>
      </c>
      <c r="I486" s="3" t="s">
        <v>240</v>
      </c>
      <c r="J486" s="3">
        <v>12</v>
      </c>
      <c r="K486" s="3" t="s">
        <v>241</v>
      </c>
      <c r="L486" s="3" t="s">
        <v>242</v>
      </c>
      <c r="M486" s="3" t="s">
        <v>18</v>
      </c>
      <c r="N486" s="3">
        <v>13008</v>
      </c>
      <c r="O486" s="3" t="s">
        <v>19</v>
      </c>
      <c r="P486" t="str">
        <f t="shared" si="36"/>
        <v>12  rue des Bouchers</v>
      </c>
      <c r="Q486" t="str">
        <f t="shared" si="40"/>
        <v>Marseille</v>
      </c>
      <c r="R486" t="str">
        <f t="shared" si="37"/>
        <v>NULL</v>
      </c>
      <c r="S486">
        <f t="shared" si="38"/>
        <v>13008</v>
      </c>
      <c r="T486" t="str">
        <f t="shared" si="39"/>
        <v>France</v>
      </c>
    </row>
    <row r="487" spans="1:20" x14ac:dyDescent="0.2">
      <c r="A487" s="1">
        <v>10733</v>
      </c>
      <c r="B487" s="3" t="s">
        <v>137</v>
      </c>
      <c r="C487" s="3">
        <v>1</v>
      </c>
      <c r="D487" s="4">
        <v>35741</v>
      </c>
      <c r="E487" s="4">
        <v>35769</v>
      </c>
      <c r="F487" s="4">
        <v>35744</v>
      </c>
      <c r="G487" s="3">
        <v>3</v>
      </c>
      <c r="H487" s="3">
        <v>110.11</v>
      </c>
      <c r="I487" s="3" t="s">
        <v>138</v>
      </c>
      <c r="J487" s="3" t="s">
        <v>139</v>
      </c>
      <c r="K487" s="3" t="s">
        <v>140</v>
      </c>
      <c r="L487" s="3" t="s">
        <v>18</v>
      </c>
      <c r="M487" s="3" t="s">
        <v>141</v>
      </c>
      <c r="N487" s="3" t="s">
        <v>92</v>
      </c>
      <c r="O487" s="2"/>
      <c r="P487" t="str">
        <f t="shared" si="36"/>
        <v>Berguvsvägen  8</v>
      </c>
      <c r="Q487" t="str">
        <f t="shared" si="40"/>
        <v>Luleå</v>
      </c>
      <c r="R487" t="str">
        <f t="shared" si="37"/>
        <v>NULL</v>
      </c>
      <c r="S487" t="str">
        <f t="shared" si="38"/>
        <v>S-958 22</v>
      </c>
      <c r="T487" t="str">
        <f t="shared" si="39"/>
        <v>Sweden</v>
      </c>
    </row>
    <row r="488" spans="1:20" x14ac:dyDescent="0.2">
      <c r="A488" s="1">
        <v>10734</v>
      </c>
      <c r="B488" s="3" t="s">
        <v>342</v>
      </c>
      <c r="C488" s="3">
        <v>2</v>
      </c>
      <c r="D488" s="4">
        <v>35741</v>
      </c>
      <c r="E488" s="4">
        <v>35769</v>
      </c>
      <c r="F488" s="4">
        <v>35746</v>
      </c>
      <c r="G488" s="3">
        <v>3</v>
      </c>
      <c r="H488" s="3">
        <v>1.63</v>
      </c>
      <c r="I488" s="3" t="s">
        <v>343</v>
      </c>
      <c r="J488" s="3" t="s">
        <v>344</v>
      </c>
      <c r="K488" s="3">
        <v>442</v>
      </c>
      <c r="L488" s="3" t="s">
        <v>345</v>
      </c>
      <c r="M488" s="3" t="s">
        <v>55</v>
      </c>
      <c r="N488" s="3" t="s">
        <v>346</v>
      </c>
      <c r="O488" s="3" t="s">
        <v>31</v>
      </c>
      <c r="P488" t="str">
        <f t="shared" si="36"/>
        <v>Av. Brasil 442</v>
      </c>
      <c r="Q488" t="str">
        <f t="shared" si="40"/>
        <v>Campinas</v>
      </c>
      <c r="R488" t="str">
        <f t="shared" si="37"/>
        <v>SP</v>
      </c>
      <c r="S488" t="str">
        <f t="shared" si="38"/>
        <v>04876-786</v>
      </c>
      <c r="T488" t="str">
        <f t="shared" si="39"/>
        <v>Brazil</v>
      </c>
    </row>
    <row r="489" spans="1:20" x14ac:dyDescent="0.2">
      <c r="A489" s="1">
        <v>10735</v>
      </c>
      <c r="B489" s="3" t="s">
        <v>387</v>
      </c>
      <c r="C489" s="3">
        <v>6</v>
      </c>
      <c r="D489" s="4">
        <v>35744</v>
      </c>
      <c r="E489" s="4">
        <v>35772</v>
      </c>
      <c r="F489" s="4">
        <v>35755</v>
      </c>
      <c r="G489" s="3">
        <v>2</v>
      </c>
      <c r="H489" s="3">
        <v>45.97</v>
      </c>
      <c r="I489" s="3" t="s">
        <v>388</v>
      </c>
      <c r="J489" s="3" t="s">
        <v>389</v>
      </c>
      <c r="K489" s="3" t="s">
        <v>390</v>
      </c>
      <c r="L489" s="3" t="s">
        <v>391</v>
      </c>
      <c r="M489" s="3">
        <v>94117</v>
      </c>
      <c r="N489" s="3" t="s">
        <v>86</v>
      </c>
      <c r="O489" s="2"/>
      <c r="P489" t="str">
        <f t="shared" si="36"/>
        <v>87 Polk St. Suite 5</v>
      </c>
      <c r="Q489" t="str">
        <f t="shared" si="40"/>
        <v>San Francisco</v>
      </c>
      <c r="R489" t="str">
        <f t="shared" si="37"/>
        <v>CA</v>
      </c>
      <c r="S489">
        <f t="shared" si="38"/>
        <v>94117</v>
      </c>
      <c r="T489" t="str">
        <f t="shared" si="39"/>
        <v>USA</v>
      </c>
    </row>
    <row r="490" spans="1:20" x14ac:dyDescent="0.2">
      <c r="A490" s="1">
        <v>10736</v>
      </c>
      <c r="B490" s="3" t="s">
        <v>179</v>
      </c>
      <c r="C490" s="3">
        <v>9</v>
      </c>
      <c r="D490" s="4">
        <v>35745</v>
      </c>
      <c r="E490" s="4">
        <v>35773</v>
      </c>
      <c r="F490" s="4">
        <v>35755</v>
      </c>
      <c r="G490" s="3">
        <v>2</v>
      </c>
      <c r="H490" s="3">
        <v>44.1</v>
      </c>
      <c r="I490" s="3" t="s">
        <v>180</v>
      </c>
      <c r="J490" s="3" t="s">
        <v>181</v>
      </c>
      <c r="K490" s="3" t="s">
        <v>182</v>
      </c>
      <c r="L490" s="3" t="s">
        <v>183</v>
      </c>
      <c r="M490" s="3" t="s">
        <v>18</v>
      </c>
      <c r="N490" s="3" t="s">
        <v>184</v>
      </c>
      <c r="O490" s="2"/>
      <c r="P490" t="str">
        <f t="shared" si="36"/>
        <v>8 Johnstown Road</v>
      </c>
      <c r="Q490" t="str">
        <f t="shared" si="40"/>
        <v>Cork</v>
      </c>
      <c r="R490" t="str">
        <f t="shared" si="37"/>
        <v>Co. Cork</v>
      </c>
      <c r="S490" t="str">
        <f t="shared" si="38"/>
        <v>NULL</v>
      </c>
      <c r="T490" t="str">
        <f t="shared" si="39"/>
        <v>Ireland</v>
      </c>
    </row>
    <row r="491" spans="1:20" x14ac:dyDescent="0.2">
      <c r="A491" s="1">
        <v>10737</v>
      </c>
      <c r="B491" s="3" t="s">
        <v>14</v>
      </c>
      <c r="C491" s="3">
        <v>2</v>
      </c>
      <c r="D491" s="4">
        <v>35745</v>
      </c>
      <c r="E491" s="4">
        <v>35773</v>
      </c>
      <c r="F491" s="4">
        <v>35752</v>
      </c>
      <c r="G491" s="3">
        <v>2</v>
      </c>
      <c r="H491" s="3">
        <v>7.79</v>
      </c>
      <c r="I491" s="3" t="s">
        <v>15</v>
      </c>
      <c r="J491" s="3" t="s">
        <v>16</v>
      </c>
      <c r="K491" s="3" t="s">
        <v>17</v>
      </c>
      <c r="L491" s="3" t="s">
        <v>18</v>
      </c>
      <c r="M491" s="3">
        <v>51100</v>
      </c>
      <c r="N491" s="3" t="s">
        <v>19</v>
      </c>
      <c r="O491" s="2"/>
      <c r="P491" t="str">
        <f t="shared" si="36"/>
        <v>59 rue de l'Abbaye</v>
      </c>
      <c r="Q491" t="str">
        <f t="shared" si="40"/>
        <v>Reims</v>
      </c>
      <c r="R491" t="str">
        <f t="shared" si="37"/>
        <v>NULL</v>
      </c>
      <c r="S491">
        <f t="shared" si="38"/>
        <v>51100</v>
      </c>
      <c r="T491" t="str">
        <f t="shared" si="39"/>
        <v>France</v>
      </c>
    </row>
    <row r="492" spans="1:20" x14ac:dyDescent="0.2">
      <c r="A492" s="1">
        <v>10738</v>
      </c>
      <c r="B492" s="3" t="s">
        <v>409</v>
      </c>
      <c r="C492" s="3">
        <v>2</v>
      </c>
      <c r="D492" s="4">
        <v>35746</v>
      </c>
      <c r="E492" s="4">
        <v>35774</v>
      </c>
      <c r="F492" s="4">
        <v>35752</v>
      </c>
      <c r="G492" s="3">
        <v>1</v>
      </c>
      <c r="H492" s="3">
        <v>2.91</v>
      </c>
      <c r="I492" s="3" t="s">
        <v>410</v>
      </c>
      <c r="J492" s="3">
        <v>25</v>
      </c>
      <c r="K492" s="3" t="s">
        <v>411</v>
      </c>
      <c r="L492" s="3" t="s">
        <v>412</v>
      </c>
      <c r="M492" s="3" t="s">
        <v>18</v>
      </c>
      <c r="N492" s="3">
        <v>75016</v>
      </c>
      <c r="O492" s="3" t="s">
        <v>19</v>
      </c>
      <c r="P492" t="str">
        <f t="shared" si="36"/>
        <v>25  rue Lauriston</v>
      </c>
      <c r="Q492" t="str">
        <f t="shared" si="40"/>
        <v>Paris</v>
      </c>
      <c r="R492" t="str">
        <f t="shared" si="37"/>
        <v>NULL</v>
      </c>
      <c r="S492">
        <f t="shared" si="38"/>
        <v>75016</v>
      </c>
      <c r="T492" t="str">
        <f t="shared" si="39"/>
        <v>France</v>
      </c>
    </row>
    <row r="493" spans="1:20" x14ac:dyDescent="0.2">
      <c r="A493" s="1">
        <v>10739</v>
      </c>
      <c r="B493" s="3" t="s">
        <v>14</v>
      </c>
      <c r="C493" s="3">
        <v>3</v>
      </c>
      <c r="D493" s="4">
        <v>35746</v>
      </c>
      <c r="E493" s="4">
        <v>35774</v>
      </c>
      <c r="F493" s="4">
        <v>35751</v>
      </c>
      <c r="G493" s="3">
        <v>3</v>
      </c>
      <c r="H493" s="3">
        <v>11.08</v>
      </c>
      <c r="I493" s="3" t="s">
        <v>15</v>
      </c>
      <c r="J493" s="3" t="s">
        <v>16</v>
      </c>
      <c r="K493" s="3" t="s">
        <v>17</v>
      </c>
      <c r="L493" s="3" t="s">
        <v>18</v>
      </c>
      <c r="M493" s="3">
        <v>51100</v>
      </c>
      <c r="N493" s="3" t="s">
        <v>19</v>
      </c>
      <c r="O493" s="2"/>
      <c r="P493" t="str">
        <f t="shared" si="36"/>
        <v>59 rue de l'Abbaye</v>
      </c>
      <c r="Q493" t="str">
        <f t="shared" si="40"/>
        <v>Reims</v>
      </c>
      <c r="R493" t="str">
        <f t="shared" si="37"/>
        <v>NULL</v>
      </c>
      <c r="S493">
        <f t="shared" si="38"/>
        <v>51100</v>
      </c>
      <c r="T493" t="str">
        <f t="shared" si="39"/>
        <v>France</v>
      </c>
    </row>
    <row r="494" spans="1:20" x14ac:dyDescent="0.2">
      <c r="A494" s="1">
        <v>10740</v>
      </c>
      <c r="B494" s="3" t="s">
        <v>111</v>
      </c>
      <c r="C494" s="3">
        <v>4</v>
      </c>
      <c r="D494" s="4">
        <v>35747</v>
      </c>
      <c r="E494" s="4">
        <v>35775</v>
      </c>
      <c r="F494" s="4">
        <v>35759</v>
      </c>
      <c r="G494" s="3">
        <v>2</v>
      </c>
      <c r="H494" s="3">
        <v>81.88</v>
      </c>
      <c r="I494" s="3" t="s">
        <v>112</v>
      </c>
      <c r="J494" s="3" t="s">
        <v>113</v>
      </c>
      <c r="K494" s="3" t="s">
        <v>114</v>
      </c>
      <c r="L494" s="3" t="s">
        <v>115</v>
      </c>
      <c r="M494" s="3">
        <v>98124</v>
      </c>
      <c r="N494" s="3" t="s">
        <v>86</v>
      </c>
      <c r="O494" s="2"/>
      <c r="P494" t="str">
        <f t="shared" si="36"/>
        <v>1029 - 12th Ave. S.</v>
      </c>
      <c r="Q494" t="str">
        <f t="shared" si="40"/>
        <v>Seattle</v>
      </c>
      <c r="R494" t="str">
        <f t="shared" si="37"/>
        <v>WA</v>
      </c>
      <c r="S494">
        <f t="shared" si="38"/>
        <v>98124</v>
      </c>
      <c r="T494" t="str">
        <f t="shared" si="39"/>
        <v>USA</v>
      </c>
    </row>
    <row r="495" spans="1:20" x14ac:dyDescent="0.2">
      <c r="A495" s="1">
        <v>10741</v>
      </c>
      <c r="B495" s="3" t="s">
        <v>270</v>
      </c>
      <c r="C495" s="3">
        <v>4</v>
      </c>
      <c r="D495" s="4">
        <v>35748</v>
      </c>
      <c r="E495" s="4">
        <v>35762</v>
      </c>
      <c r="F495" s="4">
        <v>35752</v>
      </c>
      <c r="G495" s="3">
        <v>3</v>
      </c>
      <c r="H495" s="3">
        <v>10.96</v>
      </c>
      <c r="I495" s="3" t="s">
        <v>271</v>
      </c>
      <c r="J495" s="3" t="s">
        <v>272</v>
      </c>
      <c r="K495" s="3" t="s">
        <v>273</v>
      </c>
      <c r="L495" s="3" t="s">
        <v>274</v>
      </c>
      <c r="M495" s="3" t="s">
        <v>275</v>
      </c>
      <c r="N495" s="3" t="s">
        <v>169</v>
      </c>
      <c r="O495" s="2"/>
      <c r="P495" t="str">
        <f t="shared" si="36"/>
        <v>Brook Farm Stratford St. Mary</v>
      </c>
      <c r="Q495" t="str">
        <f t="shared" si="40"/>
        <v>Colchester</v>
      </c>
      <c r="R495" t="str">
        <f t="shared" si="37"/>
        <v>Essex</v>
      </c>
      <c r="S495" t="str">
        <f t="shared" si="38"/>
        <v>CO7 6JX</v>
      </c>
      <c r="T495" t="str">
        <f t="shared" si="39"/>
        <v>UK</v>
      </c>
    </row>
    <row r="496" spans="1:20" x14ac:dyDescent="0.2">
      <c r="A496" s="1">
        <v>10742</v>
      </c>
      <c r="B496" s="3" t="s">
        <v>318</v>
      </c>
      <c r="C496" s="3">
        <v>3</v>
      </c>
      <c r="D496" s="4">
        <v>35748</v>
      </c>
      <c r="E496" s="4">
        <v>35776</v>
      </c>
      <c r="F496" s="4">
        <v>35752</v>
      </c>
      <c r="G496" s="3">
        <v>3</v>
      </c>
      <c r="H496" s="3">
        <v>243.73</v>
      </c>
      <c r="I496" s="3" t="s">
        <v>319</v>
      </c>
      <c r="J496" s="3" t="s">
        <v>320</v>
      </c>
      <c r="K496" s="3" t="s">
        <v>321</v>
      </c>
      <c r="L496" s="3" t="s">
        <v>322</v>
      </c>
      <c r="M496" s="3" t="s">
        <v>323</v>
      </c>
      <c r="N496" s="3" t="s">
        <v>249</v>
      </c>
      <c r="O496" s="2"/>
      <c r="P496" t="str">
        <f t="shared" si="36"/>
        <v>23 Tsawassen Blvd.</v>
      </c>
      <c r="Q496" t="str">
        <f t="shared" si="40"/>
        <v>Tsawassen</v>
      </c>
      <c r="R496" t="str">
        <f t="shared" si="37"/>
        <v>BC</v>
      </c>
      <c r="S496" t="str">
        <f t="shared" si="38"/>
        <v>T2F 8M4</v>
      </c>
      <c r="T496" t="str">
        <f t="shared" si="39"/>
        <v>Canada</v>
      </c>
    </row>
    <row r="497" spans="1:20" x14ac:dyDescent="0.2">
      <c r="A497" s="1">
        <v>10743</v>
      </c>
      <c r="B497" s="3" t="s">
        <v>270</v>
      </c>
      <c r="C497" s="3">
        <v>1</v>
      </c>
      <c r="D497" s="4">
        <v>35751</v>
      </c>
      <c r="E497" s="4">
        <v>35779</v>
      </c>
      <c r="F497" s="4">
        <v>35755</v>
      </c>
      <c r="G497" s="3">
        <v>2</v>
      </c>
      <c r="H497" s="3">
        <v>23.72</v>
      </c>
      <c r="I497" s="3" t="s">
        <v>271</v>
      </c>
      <c r="J497" s="3" t="s">
        <v>272</v>
      </c>
      <c r="K497" s="3" t="s">
        <v>273</v>
      </c>
      <c r="L497" s="3" t="s">
        <v>274</v>
      </c>
      <c r="M497" s="3" t="s">
        <v>275</v>
      </c>
      <c r="N497" s="3" t="s">
        <v>169</v>
      </c>
      <c r="O497" s="2"/>
      <c r="P497" t="str">
        <f t="shared" si="36"/>
        <v>Brook Farm Stratford St. Mary</v>
      </c>
      <c r="Q497" t="str">
        <f t="shared" si="40"/>
        <v>Colchester</v>
      </c>
      <c r="R497" t="str">
        <f t="shared" si="37"/>
        <v>Essex</v>
      </c>
      <c r="S497" t="str">
        <f t="shared" si="38"/>
        <v>CO7 6JX</v>
      </c>
      <c r="T497" t="str">
        <f t="shared" si="39"/>
        <v>UK</v>
      </c>
    </row>
    <row r="498" spans="1:20" x14ac:dyDescent="0.2">
      <c r="A498" s="1">
        <v>10744</v>
      </c>
      <c r="B498" s="3" t="s">
        <v>295</v>
      </c>
      <c r="C498" s="3">
        <v>6</v>
      </c>
      <c r="D498" s="4">
        <v>35751</v>
      </c>
      <c r="E498" s="4">
        <v>35779</v>
      </c>
      <c r="F498" s="4">
        <v>35758</v>
      </c>
      <c r="G498" s="3">
        <v>1</v>
      </c>
      <c r="H498" s="3">
        <v>69.19</v>
      </c>
      <c r="I498" s="3" t="s">
        <v>296</v>
      </c>
      <c r="J498" s="3" t="s">
        <v>297</v>
      </c>
      <c r="K498" s="3" t="s">
        <v>298</v>
      </c>
      <c r="L498" s="3" t="s">
        <v>18</v>
      </c>
      <c r="M498" s="3">
        <v>8200</v>
      </c>
      <c r="N498" s="3" t="s">
        <v>257</v>
      </c>
      <c r="O498" s="2"/>
      <c r="P498" t="str">
        <f t="shared" si="36"/>
        <v>Smagsloget 45</v>
      </c>
      <c r="Q498" t="str">
        <f t="shared" si="40"/>
        <v>Århus</v>
      </c>
      <c r="R498" t="str">
        <f t="shared" si="37"/>
        <v>NULL</v>
      </c>
      <c r="S498">
        <f t="shared" si="38"/>
        <v>8200</v>
      </c>
      <c r="T498" t="str">
        <f t="shared" si="39"/>
        <v>Denmark</v>
      </c>
    </row>
    <row r="499" spans="1:20" x14ac:dyDescent="0.2">
      <c r="A499" s="1">
        <v>10745</v>
      </c>
      <c r="B499" s="3" t="s">
        <v>121</v>
      </c>
      <c r="C499" s="3">
        <v>9</v>
      </c>
      <c r="D499" s="4">
        <v>35752</v>
      </c>
      <c r="E499" s="4">
        <v>35780</v>
      </c>
      <c r="F499" s="4">
        <v>35761</v>
      </c>
      <c r="G499" s="3">
        <v>1</v>
      </c>
      <c r="H499" s="3">
        <v>3.52</v>
      </c>
      <c r="I499" s="3" t="s">
        <v>122</v>
      </c>
      <c r="J499" s="3" t="s">
        <v>123</v>
      </c>
      <c r="K499" s="3" t="s">
        <v>124</v>
      </c>
      <c r="L499" s="3" t="s">
        <v>18</v>
      </c>
      <c r="M499" s="3">
        <v>1307</v>
      </c>
      <c r="N499" s="3" t="s">
        <v>24</v>
      </c>
      <c r="O499" s="2"/>
      <c r="P499" t="str">
        <f t="shared" si="36"/>
        <v>Taucherstraße 10</v>
      </c>
      <c r="Q499" t="str">
        <f t="shared" si="40"/>
        <v>Cunewalde</v>
      </c>
      <c r="R499" t="str">
        <f t="shared" si="37"/>
        <v>NULL</v>
      </c>
      <c r="S499">
        <f t="shared" si="38"/>
        <v>1307</v>
      </c>
      <c r="T499" t="str">
        <f t="shared" si="39"/>
        <v>Germany</v>
      </c>
    </row>
    <row r="500" spans="1:20" x14ac:dyDescent="0.2">
      <c r="A500" s="1">
        <v>10746</v>
      </c>
      <c r="B500" s="3" t="s">
        <v>42</v>
      </c>
      <c r="C500" s="3">
        <v>1</v>
      </c>
      <c r="D500" s="4">
        <v>35753</v>
      </c>
      <c r="E500" s="4">
        <v>35781</v>
      </c>
      <c r="F500" s="4">
        <v>35755</v>
      </c>
      <c r="G500" s="3">
        <v>3</v>
      </c>
      <c r="H500" s="3">
        <v>31.43</v>
      </c>
      <c r="I500" s="3" t="s">
        <v>43</v>
      </c>
      <c r="J500" s="3" t="s">
        <v>44</v>
      </c>
      <c r="K500" s="3" t="s">
        <v>45</v>
      </c>
      <c r="L500" s="3" t="s">
        <v>18</v>
      </c>
      <c r="M500" s="3">
        <v>3012</v>
      </c>
      <c r="N500" s="3" t="s">
        <v>46</v>
      </c>
      <c r="O500" s="2"/>
      <c r="P500" t="str">
        <f t="shared" si="36"/>
        <v>Hauptstr. 31</v>
      </c>
      <c r="Q500" t="str">
        <f t="shared" si="40"/>
        <v>Bern</v>
      </c>
      <c r="R500" t="str">
        <f t="shared" si="37"/>
        <v>NULL</v>
      </c>
      <c r="S500">
        <f t="shared" si="38"/>
        <v>3012</v>
      </c>
      <c r="T500" t="str">
        <f t="shared" si="39"/>
        <v>Switzerland</v>
      </c>
    </row>
    <row r="501" spans="1:20" x14ac:dyDescent="0.2">
      <c r="A501" s="1">
        <v>10747</v>
      </c>
      <c r="B501" s="3" t="s">
        <v>266</v>
      </c>
      <c r="C501" s="3">
        <v>6</v>
      </c>
      <c r="D501" s="4">
        <v>35753</v>
      </c>
      <c r="E501" s="4">
        <v>35781</v>
      </c>
      <c r="F501" s="4">
        <v>35760</v>
      </c>
      <c r="G501" s="3">
        <v>1</v>
      </c>
      <c r="H501" s="3">
        <v>117.33</v>
      </c>
      <c r="I501" s="3" t="s">
        <v>267</v>
      </c>
      <c r="J501" s="3" t="s">
        <v>268</v>
      </c>
      <c r="K501" s="3" t="s">
        <v>269</v>
      </c>
      <c r="L501" s="3" t="s">
        <v>18</v>
      </c>
      <c r="M501" s="3">
        <v>5020</v>
      </c>
      <c r="N501" s="3" t="s">
        <v>67</v>
      </c>
      <c r="O501" s="2"/>
      <c r="P501" t="str">
        <f t="shared" si="36"/>
        <v>Geislweg 14</v>
      </c>
      <c r="Q501" t="str">
        <f t="shared" si="40"/>
        <v>Salzburg</v>
      </c>
      <c r="R501" t="str">
        <f t="shared" si="37"/>
        <v>NULL</v>
      </c>
      <c r="S501">
        <f t="shared" si="38"/>
        <v>5020</v>
      </c>
      <c r="T501" t="str">
        <f t="shared" si="39"/>
        <v>Austria</v>
      </c>
    </row>
    <row r="502" spans="1:20" x14ac:dyDescent="0.2">
      <c r="A502" s="1">
        <v>10748</v>
      </c>
      <c r="B502" s="3" t="s">
        <v>226</v>
      </c>
      <c r="C502" s="3">
        <v>3</v>
      </c>
      <c r="D502" s="4">
        <v>35754</v>
      </c>
      <c r="E502" s="4">
        <v>35782</v>
      </c>
      <c r="F502" s="4">
        <v>35762</v>
      </c>
      <c r="G502" s="3">
        <v>1</v>
      </c>
      <c r="H502" s="3">
        <v>232.55</v>
      </c>
      <c r="I502" s="3" t="s">
        <v>227</v>
      </c>
      <c r="J502" s="3" t="s">
        <v>228</v>
      </c>
      <c r="K502" s="3" t="s">
        <v>229</v>
      </c>
      <c r="L502" s="3" t="s">
        <v>230</v>
      </c>
      <c r="M502" s="3">
        <v>83720</v>
      </c>
      <c r="N502" s="3" t="s">
        <v>86</v>
      </c>
      <c r="O502" s="2"/>
      <c r="P502" t="str">
        <f t="shared" si="36"/>
        <v>187 Suffolk Ln.</v>
      </c>
      <c r="Q502" t="str">
        <f t="shared" si="40"/>
        <v>Boise</v>
      </c>
      <c r="R502" t="str">
        <f t="shared" si="37"/>
        <v>ID</v>
      </c>
      <c r="S502">
        <f t="shared" si="38"/>
        <v>83720</v>
      </c>
      <c r="T502" t="str">
        <f t="shared" si="39"/>
        <v>USA</v>
      </c>
    </row>
    <row r="503" spans="1:20" x14ac:dyDescent="0.2">
      <c r="A503" s="1">
        <v>10749</v>
      </c>
      <c r="B503" s="3" t="s">
        <v>213</v>
      </c>
      <c r="C503" s="3">
        <v>4</v>
      </c>
      <c r="D503" s="4">
        <v>35754</v>
      </c>
      <c r="E503" s="4">
        <v>35782</v>
      </c>
      <c r="F503" s="4">
        <v>35783</v>
      </c>
      <c r="G503" s="3">
        <v>2</v>
      </c>
      <c r="H503" s="3">
        <v>61.53</v>
      </c>
      <c r="I503" s="3" t="s">
        <v>214</v>
      </c>
      <c r="J503" s="3" t="s">
        <v>215</v>
      </c>
      <c r="K503" s="3" t="s">
        <v>216</v>
      </c>
      <c r="L503" s="3" t="s">
        <v>217</v>
      </c>
      <c r="M503" s="3" t="s">
        <v>218</v>
      </c>
      <c r="N503" s="3" t="s">
        <v>169</v>
      </c>
      <c r="O503" s="2"/>
      <c r="P503" t="str">
        <f t="shared" si="36"/>
        <v>Garden House Crowther Way</v>
      </c>
      <c r="Q503" t="str">
        <f t="shared" si="40"/>
        <v>Cowes</v>
      </c>
      <c r="R503" t="str">
        <f t="shared" si="37"/>
        <v>Isle of Wight</v>
      </c>
      <c r="S503" t="str">
        <f t="shared" si="38"/>
        <v>PO31 7PJ</v>
      </c>
      <c r="T503" t="str">
        <f t="shared" si="39"/>
        <v>UK</v>
      </c>
    </row>
    <row r="504" spans="1:20" x14ac:dyDescent="0.2">
      <c r="A504" s="1">
        <v>10750</v>
      </c>
      <c r="B504" s="3" t="s">
        <v>97</v>
      </c>
      <c r="C504" s="3">
        <v>9</v>
      </c>
      <c r="D504" s="4">
        <v>35755</v>
      </c>
      <c r="E504" s="4">
        <v>35783</v>
      </c>
      <c r="F504" s="4">
        <v>35758</v>
      </c>
      <c r="G504" s="3">
        <v>1</v>
      </c>
      <c r="H504" s="3">
        <v>79.3</v>
      </c>
      <c r="I504" s="3" t="s">
        <v>98</v>
      </c>
      <c r="J504" s="3" t="s">
        <v>99</v>
      </c>
      <c r="K504" s="3" t="s">
        <v>100</v>
      </c>
      <c r="L504" s="3" t="s">
        <v>18</v>
      </c>
      <c r="M504" s="3">
        <v>90110</v>
      </c>
      <c r="N504" s="3" t="s">
        <v>101</v>
      </c>
      <c r="O504" s="2"/>
      <c r="P504" t="str">
        <f t="shared" si="36"/>
        <v>Torikatu 38</v>
      </c>
      <c r="Q504" t="str">
        <f t="shared" si="40"/>
        <v>Oulu</v>
      </c>
      <c r="R504" t="str">
        <f t="shared" si="37"/>
        <v>NULL</v>
      </c>
      <c r="S504">
        <f t="shared" si="38"/>
        <v>90110</v>
      </c>
      <c r="T504" t="str">
        <f t="shared" si="39"/>
        <v>Finland</v>
      </c>
    </row>
    <row r="505" spans="1:20" x14ac:dyDescent="0.2">
      <c r="A505" s="1">
        <v>10751</v>
      </c>
      <c r="B505" s="3" t="s">
        <v>47</v>
      </c>
      <c r="C505" s="3">
        <v>3</v>
      </c>
      <c r="D505" s="4">
        <v>35758</v>
      </c>
      <c r="E505" s="4">
        <v>35786</v>
      </c>
      <c r="F505" s="4">
        <v>35767</v>
      </c>
      <c r="G505" s="3">
        <v>3</v>
      </c>
      <c r="H505" s="3">
        <v>130.79</v>
      </c>
      <c r="I505" s="3" t="s">
        <v>48</v>
      </c>
      <c r="J505" s="3" t="s">
        <v>49</v>
      </c>
      <c r="K505" s="3" t="s">
        <v>50</v>
      </c>
      <c r="L505" s="3" t="s">
        <v>18</v>
      </c>
      <c r="M505" s="3">
        <v>1204</v>
      </c>
      <c r="N505" s="3" t="s">
        <v>46</v>
      </c>
      <c r="O505" s="2"/>
      <c r="P505" t="str">
        <f t="shared" si="36"/>
        <v>Starenweg 5</v>
      </c>
      <c r="Q505" t="str">
        <f t="shared" si="40"/>
        <v>Genève</v>
      </c>
      <c r="R505" t="str">
        <f t="shared" si="37"/>
        <v>NULL</v>
      </c>
      <c r="S505">
        <f t="shared" si="38"/>
        <v>1204</v>
      </c>
      <c r="T505" t="str">
        <f t="shared" si="39"/>
        <v>Switzerland</v>
      </c>
    </row>
    <row r="506" spans="1:20" x14ac:dyDescent="0.2">
      <c r="A506" s="1">
        <v>10752</v>
      </c>
      <c r="B506" s="3" t="s">
        <v>367</v>
      </c>
      <c r="C506" s="3">
        <v>2</v>
      </c>
      <c r="D506" s="4">
        <v>35758</v>
      </c>
      <c r="E506" s="4">
        <v>35786</v>
      </c>
      <c r="F506" s="4">
        <v>35762</v>
      </c>
      <c r="G506" s="3">
        <v>3</v>
      </c>
      <c r="H506" s="3">
        <v>1.39</v>
      </c>
      <c r="I506" s="3" t="s">
        <v>368</v>
      </c>
      <c r="J506" s="3" t="s">
        <v>369</v>
      </c>
      <c r="K506" s="3" t="s">
        <v>167</v>
      </c>
      <c r="L506" s="3" t="s">
        <v>18</v>
      </c>
      <c r="M506" s="3" t="s">
        <v>370</v>
      </c>
      <c r="N506" s="3" t="s">
        <v>169</v>
      </c>
      <c r="O506" s="2"/>
      <c r="P506" t="str">
        <f t="shared" si="36"/>
        <v>South House 300 Queensbridge</v>
      </c>
      <c r="Q506" t="str">
        <f t="shared" si="40"/>
        <v>London</v>
      </c>
      <c r="R506" t="str">
        <f t="shared" si="37"/>
        <v>NULL</v>
      </c>
      <c r="S506" t="str">
        <f t="shared" si="38"/>
        <v>SW7 1RZ</v>
      </c>
      <c r="T506" t="str">
        <f t="shared" si="39"/>
        <v>UK</v>
      </c>
    </row>
    <row r="507" spans="1:20" x14ac:dyDescent="0.2">
      <c r="A507" s="1">
        <v>10753</v>
      </c>
      <c r="B507" s="3" t="s">
        <v>338</v>
      </c>
      <c r="C507" s="3">
        <v>3</v>
      </c>
      <c r="D507" s="4">
        <v>35759</v>
      </c>
      <c r="E507" s="4">
        <v>35787</v>
      </c>
      <c r="F507" s="4">
        <v>35761</v>
      </c>
      <c r="G507" s="3">
        <v>1</v>
      </c>
      <c r="H507" s="3">
        <v>7.7</v>
      </c>
      <c r="I507" s="3" t="s">
        <v>339</v>
      </c>
      <c r="J507" s="3" t="s">
        <v>340</v>
      </c>
      <c r="K507" s="3" t="s">
        <v>341</v>
      </c>
      <c r="L507" s="3" t="s">
        <v>18</v>
      </c>
      <c r="M507" s="3">
        <v>10100</v>
      </c>
      <c r="N507" s="3" t="s">
        <v>129</v>
      </c>
      <c r="O507" s="2"/>
      <c r="P507" t="str">
        <f t="shared" si="36"/>
        <v>Via Monte Bianco 34</v>
      </c>
      <c r="Q507" t="str">
        <f t="shared" si="40"/>
        <v>Torino</v>
      </c>
      <c r="R507" t="str">
        <f t="shared" si="37"/>
        <v>NULL</v>
      </c>
      <c r="S507">
        <f t="shared" si="38"/>
        <v>10100</v>
      </c>
      <c r="T507" t="str">
        <f t="shared" si="39"/>
        <v>Italy</v>
      </c>
    </row>
    <row r="508" spans="1:20" x14ac:dyDescent="0.2">
      <c r="A508" s="1">
        <v>10754</v>
      </c>
      <c r="B508" s="3" t="s">
        <v>125</v>
      </c>
      <c r="C508" s="3">
        <v>6</v>
      </c>
      <c r="D508" s="4">
        <v>35759</v>
      </c>
      <c r="E508" s="4">
        <v>35787</v>
      </c>
      <c r="F508" s="4">
        <v>35761</v>
      </c>
      <c r="G508" s="3">
        <v>3</v>
      </c>
      <c r="H508" s="3">
        <v>2.38</v>
      </c>
      <c r="I508" s="3" t="s">
        <v>126</v>
      </c>
      <c r="J508" s="3" t="s">
        <v>127</v>
      </c>
      <c r="K508" s="3" t="s">
        <v>128</v>
      </c>
      <c r="L508" s="3" t="s">
        <v>18</v>
      </c>
      <c r="M508" s="3">
        <v>24100</v>
      </c>
      <c r="N508" s="3" t="s">
        <v>129</v>
      </c>
      <c r="O508" s="2"/>
      <c r="P508" t="str">
        <f t="shared" si="36"/>
        <v>Via Ludovico il Moro 22</v>
      </c>
      <c r="Q508" t="str">
        <f t="shared" si="40"/>
        <v>Bergamo</v>
      </c>
      <c r="R508" t="str">
        <f t="shared" si="37"/>
        <v>NULL</v>
      </c>
      <c r="S508">
        <f t="shared" si="38"/>
        <v>24100</v>
      </c>
      <c r="T508" t="str">
        <f t="shared" si="39"/>
        <v>Italy</v>
      </c>
    </row>
    <row r="509" spans="1:20" x14ac:dyDescent="0.2">
      <c r="A509" s="1">
        <v>10755</v>
      </c>
      <c r="B509" s="3" t="s">
        <v>239</v>
      </c>
      <c r="C509" s="3">
        <v>4</v>
      </c>
      <c r="D509" s="4">
        <v>35760</v>
      </c>
      <c r="E509" s="4">
        <v>35788</v>
      </c>
      <c r="F509" s="4">
        <v>35762</v>
      </c>
      <c r="G509" s="3">
        <v>2</v>
      </c>
      <c r="H509" s="3">
        <v>16.71</v>
      </c>
      <c r="I509" s="3" t="s">
        <v>240</v>
      </c>
      <c r="J509" s="3">
        <v>12</v>
      </c>
      <c r="K509" s="3" t="s">
        <v>241</v>
      </c>
      <c r="L509" s="3" t="s">
        <v>242</v>
      </c>
      <c r="M509" s="3" t="s">
        <v>18</v>
      </c>
      <c r="N509" s="3">
        <v>13008</v>
      </c>
      <c r="O509" s="3" t="s">
        <v>19</v>
      </c>
      <c r="P509" t="str">
        <f t="shared" si="36"/>
        <v>12  rue des Bouchers</v>
      </c>
      <c r="Q509" t="str">
        <f t="shared" si="40"/>
        <v>Marseille</v>
      </c>
      <c r="R509" t="str">
        <f t="shared" si="37"/>
        <v>NULL</v>
      </c>
      <c r="S509">
        <f t="shared" si="38"/>
        <v>13008</v>
      </c>
      <c r="T509" t="str">
        <f t="shared" si="39"/>
        <v>France</v>
      </c>
    </row>
    <row r="510" spans="1:20" x14ac:dyDescent="0.2">
      <c r="A510" s="1">
        <v>10756</v>
      </c>
      <c r="B510" s="3" t="s">
        <v>116</v>
      </c>
      <c r="C510" s="3">
        <v>8</v>
      </c>
      <c r="D510" s="4">
        <v>35761</v>
      </c>
      <c r="E510" s="4">
        <v>35789</v>
      </c>
      <c r="F510" s="4">
        <v>35766</v>
      </c>
      <c r="G510" s="3">
        <v>2</v>
      </c>
      <c r="H510" s="3">
        <v>73.209999999999994</v>
      </c>
      <c r="I510" s="3" t="s">
        <v>117</v>
      </c>
      <c r="J510" s="3" t="s">
        <v>118</v>
      </c>
      <c r="K510" s="3" t="s">
        <v>119</v>
      </c>
      <c r="L510" s="3" t="s">
        <v>120</v>
      </c>
      <c r="M510" s="3">
        <v>82520</v>
      </c>
      <c r="N510" s="3" t="s">
        <v>86</v>
      </c>
      <c r="O510" s="2"/>
      <c r="P510" t="str">
        <f t="shared" si="36"/>
        <v>P.O. Box 555</v>
      </c>
      <c r="Q510" t="str">
        <f t="shared" si="40"/>
        <v>Lander</v>
      </c>
      <c r="R510" t="str">
        <f t="shared" si="37"/>
        <v>WY</v>
      </c>
      <c r="S510">
        <f t="shared" si="38"/>
        <v>82520</v>
      </c>
      <c r="T510" t="str">
        <f t="shared" si="39"/>
        <v>USA</v>
      </c>
    </row>
    <row r="511" spans="1:20" x14ac:dyDescent="0.2">
      <c r="A511" s="1">
        <v>10757</v>
      </c>
      <c r="B511" s="3" t="s">
        <v>226</v>
      </c>
      <c r="C511" s="3">
        <v>6</v>
      </c>
      <c r="D511" s="4">
        <v>35761</v>
      </c>
      <c r="E511" s="4">
        <v>35789</v>
      </c>
      <c r="F511" s="4">
        <v>35779</v>
      </c>
      <c r="G511" s="3">
        <v>1</v>
      </c>
      <c r="H511" s="3">
        <v>8.19</v>
      </c>
      <c r="I511" s="3" t="s">
        <v>227</v>
      </c>
      <c r="J511" s="3" t="s">
        <v>228</v>
      </c>
      <c r="K511" s="3" t="s">
        <v>229</v>
      </c>
      <c r="L511" s="3" t="s">
        <v>230</v>
      </c>
      <c r="M511" s="3">
        <v>83720</v>
      </c>
      <c r="N511" s="3" t="s">
        <v>86</v>
      </c>
      <c r="O511" s="2"/>
      <c r="P511" t="str">
        <f t="shared" si="36"/>
        <v>187 Suffolk Ln.</v>
      </c>
      <c r="Q511" t="str">
        <f t="shared" si="40"/>
        <v>Boise</v>
      </c>
      <c r="R511" t="str">
        <f t="shared" si="37"/>
        <v>ID</v>
      </c>
      <c r="S511">
        <f t="shared" si="38"/>
        <v>83720</v>
      </c>
      <c r="T511" t="str">
        <f t="shared" si="39"/>
        <v>USA</v>
      </c>
    </row>
    <row r="512" spans="1:20" x14ac:dyDescent="0.2">
      <c r="A512" s="1">
        <v>10758</v>
      </c>
      <c r="B512" s="3" t="s">
        <v>47</v>
      </c>
      <c r="C512" s="3">
        <v>3</v>
      </c>
      <c r="D512" s="4">
        <v>35762</v>
      </c>
      <c r="E512" s="4">
        <v>35790</v>
      </c>
      <c r="F512" s="4">
        <v>35768</v>
      </c>
      <c r="G512" s="3">
        <v>3</v>
      </c>
      <c r="H512" s="3">
        <v>138.16999999999999</v>
      </c>
      <c r="I512" s="3" t="s">
        <v>48</v>
      </c>
      <c r="J512" s="3" t="s">
        <v>49</v>
      </c>
      <c r="K512" s="3" t="s">
        <v>50</v>
      </c>
      <c r="L512" s="3" t="s">
        <v>18</v>
      </c>
      <c r="M512" s="3">
        <v>1204</v>
      </c>
      <c r="N512" s="3" t="s">
        <v>46</v>
      </c>
      <c r="O512" s="2"/>
      <c r="P512" t="str">
        <f t="shared" si="36"/>
        <v>Starenweg 5</v>
      </c>
      <c r="Q512" t="str">
        <f t="shared" si="40"/>
        <v>Genève</v>
      </c>
      <c r="R512" t="str">
        <f t="shared" si="37"/>
        <v>NULL</v>
      </c>
      <c r="S512">
        <f t="shared" si="38"/>
        <v>1204</v>
      </c>
      <c r="T512" t="str">
        <f t="shared" si="39"/>
        <v>Switzerland</v>
      </c>
    </row>
    <row r="513" spans="1:20" x14ac:dyDescent="0.2">
      <c r="A513" s="1">
        <v>10759</v>
      </c>
      <c r="B513" s="3" t="s">
        <v>203</v>
      </c>
      <c r="C513" s="3">
        <v>3</v>
      </c>
      <c r="D513" s="4">
        <v>35762</v>
      </c>
      <c r="E513" s="4">
        <v>35790</v>
      </c>
      <c r="F513" s="4">
        <v>35776</v>
      </c>
      <c r="G513" s="3">
        <v>3</v>
      </c>
      <c r="H513" s="3">
        <v>11.99</v>
      </c>
      <c r="I513" s="3" t="s">
        <v>204</v>
      </c>
      <c r="J513" s="3" t="s">
        <v>205</v>
      </c>
      <c r="K513" s="3" t="s">
        <v>71</v>
      </c>
      <c r="L513" s="3" t="s">
        <v>18</v>
      </c>
      <c r="M513" s="3">
        <v>5021</v>
      </c>
      <c r="N513" s="3" t="s">
        <v>72</v>
      </c>
      <c r="O513" s="2"/>
      <c r="P513" t="str">
        <f t="shared" si="36"/>
        <v>Avda. de la Constitución 2222</v>
      </c>
      <c r="Q513" t="str">
        <f t="shared" si="40"/>
        <v>México D.F.</v>
      </c>
      <c r="R513" t="str">
        <f t="shared" si="37"/>
        <v>NULL</v>
      </c>
      <c r="S513">
        <f t="shared" si="38"/>
        <v>5021</v>
      </c>
      <c r="T513" t="str">
        <f t="shared" si="39"/>
        <v>Mexico</v>
      </c>
    </row>
    <row r="514" spans="1:20" x14ac:dyDescent="0.2">
      <c r="A514" s="1">
        <v>10760</v>
      </c>
      <c r="B514" s="3" t="s">
        <v>378</v>
      </c>
      <c r="C514" s="3">
        <v>4</v>
      </c>
      <c r="D514" s="4">
        <v>35765</v>
      </c>
      <c r="E514" s="4">
        <v>35793</v>
      </c>
      <c r="F514" s="4">
        <v>35774</v>
      </c>
      <c r="G514" s="3">
        <v>1</v>
      </c>
      <c r="H514" s="3">
        <v>155.63999999999999</v>
      </c>
      <c r="I514" s="3" t="s">
        <v>379</v>
      </c>
      <c r="J514" s="3" t="s">
        <v>380</v>
      </c>
      <c r="K514" s="3" t="s">
        <v>381</v>
      </c>
      <c r="L514" s="3" t="s">
        <v>18</v>
      </c>
      <c r="M514" s="3" t="s">
        <v>382</v>
      </c>
      <c r="N514" s="3" t="s">
        <v>41</v>
      </c>
      <c r="O514" s="2"/>
      <c r="P514" t="str">
        <f t="shared" ref="P514:P577" si="41">IF(O514&lt;&gt;"",J514&amp;" "&amp;K514,J514)</f>
        <v>Rue Joseph-Bens 532</v>
      </c>
      <c r="Q514" t="str">
        <f t="shared" si="40"/>
        <v>Bruxelles</v>
      </c>
      <c r="R514" t="str">
        <f t="shared" si="37"/>
        <v>NULL</v>
      </c>
      <c r="S514" t="str">
        <f t="shared" si="38"/>
        <v>B-1180</v>
      </c>
      <c r="T514" t="str">
        <f t="shared" si="39"/>
        <v>Belgium</v>
      </c>
    </row>
    <row r="515" spans="1:20" x14ac:dyDescent="0.2">
      <c r="A515" s="1">
        <v>10761</v>
      </c>
      <c r="B515" s="3" t="s">
        <v>81</v>
      </c>
      <c r="C515" s="3">
        <v>5</v>
      </c>
      <c r="D515" s="4">
        <v>35766</v>
      </c>
      <c r="E515" s="4">
        <v>35794</v>
      </c>
      <c r="F515" s="4">
        <v>35772</v>
      </c>
      <c r="G515" s="3">
        <v>2</v>
      </c>
      <c r="H515" s="3">
        <v>18.66</v>
      </c>
      <c r="I515" s="3" t="s">
        <v>82</v>
      </c>
      <c r="J515" s="3" t="s">
        <v>83</v>
      </c>
      <c r="K515" s="3" t="s">
        <v>84</v>
      </c>
      <c r="L515" s="3" t="s">
        <v>85</v>
      </c>
      <c r="M515" s="3">
        <v>87110</v>
      </c>
      <c r="N515" s="3" t="s">
        <v>86</v>
      </c>
      <c r="O515" s="2"/>
      <c r="P515" t="str">
        <f t="shared" si="41"/>
        <v>2817 Milton Dr.</v>
      </c>
      <c r="Q515" t="str">
        <f t="shared" si="40"/>
        <v>Albuquerque</v>
      </c>
      <c r="R515" t="str">
        <f t="shared" ref="R515:R578" si="42">IF(O515&lt;&gt;"",M515,L515)</f>
        <v>NM</v>
      </c>
      <c r="S515">
        <f t="shared" ref="S515:S578" si="43">IF(O515&lt;&gt;"",N515,M515)</f>
        <v>87110</v>
      </c>
      <c r="T515" t="str">
        <f t="shared" ref="T515:T578" si="44">IF(O515&lt;&gt;"",O515,N515)</f>
        <v>USA</v>
      </c>
    </row>
    <row r="516" spans="1:20" x14ac:dyDescent="0.2">
      <c r="A516" s="1">
        <v>10762</v>
      </c>
      <c r="B516" s="3" t="s">
        <v>87</v>
      </c>
      <c r="C516" s="3">
        <v>3</v>
      </c>
      <c r="D516" s="4">
        <v>35766</v>
      </c>
      <c r="E516" s="4">
        <v>35794</v>
      </c>
      <c r="F516" s="4">
        <v>35773</v>
      </c>
      <c r="G516" s="3">
        <v>1</v>
      </c>
      <c r="H516" s="3">
        <v>328.74</v>
      </c>
      <c r="I516" s="3" t="s">
        <v>88</v>
      </c>
      <c r="J516" s="3" t="s">
        <v>89</v>
      </c>
      <c r="K516" s="3" t="s">
        <v>90</v>
      </c>
      <c r="L516" s="3" t="s">
        <v>18</v>
      </c>
      <c r="M516" s="3" t="s">
        <v>91</v>
      </c>
      <c r="N516" s="3" t="s">
        <v>92</v>
      </c>
      <c r="O516" s="2"/>
      <c r="P516" t="str">
        <f t="shared" si="41"/>
        <v>Åkergatan 24</v>
      </c>
      <c r="Q516" t="str">
        <f t="shared" si="40"/>
        <v>Bräcke</v>
      </c>
      <c r="R516" t="str">
        <f t="shared" si="42"/>
        <v>NULL</v>
      </c>
      <c r="S516" t="str">
        <f t="shared" si="43"/>
        <v>S-844 67</v>
      </c>
      <c r="T516" t="str">
        <f t="shared" si="44"/>
        <v>Sweden</v>
      </c>
    </row>
    <row r="517" spans="1:20" x14ac:dyDescent="0.2">
      <c r="A517" s="1">
        <v>10763</v>
      </c>
      <c r="B517" s="3" t="s">
        <v>329</v>
      </c>
      <c r="C517" s="3">
        <v>3</v>
      </c>
      <c r="D517" s="4">
        <v>35767</v>
      </c>
      <c r="E517" s="4">
        <v>35795</v>
      </c>
      <c r="F517" s="4">
        <v>35772</v>
      </c>
      <c r="G517" s="3">
        <v>3</v>
      </c>
      <c r="H517" s="3">
        <v>37.35</v>
      </c>
      <c r="I517" s="3" t="s">
        <v>330</v>
      </c>
      <c r="J517" s="3">
        <v>184</v>
      </c>
      <c r="K517" s="3" t="s">
        <v>331</v>
      </c>
      <c r="L517" s="3" t="s">
        <v>332</v>
      </c>
      <c r="M517" s="3" t="s">
        <v>18</v>
      </c>
      <c r="N517" s="3">
        <v>59000</v>
      </c>
      <c r="O517" s="3" t="s">
        <v>19</v>
      </c>
      <c r="P517" t="str">
        <f t="shared" si="41"/>
        <v>184  chaussée de Tournai</v>
      </c>
      <c r="Q517" t="str">
        <f t="shared" si="40"/>
        <v>Lille</v>
      </c>
      <c r="R517" t="str">
        <f t="shared" si="42"/>
        <v>NULL</v>
      </c>
      <c r="S517">
        <f t="shared" si="43"/>
        <v>59000</v>
      </c>
      <c r="T517" t="str">
        <f t="shared" si="44"/>
        <v>France</v>
      </c>
    </row>
    <row r="518" spans="1:20" x14ac:dyDescent="0.2">
      <c r="A518" s="1">
        <v>10764</v>
      </c>
      <c r="B518" s="3" t="s">
        <v>63</v>
      </c>
      <c r="C518" s="3">
        <v>6</v>
      </c>
      <c r="D518" s="4">
        <v>35767</v>
      </c>
      <c r="E518" s="4">
        <v>35795</v>
      </c>
      <c r="F518" s="4">
        <v>35772</v>
      </c>
      <c r="G518" s="3">
        <v>3</v>
      </c>
      <c r="H518" s="3">
        <v>145.44999999999999</v>
      </c>
      <c r="I518" s="3" t="s">
        <v>64</v>
      </c>
      <c r="J518" s="3" t="s">
        <v>65</v>
      </c>
      <c r="K518" s="3" t="s">
        <v>66</v>
      </c>
      <c r="L518" s="3" t="s">
        <v>18</v>
      </c>
      <c r="M518" s="3">
        <v>8010</v>
      </c>
      <c r="N518" s="3" t="s">
        <v>67</v>
      </c>
      <c r="O518" s="2"/>
      <c r="P518" t="str">
        <f t="shared" si="41"/>
        <v>Kirchgasse 6</v>
      </c>
      <c r="Q518" t="str">
        <f t="shared" si="40"/>
        <v>Graz</v>
      </c>
      <c r="R518" t="str">
        <f t="shared" si="42"/>
        <v>NULL</v>
      </c>
      <c r="S518">
        <f t="shared" si="43"/>
        <v>8010</v>
      </c>
      <c r="T518" t="str">
        <f t="shared" si="44"/>
        <v>Austria</v>
      </c>
    </row>
    <row r="519" spans="1:20" x14ac:dyDescent="0.2">
      <c r="A519" s="1">
        <v>10765</v>
      </c>
      <c r="B519" s="3" t="s">
        <v>121</v>
      </c>
      <c r="C519" s="3">
        <v>3</v>
      </c>
      <c r="D519" s="4">
        <v>35768</v>
      </c>
      <c r="E519" s="4">
        <v>35796</v>
      </c>
      <c r="F519" s="4">
        <v>35773</v>
      </c>
      <c r="G519" s="3">
        <v>3</v>
      </c>
      <c r="H519" s="3">
        <v>42.74</v>
      </c>
      <c r="I519" s="3" t="s">
        <v>122</v>
      </c>
      <c r="J519" s="3" t="s">
        <v>123</v>
      </c>
      <c r="K519" s="3" t="s">
        <v>124</v>
      </c>
      <c r="L519" s="3" t="s">
        <v>18</v>
      </c>
      <c r="M519" s="3">
        <v>1307</v>
      </c>
      <c r="N519" s="3" t="s">
        <v>24</v>
      </c>
      <c r="O519" s="2"/>
      <c r="P519" t="str">
        <f t="shared" si="41"/>
        <v>Taucherstraße 10</v>
      </c>
      <c r="Q519" t="str">
        <f t="shared" ref="Q519:Q582" si="45">IF(O519&lt;&gt;"",L519,K519)</f>
        <v>Cunewalde</v>
      </c>
      <c r="R519" t="str">
        <f t="shared" si="42"/>
        <v>NULL</v>
      </c>
      <c r="S519">
        <f t="shared" si="43"/>
        <v>1307</v>
      </c>
      <c r="T519" t="str">
        <f t="shared" si="44"/>
        <v>Germany</v>
      </c>
    </row>
    <row r="520" spans="1:20" x14ac:dyDescent="0.2">
      <c r="A520" s="1">
        <v>10766</v>
      </c>
      <c r="B520" s="3" t="s">
        <v>73</v>
      </c>
      <c r="C520" s="3">
        <v>4</v>
      </c>
      <c r="D520" s="4">
        <v>35769</v>
      </c>
      <c r="E520" s="4">
        <v>35797</v>
      </c>
      <c r="F520" s="4">
        <v>35773</v>
      </c>
      <c r="G520" s="3">
        <v>1</v>
      </c>
      <c r="H520" s="3">
        <v>157.55000000000001</v>
      </c>
      <c r="I520" s="3" t="s">
        <v>74</v>
      </c>
      <c r="J520" s="3" t="s">
        <v>75</v>
      </c>
      <c r="K520" s="3" t="s">
        <v>76</v>
      </c>
      <c r="L520" s="3" t="s">
        <v>18</v>
      </c>
      <c r="M520" s="3">
        <v>50739</v>
      </c>
      <c r="N520" s="3" t="s">
        <v>24</v>
      </c>
      <c r="O520" s="2"/>
      <c r="P520" t="str">
        <f t="shared" si="41"/>
        <v>Mehrheimerstr. 369</v>
      </c>
      <c r="Q520" t="str">
        <f t="shared" si="45"/>
        <v>Köln</v>
      </c>
      <c r="R520" t="str">
        <f t="shared" si="42"/>
        <v>NULL</v>
      </c>
      <c r="S520">
        <f t="shared" si="43"/>
        <v>50739</v>
      </c>
      <c r="T520" t="str">
        <f t="shared" si="44"/>
        <v>Germany</v>
      </c>
    </row>
    <row r="521" spans="1:20" x14ac:dyDescent="0.2">
      <c r="A521" s="1">
        <v>10767</v>
      </c>
      <c r="B521" s="3" t="s">
        <v>36</v>
      </c>
      <c r="C521" s="3">
        <v>4</v>
      </c>
      <c r="D521" s="4">
        <v>35769</v>
      </c>
      <c r="E521" s="4">
        <v>35797</v>
      </c>
      <c r="F521" s="4">
        <v>35779</v>
      </c>
      <c r="G521" s="3">
        <v>3</v>
      </c>
      <c r="H521" s="3">
        <v>1.59</v>
      </c>
      <c r="I521" s="3" t="s">
        <v>37</v>
      </c>
      <c r="J521" s="3" t="s">
        <v>38</v>
      </c>
      <c r="K521" s="3">
        <v>255</v>
      </c>
      <c r="L521" s="3" t="s">
        <v>39</v>
      </c>
      <c r="M521" s="3" t="s">
        <v>18</v>
      </c>
      <c r="N521" s="3" t="s">
        <v>40</v>
      </c>
      <c r="O521" s="3" t="s">
        <v>41</v>
      </c>
      <c r="P521" t="str">
        <f t="shared" si="41"/>
        <v>Boulevard Tirou 255</v>
      </c>
      <c r="Q521" t="str">
        <f t="shared" si="45"/>
        <v>Charleroi</v>
      </c>
      <c r="R521" t="str">
        <f t="shared" si="42"/>
        <v>NULL</v>
      </c>
      <c r="S521" t="str">
        <f t="shared" si="43"/>
        <v>B-6000</v>
      </c>
      <c r="T521" t="str">
        <f t="shared" si="44"/>
        <v>Belgium</v>
      </c>
    </row>
    <row r="522" spans="1:20" x14ac:dyDescent="0.2">
      <c r="A522" s="1">
        <v>10768</v>
      </c>
      <c r="B522" s="3" t="s">
        <v>270</v>
      </c>
      <c r="C522" s="3">
        <v>3</v>
      </c>
      <c r="D522" s="4">
        <v>35772</v>
      </c>
      <c r="E522" s="4">
        <v>35800</v>
      </c>
      <c r="F522" s="4">
        <v>35779</v>
      </c>
      <c r="G522" s="3">
        <v>2</v>
      </c>
      <c r="H522" s="3">
        <v>146.32</v>
      </c>
      <c r="I522" s="3" t="s">
        <v>271</v>
      </c>
      <c r="J522" s="3" t="s">
        <v>272</v>
      </c>
      <c r="K522" s="3" t="s">
        <v>273</v>
      </c>
      <c r="L522" s="3" t="s">
        <v>274</v>
      </c>
      <c r="M522" s="3" t="s">
        <v>275</v>
      </c>
      <c r="N522" s="3" t="s">
        <v>169</v>
      </c>
      <c r="O522" s="2"/>
      <c r="P522" t="str">
        <f t="shared" si="41"/>
        <v>Brook Farm Stratford St. Mary</v>
      </c>
      <c r="Q522" t="str">
        <f t="shared" si="45"/>
        <v>Colchester</v>
      </c>
      <c r="R522" t="str">
        <f t="shared" si="42"/>
        <v>Essex</v>
      </c>
      <c r="S522" t="str">
        <f t="shared" si="43"/>
        <v>CO7 6JX</v>
      </c>
      <c r="T522" t="str">
        <f t="shared" si="44"/>
        <v>UK</v>
      </c>
    </row>
    <row r="523" spans="1:20" x14ac:dyDescent="0.2">
      <c r="A523" s="1">
        <v>10769</v>
      </c>
      <c r="B523" s="3" t="s">
        <v>295</v>
      </c>
      <c r="C523" s="3">
        <v>3</v>
      </c>
      <c r="D523" s="4">
        <v>35772</v>
      </c>
      <c r="E523" s="4">
        <v>35800</v>
      </c>
      <c r="F523" s="4">
        <v>35776</v>
      </c>
      <c r="G523" s="3">
        <v>1</v>
      </c>
      <c r="H523" s="3">
        <v>65.06</v>
      </c>
      <c r="I523" s="3" t="s">
        <v>296</v>
      </c>
      <c r="J523" s="3" t="s">
        <v>297</v>
      </c>
      <c r="K523" s="3" t="s">
        <v>298</v>
      </c>
      <c r="L523" s="3" t="s">
        <v>18</v>
      </c>
      <c r="M523" s="3">
        <v>8200</v>
      </c>
      <c r="N523" s="3" t="s">
        <v>257</v>
      </c>
      <c r="O523" s="2"/>
      <c r="P523" t="str">
        <f t="shared" si="41"/>
        <v>Smagsloget 45</v>
      </c>
      <c r="Q523" t="str">
        <f t="shared" si="45"/>
        <v>Århus</v>
      </c>
      <c r="R523" t="str">
        <f t="shared" si="42"/>
        <v>NULL</v>
      </c>
      <c r="S523">
        <f t="shared" si="43"/>
        <v>8200</v>
      </c>
      <c r="T523" t="str">
        <f t="shared" si="44"/>
        <v>Denmark</v>
      </c>
    </row>
    <row r="524" spans="1:20" x14ac:dyDescent="0.2">
      <c r="A524" s="1">
        <v>10770</v>
      </c>
      <c r="B524" s="3" t="s">
        <v>25</v>
      </c>
      <c r="C524" s="3">
        <v>8</v>
      </c>
      <c r="D524" s="4">
        <v>35773</v>
      </c>
      <c r="E524" s="4">
        <v>35801</v>
      </c>
      <c r="F524" s="4">
        <v>35781</v>
      </c>
      <c r="G524" s="3">
        <v>3</v>
      </c>
      <c r="H524" s="3">
        <v>5.32</v>
      </c>
      <c r="I524" s="3" t="s">
        <v>26</v>
      </c>
      <c r="J524" s="3" t="s">
        <v>27</v>
      </c>
      <c r="K524" s="3">
        <v>67</v>
      </c>
      <c r="L524" s="3" t="s">
        <v>28</v>
      </c>
      <c r="M524" s="3" t="s">
        <v>29</v>
      </c>
      <c r="N524" s="3" t="s">
        <v>30</v>
      </c>
      <c r="O524" s="3" t="s">
        <v>31</v>
      </c>
      <c r="P524" t="str">
        <f t="shared" si="41"/>
        <v>Rua do Paço 67</v>
      </c>
      <c r="Q524" t="str">
        <f t="shared" si="45"/>
        <v>Rio de Janeiro</v>
      </c>
      <c r="R524" t="str">
        <f t="shared" si="42"/>
        <v>RJ</v>
      </c>
      <c r="S524" t="str">
        <f t="shared" si="43"/>
        <v>05454-876</v>
      </c>
      <c r="T524" t="str">
        <f t="shared" si="44"/>
        <v>Brazil</v>
      </c>
    </row>
    <row r="525" spans="1:20" x14ac:dyDescent="0.2">
      <c r="A525" s="1">
        <v>10771</v>
      </c>
      <c r="B525" s="3" t="s">
        <v>63</v>
      </c>
      <c r="C525" s="3">
        <v>9</v>
      </c>
      <c r="D525" s="4">
        <v>35774</v>
      </c>
      <c r="E525" s="4">
        <v>35802</v>
      </c>
      <c r="F525" s="4">
        <v>35797</v>
      </c>
      <c r="G525" s="3">
        <v>2</v>
      </c>
      <c r="H525" s="3">
        <v>11.19</v>
      </c>
      <c r="I525" s="3" t="s">
        <v>64</v>
      </c>
      <c r="J525" s="3" t="s">
        <v>65</v>
      </c>
      <c r="K525" s="3" t="s">
        <v>66</v>
      </c>
      <c r="L525" s="3" t="s">
        <v>18</v>
      </c>
      <c r="M525" s="3">
        <v>8010</v>
      </c>
      <c r="N525" s="3" t="s">
        <v>67</v>
      </c>
      <c r="O525" s="2"/>
      <c r="P525" t="str">
        <f t="shared" si="41"/>
        <v>Kirchgasse 6</v>
      </c>
      <c r="Q525" t="str">
        <f t="shared" si="45"/>
        <v>Graz</v>
      </c>
      <c r="R525" t="str">
        <f t="shared" si="42"/>
        <v>NULL</v>
      </c>
      <c r="S525">
        <f t="shared" si="43"/>
        <v>8010</v>
      </c>
      <c r="T525" t="str">
        <f t="shared" si="44"/>
        <v>Austria</v>
      </c>
    </row>
    <row r="526" spans="1:20" x14ac:dyDescent="0.2">
      <c r="A526" s="1">
        <v>10772</v>
      </c>
      <c r="B526" s="3" t="s">
        <v>142</v>
      </c>
      <c r="C526" s="3">
        <v>3</v>
      </c>
      <c r="D526" s="4">
        <v>35774</v>
      </c>
      <c r="E526" s="4">
        <v>35802</v>
      </c>
      <c r="F526" s="4">
        <v>35783</v>
      </c>
      <c r="G526" s="3">
        <v>2</v>
      </c>
      <c r="H526" s="3">
        <v>91.28</v>
      </c>
      <c r="I526" s="3" t="s">
        <v>143</v>
      </c>
      <c r="J526" s="3" t="s">
        <v>144</v>
      </c>
      <c r="K526" s="3" t="s">
        <v>145</v>
      </c>
      <c r="L526" s="3" t="s">
        <v>18</v>
      </c>
      <c r="M526" s="3">
        <v>60528</v>
      </c>
      <c r="N526" s="3" t="s">
        <v>24</v>
      </c>
      <c r="O526" s="2"/>
      <c r="P526" t="str">
        <f t="shared" si="41"/>
        <v>Magazinweg 7</v>
      </c>
      <c r="Q526" t="str">
        <f t="shared" si="45"/>
        <v>Frankfurt a.M.</v>
      </c>
      <c r="R526" t="str">
        <f t="shared" si="42"/>
        <v>NULL</v>
      </c>
      <c r="S526">
        <f t="shared" si="43"/>
        <v>60528</v>
      </c>
      <c r="T526" t="str">
        <f t="shared" si="44"/>
        <v>Germany</v>
      </c>
    </row>
    <row r="527" spans="1:20" x14ac:dyDescent="0.2">
      <c r="A527" s="1">
        <v>10773</v>
      </c>
      <c r="B527" s="3" t="s">
        <v>63</v>
      </c>
      <c r="C527" s="3">
        <v>1</v>
      </c>
      <c r="D527" s="4">
        <v>35775</v>
      </c>
      <c r="E527" s="4">
        <v>35803</v>
      </c>
      <c r="F527" s="4">
        <v>35780</v>
      </c>
      <c r="G527" s="3">
        <v>3</v>
      </c>
      <c r="H527" s="3">
        <v>96.43</v>
      </c>
      <c r="I527" s="3" t="s">
        <v>64</v>
      </c>
      <c r="J527" s="3" t="s">
        <v>65</v>
      </c>
      <c r="K527" s="3" t="s">
        <v>66</v>
      </c>
      <c r="L527" s="3" t="s">
        <v>18</v>
      </c>
      <c r="M527" s="3">
        <v>8010</v>
      </c>
      <c r="N527" s="3" t="s">
        <v>67</v>
      </c>
      <c r="O527" s="2"/>
      <c r="P527" t="str">
        <f t="shared" si="41"/>
        <v>Kirchgasse 6</v>
      </c>
      <c r="Q527" t="str">
        <f t="shared" si="45"/>
        <v>Graz</v>
      </c>
      <c r="R527" t="str">
        <f t="shared" si="42"/>
        <v>NULL</v>
      </c>
      <c r="S527">
        <f t="shared" si="43"/>
        <v>8010</v>
      </c>
      <c r="T527" t="str">
        <f t="shared" si="44"/>
        <v>Austria</v>
      </c>
    </row>
    <row r="528" spans="1:20" x14ac:dyDescent="0.2">
      <c r="A528" s="1">
        <v>10774</v>
      </c>
      <c r="B528" s="3" t="s">
        <v>87</v>
      </c>
      <c r="C528" s="3">
        <v>4</v>
      </c>
      <c r="D528" s="4">
        <v>35775</v>
      </c>
      <c r="E528" s="4">
        <v>35789</v>
      </c>
      <c r="F528" s="4">
        <v>35776</v>
      </c>
      <c r="G528" s="3">
        <v>1</v>
      </c>
      <c r="H528" s="3">
        <v>48.2</v>
      </c>
      <c r="I528" s="3" t="s">
        <v>88</v>
      </c>
      <c r="J528" s="3" t="s">
        <v>89</v>
      </c>
      <c r="K528" s="3" t="s">
        <v>90</v>
      </c>
      <c r="L528" s="3" t="s">
        <v>18</v>
      </c>
      <c r="M528" s="3" t="s">
        <v>91</v>
      </c>
      <c r="N528" s="3" t="s">
        <v>92</v>
      </c>
      <c r="O528" s="2"/>
      <c r="P528" t="str">
        <f t="shared" si="41"/>
        <v>Åkergatan 24</v>
      </c>
      <c r="Q528" t="str">
        <f t="shared" si="45"/>
        <v>Bräcke</v>
      </c>
      <c r="R528" t="str">
        <f t="shared" si="42"/>
        <v>NULL</v>
      </c>
      <c r="S528" t="str">
        <f t="shared" si="43"/>
        <v>S-844 67</v>
      </c>
      <c r="T528" t="str">
        <f t="shared" si="44"/>
        <v>Sweden</v>
      </c>
    </row>
    <row r="529" spans="1:20" x14ac:dyDescent="0.2">
      <c r="A529" s="1">
        <v>10775</v>
      </c>
      <c r="B529" s="3" t="s">
        <v>396</v>
      </c>
      <c r="C529" s="3">
        <v>7</v>
      </c>
      <c r="D529" s="4">
        <v>35776</v>
      </c>
      <c r="E529" s="4">
        <v>35804</v>
      </c>
      <c r="F529" s="4">
        <v>35790</v>
      </c>
      <c r="G529" s="3">
        <v>1</v>
      </c>
      <c r="H529" s="3">
        <v>20.25</v>
      </c>
      <c r="I529" s="3" t="s">
        <v>397</v>
      </c>
      <c r="J529" s="3" t="s">
        <v>398</v>
      </c>
      <c r="K529" s="3" t="s">
        <v>399</v>
      </c>
      <c r="L529" s="3" t="s">
        <v>400</v>
      </c>
      <c r="M529" s="3">
        <v>59801</v>
      </c>
      <c r="N529" s="3" t="s">
        <v>86</v>
      </c>
      <c r="O529" s="2"/>
      <c r="P529" t="str">
        <f t="shared" si="41"/>
        <v>55 Grizzly Peak Rd.</v>
      </c>
      <c r="Q529" t="str">
        <f t="shared" si="45"/>
        <v>Butte</v>
      </c>
      <c r="R529" t="str">
        <f t="shared" si="42"/>
        <v>MT</v>
      </c>
      <c r="S529">
        <f t="shared" si="43"/>
        <v>59801</v>
      </c>
      <c r="T529" t="str">
        <f t="shared" si="44"/>
        <v>USA</v>
      </c>
    </row>
    <row r="530" spans="1:20" x14ac:dyDescent="0.2">
      <c r="A530" s="1">
        <v>10776</v>
      </c>
      <c r="B530" s="3" t="s">
        <v>63</v>
      </c>
      <c r="C530" s="3">
        <v>1</v>
      </c>
      <c r="D530" s="4">
        <v>35779</v>
      </c>
      <c r="E530" s="4">
        <v>35807</v>
      </c>
      <c r="F530" s="4">
        <v>35782</v>
      </c>
      <c r="G530" s="3">
        <v>3</v>
      </c>
      <c r="H530" s="3">
        <v>351.53</v>
      </c>
      <c r="I530" s="3" t="s">
        <v>64</v>
      </c>
      <c r="J530" s="3" t="s">
        <v>65</v>
      </c>
      <c r="K530" s="3" t="s">
        <v>66</v>
      </c>
      <c r="L530" s="3" t="s">
        <v>18</v>
      </c>
      <c r="M530" s="3">
        <v>8010</v>
      </c>
      <c r="N530" s="3" t="s">
        <v>67</v>
      </c>
      <c r="O530" s="2"/>
      <c r="P530" t="str">
        <f t="shared" si="41"/>
        <v>Kirchgasse 6</v>
      </c>
      <c r="Q530" t="str">
        <f t="shared" si="45"/>
        <v>Graz</v>
      </c>
      <c r="R530" t="str">
        <f t="shared" si="42"/>
        <v>NULL</v>
      </c>
      <c r="S530">
        <f t="shared" si="43"/>
        <v>8010</v>
      </c>
      <c r="T530" t="str">
        <f t="shared" si="44"/>
        <v>Austria</v>
      </c>
    </row>
    <row r="531" spans="1:20" x14ac:dyDescent="0.2">
      <c r="A531" s="1">
        <v>10777</v>
      </c>
      <c r="B531" s="3" t="s">
        <v>342</v>
      </c>
      <c r="C531" s="3">
        <v>7</v>
      </c>
      <c r="D531" s="4">
        <v>35779</v>
      </c>
      <c r="E531" s="4">
        <v>35793</v>
      </c>
      <c r="F531" s="4">
        <v>35816</v>
      </c>
      <c r="G531" s="3">
        <v>2</v>
      </c>
      <c r="H531" s="3">
        <v>3.01</v>
      </c>
      <c r="I531" s="3" t="s">
        <v>343</v>
      </c>
      <c r="J531" s="3" t="s">
        <v>344</v>
      </c>
      <c r="K531" s="3">
        <v>442</v>
      </c>
      <c r="L531" s="3" t="s">
        <v>345</v>
      </c>
      <c r="M531" s="3" t="s">
        <v>55</v>
      </c>
      <c r="N531" s="3" t="s">
        <v>346</v>
      </c>
      <c r="O531" s="3" t="s">
        <v>31</v>
      </c>
      <c r="P531" t="str">
        <f t="shared" si="41"/>
        <v>Av. Brasil 442</v>
      </c>
      <c r="Q531" t="str">
        <f t="shared" si="45"/>
        <v>Campinas</v>
      </c>
      <c r="R531" t="str">
        <f t="shared" si="42"/>
        <v>SP</v>
      </c>
      <c r="S531" t="str">
        <f t="shared" si="43"/>
        <v>04876-786</v>
      </c>
      <c r="T531" t="str">
        <f t="shared" si="44"/>
        <v>Brazil</v>
      </c>
    </row>
    <row r="532" spans="1:20" x14ac:dyDescent="0.2">
      <c r="A532" s="1">
        <v>10778</v>
      </c>
      <c r="B532" s="3" t="s">
        <v>137</v>
      </c>
      <c r="C532" s="3">
        <v>3</v>
      </c>
      <c r="D532" s="4">
        <v>35780</v>
      </c>
      <c r="E532" s="4">
        <v>35808</v>
      </c>
      <c r="F532" s="4">
        <v>35788</v>
      </c>
      <c r="G532" s="3">
        <v>1</v>
      </c>
      <c r="H532" s="3">
        <v>6.79</v>
      </c>
      <c r="I532" s="3" t="s">
        <v>138</v>
      </c>
      <c r="J532" s="3" t="s">
        <v>139</v>
      </c>
      <c r="K532" s="3" t="s">
        <v>140</v>
      </c>
      <c r="L532" s="3" t="s">
        <v>18</v>
      </c>
      <c r="M532" s="3" t="s">
        <v>141</v>
      </c>
      <c r="N532" s="3" t="s">
        <v>92</v>
      </c>
      <c r="O532" s="2"/>
      <c r="P532" t="str">
        <f t="shared" si="41"/>
        <v>Berguvsvägen  8</v>
      </c>
      <c r="Q532" t="str">
        <f t="shared" si="45"/>
        <v>Luleå</v>
      </c>
      <c r="R532" t="str">
        <f t="shared" si="42"/>
        <v>NULL</v>
      </c>
      <c r="S532" t="str">
        <f t="shared" si="43"/>
        <v>S-958 22</v>
      </c>
      <c r="T532" t="str">
        <f t="shared" si="44"/>
        <v>Sweden</v>
      </c>
    </row>
    <row r="533" spans="1:20" x14ac:dyDescent="0.2">
      <c r="A533" s="1">
        <v>10779</v>
      </c>
      <c r="B533" s="3" t="s">
        <v>133</v>
      </c>
      <c r="C533" s="3">
        <v>3</v>
      </c>
      <c r="D533" s="4">
        <v>35780</v>
      </c>
      <c r="E533" s="4">
        <v>35808</v>
      </c>
      <c r="F533" s="4">
        <v>35809</v>
      </c>
      <c r="G533" s="3">
        <v>2</v>
      </c>
      <c r="H533" s="3">
        <v>58.13</v>
      </c>
      <c r="I533" s="3" t="s">
        <v>134</v>
      </c>
      <c r="J533" s="3" t="s">
        <v>135</v>
      </c>
      <c r="K533" s="3" t="s">
        <v>136</v>
      </c>
      <c r="L533" s="3" t="s">
        <v>18</v>
      </c>
      <c r="M533" s="3">
        <v>4179</v>
      </c>
      <c r="N533" s="3" t="s">
        <v>24</v>
      </c>
      <c r="O533" s="2"/>
      <c r="P533" t="str">
        <f t="shared" si="41"/>
        <v>Heerstr. 22</v>
      </c>
      <c r="Q533" t="str">
        <f t="shared" si="45"/>
        <v>Leipzig</v>
      </c>
      <c r="R533" t="str">
        <f t="shared" si="42"/>
        <v>NULL</v>
      </c>
      <c r="S533">
        <f t="shared" si="43"/>
        <v>4179</v>
      </c>
      <c r="T533" t="str">
        <f t="shared" si="44"/>
        <v>Germany</v>
      </c>
    </row>
    <row r="534" spans="1:20" x14ac:dyDescent="0.2">
      <c r="A534" s="1">
        <v>10780</v>
      </c>
      <c r="B534" s="3" t="s">
        <v>151</v>
      </c>
      <c r="C534" s="3">
        <v>2</v>
      </c>
      <c r="D534" s="4">
        <v>35780</v>
      </c>
      <c r="E534" s="4">
        <v>35794</v>
      </c>
      <c r="F534" s="4">
        <v>35789</v>
      </c>
      <c r="G534" s="3">
        <v>1</v>
      </c>
      <c r="H534" s="3">
        <v>42.13</v>
      </c>
      <c r="I534" s="3" t="s">
        <v>152</v>
      </c>
      <c r="J534" s="3" t="s">
        <v>153</v>
      </c>
      <c r="K534" s="3" t="s">
        <v>154</v>
      </c>
      <c r="L534" s="3" t="s">
        <v>155</v>
      </c>
      <c r="M534" s="3">
        <v>3508</v>
      </c>
      <c r="N534" s="3" t="s">
        <v>62</v>
      </c>
      <c r="O534" s="2"/>
      <c r="P534" t="str">
        <f t="shared" si="41"/>
        <v>Carrera 52 con Ave. Bolívar #65-98 Llano Largo</v>
      </c>
      <c r="Q534" t="str">
        <f t="shared" si="45"/>
        <v>Barquisimeto</v>
      </c>
      <c r="R534" t="str">
        <f t="shared" si="42"/>
        <v>Lara</v>
      </c>
      <c r="S534">
        <f t="shared" si="43"/>
        <v>3508</v>
      </c>
      <c r="T534" t="str">
        <f t="shared" si="44"/>
        <v>Venezuela</v>
      </c>
    </row>
    <row r="535" spans="1:20" x14ac:dyDescent="0.2">
      <c r="A535" s="1">
        <v>10781</v>
      </c>
      <c r="B535" s="3" t="s">
        <v>97</v>
      </c>
      <c r="C535" s="3">
        <v>2</v>
      </c>
      <c r="D535" s="4">
        <v>35781</v>
      </c>
      <c r="E535" s="4">
        <v>35809</v>
      </c>
      <c r="F535" s="4">
        <v>35783</v>
      </c>
      <c r="G535" s="3">
        <v>3</v>
      </c>
      <c r="H535" s="3">
        <v>73.16</v>
      </c>
      <c r="I535" s="3" t="s">
        <v>98</v>
      </c>
      <c r="J535" s="3" t="s">
        <v>99</v>
      </c>
      <c r="K535" s="3" t="s">
        <v>100</v>
      </c>
      <c r="L535" s="3" t="s">
        <v>18</v>
      </c>
      <c r="M535" s="3">
        <v>90110</v>
      </c>
      <c r="N535" s="3" t="s">
        <v>101</v>
      </c>
      <c r="O535" s="2"/>
      <c r="P535" t="str">
        <f t="shared" si="41"/>
        <v>Torikatu 38</v>
      </c>
      <c r="Q535" t="str">
        <f t="shared" si="45"/>
        <v>Oulu</v>
      </c>
      <c r="R535" t="str">
        <f t="shared" si="42"/>
        <v>NULL</v>
      </c>
      <c r="S535">
        <f t="shared" si="43"/>
        <v>90110</v>
      </c>
      <c r="T535" t="str">
        <f t="shared" si="44"/>
        <v>Finland</v>
      </c>
    </row>
    <row r="536" spans="1:20" x14ac:dyDescent="0.2">
      <c r="A536" s="1">
        <v>10782</v>
      </c>
      <c r="B536" s="3" t="s">
        <v>371</v>
      </c>
      <c r="C536" s="3">
        <v>9</v>
      </c>
      <c r="D536" s="4">
        <v>35781</v>
      </c>
      <c r="E536" s="4">
        <v>35809</v>
      </c>
      <c r="F536" s="4">
        <v>35786</v>
      </c>
      <c r="G536" s="3">
        <v>3</v>
      </c>
      <c r="H536" s="3">
        <v>1.1000000000000001</v>
      </c>
      <c r="I536" s="3" t="s">
        <v>372</v>
      </c>
      <c r="J536" s="3" t="s">
        <v>373</v>
      </c>
      <c r="K536" s="3" t="s">
        <v>336</v>
      </c>
      <c r="L536" s="3" t="s">
        <v>18</v>
      </c>
      <c r="M536" s="3">
        <v>1010</v>
      </c>
      <c r="N536" s="3" t="s">
        <v>337</v>
      </c>
      <c r="O536" s="2"/>
      <c r="P536" t="str">
        <f t="shared" si="41"/>
        <v>Cerrito 333</v>
      </c>
      <c r="Q536" t="str">
        <f t="shared" si="45"/>
        <v>Buenos Aires</v>
      </c>
      <c r="R536" t="str">
        <f t="shared" si="42"/>
        <v>NULL</v>
      </c>
      <c r="S536">
        <f t="shared" si="43"/>
        <v>1010</v>
      </c>
      <c r="T536" t="str">
        <f t="shared" si="44"/>
        <v>Argentina</v>
      </c>
    </row>
    <row r="537" spans="1:20" x14ac:dyDescent="0.2">
      <c r="A537" s="1">
        <v>10783</v>
      </c>
      <c r="B537" s="3" t="s">
        <v>25</v>
      </c>
      <c r="C537" s="3">
        <v>4</v>
      </c>
      <c r="D537" s="4">
        <v>35782</v>
      </c>
      <c r="E537" s="4">
        <v>35810</v>
      </c>
      <c r="F537" s="4">
        <v>35783</v>
      </c>
      <c r="G537" s="3">
        <v>2</v>
      </c>
      <c r="H537" s="3">
        <v>124.98</v>
      </c>
      <c r="I537" s="3" t="s">
        <v>26</v>
      </c>
      <c r="J537" s="3" t="s">
        <v>27</v>
      </c>
      <c r="K537" s="3">
        <v>67</v>
      </c>
      <c r="L537" s="3" t="s">
        <v>28</v>
      </c>
      <c r="M537" s="3" t="s">
        <v>29</v>
      </c>
      <c r="N537" s="3" t="s">
        <v>30</v>
      </c>
      <c r="O537" s="3" t="s">
        <v>31</v>
      </c>
      <c r="P537" t="str">
        <f t="shared" si="41"/>
        <v>Rua do Paço 67</v>
      </c>
      <c r="Q537" t="str">
        <f t="shared" si="45"/>
        <v>Rio de Janeiro</v>
      </c>
      <c r="R537" t="str">
        <f t="shared" si="42"/>
        <v>RJ</v>
      </c>
      <c r="S537" t="str">
        <f t="shared" si="43"/>
        <v>05454-876</v>
      </c>
      <c r="T537" t="str">
        <f t="shared" si="44"/>
        <v>Brazil</v>
      </c>
    </row>
    <row r="538" spans="1:20" x14ac:dyDescent="0.2">
      <c r="A538" s="1">
        <v>10784</v>
      </c>
      <c r="B538" s="3" t="s">
        <v>125</v>
      </c>
      <c r="C538" s="3">
        <v>4</v>
      </c>
      <c r="D538" s="4">
        <v>35782</v>
      </c>
      <c r="E538" s="4">
        <v>35810</v>
      </c>
      <c r="F538" s="4">
        <v>35786</v>
      </c>
      <c r="G538" s="3">
        <v>3</v>
      </c>
      <c r="H538" s="3">
        <v>70.09</v>
      </c>
      <c r="I538" s="3" t="s">
        <v>126</v>
      </c>
      <c r="J538" s="3" t="s">
        <v>127</v>
      </c>
      <c r="K538" s="3" t="s">
        <v>128</v>
      </c>
      <c r="L538" s="3" t="s">
        <v>18</v>
      </c>
      <c r="M538" s="3">
        <v>24100</v>
      </c>
      <c r="N538" s="3" t="s">
        <v>129</v>
      </c>
      <c r="O538" s="2"/>
      <c r="P538" t="str">
        <f t="shared" si="41"/>
        <v>Via Ludovico il Moro 22</v>
      </c>
      <c r="Q538" t="str">
        <f t="shared" si="45"/>
        <v>Bergamo</v>
      </c>
      <c r="R538" t="str">
        <f t="shared" si="42"/>
        <v>NULL</v>
      </c>
      <c r="S538">
        <f t="shared" si="43"/>
        <v>24100</v>
      </c>
      <c r="T538" t="str">
        <f t="shared" si="44"/>
        <v>Italy</v>
      </c>
    </row>
    <row r="539" spans="1:20" x14ac:dyDescent="0.2">
      <c r="A539" s="1">
        <v>10785</v>
      </c>
      <c r="B539" s="3" t="s">
        <v>106</v>
      </c>
      <c r="C539" s="3">
        <v>1</v>
      </c>
      <c r="D539" s="4">
        <v>35782</v>
      </c>
      <c r="E539" s="4">
        <v>35810</v>
      </c>
      <c r="F539" s="4">
        <v>35788</v>
      </c>
      <c r="G539" s="3">
        <v>3</v>
      </c>
      <c r="H539" s="3">
        <v>1.51</v>
      </c>
      <c r="I539" s="3" t="s">
        <v>107</v>
      </c>
      <c r="J539" s="3" t="s">
        <v>108</v>
      </c>
      <c r="K539" s="3" t="s">
        <v>109</v>
      </c>
      <c r="L539" s="3" t="s">
        <v>110</v>
      </c>
      <c r="M539" s="3">
        <v>1081</v>
      </c>
      <c r="N539" s="3" t="s">
        <v>62</v>
      </c>
      <c r="O539" s="2"/>
      <c r="P539" t="str">
        <f t="shared" si="41"/>
        <v>5ª Ave. Los Palos Grandes</v>
      </c>
      <c r="Q539" t="str">
        <f t="shared" si="45"/>
        <v>Caracas</v>
      </c>
      <c r="R539" t="str">
        <f t="shared" si="42"/>
        <v>DF</v>
      </c>
      <c r="S539">
        <f t="shared" si="43"/>
        <v>1081</v>
      </c>
      <c r="T539" t="str">
        <f t="shared" si="44"/>
        <v>Venezuela</v>
      </c>
    </row>
    <row r="540" spans="1:20" x14ac:dyDescent="0.2">
      <c r="A540" s="1">
        <v>10786</v>
      </c>
      <c r="B540" s="3" t="s">
        <v>299</v>
      </c>
      <c r="C540" s="3">
        <v>8</v>
      </c>
      <c r="D540" s="4">
        <v>35783</v>
      </c>
      <c r="E540" s="4">
        <v>35811</v>
      </c>
      <c r="F540" s="4">
        <v>35787</v>
      </c>
      <c r="G540" s="3">
        <v>1</v>
      </c>
      <c r="H540" s="3">
        <v>110.87</v>
      </c>
      <c r="I540" s="3" t="s">
        <v>300</v>
      </c>
      <c r="J540" s="3" t="s">
        <v>301</v>
      </c>
      <c r="K540" s="3">
        <v>891</v>
      </c>
      <c r="L540" s="3" t="s">
        <v>173</v>
      </c>
      <c r="M540" s="3" t="s">
        <v>55</v>
      </c>
      <c r="N540" s="3" t="s">
        <v>302</v>
      </c>
      <c r="O540" s="3" t="s">
        <v>31</v>
      </c>
      <c r="P540" t="str">
        <f t="shared" si="41"/>
        <v>Alameda dos Canàrios 891</v>
      </c>
      <c r="Q540" t="str">
        <f t="shared" si="45"/>
        <v>Sao Paulo</v>
      </c>
      <c r="R540" t="str">
        <f t="shared" si="42"/>
        <v>SP</v>
      </c>
      <c r="S540" t="str">
        <f t="shared" si="43"/>
        <v>05487-020</v>
      </c>
      <c r="T540" t="str">
        <f t="shared" si="44"/>
        <v>Brazil</v>
      </c>
    </row>
    <row r="541" spans="1:20" x14ac:dyDescent="0.2">
      <c r="A541" s="1">
        <v>10787</v>
      </c>
      <c r="B541" s="3" t="s">
        <v>262</v>
      </c>
      <c r="C541" s="3">
        <v>2</v>
      </c>
      <c r="D541" s="4">
        <v>35783</v>
      </c>
      <c r="E541" s="4">
        <v>35797</v>
      </c>
      <c r="F541" s="4">
        <v>35790</v>
      </c>
      <c r="G541" s="3">
        <v>1</v>
      </c>
      <c r="H541" s="3">
        <v>249.93</v>
      </c>
      <c r="I541" s="3" t="s">
        <v>263</v>
      </c>
      <c r="J541" s="3" t="s">
        <v>264</v>
      </c>
      <c r="K541" s="3" t="s">
        <v>265</v>
      </c>
      <c r="L541" s="3" t="s">
        <v>18</v>
      </c>
      <c r="M541" s="3">
        <v>31000</v>
      </c>
      <c r="N541" s="3" t="s">
        <v>19</v>
      </c>
      <c r="O541" s="2"/>
      <c r="P541" t="str">
        <f t="shared" si="41"/>
        <v>1 rue Alsace-Lorraine</v>
      </c>
      <c r="Q541" t="str">
        <f t="shared" si="45"/>
        <v>Toulouse</v>
      </c>
      <c r="R541" t="str">
        <f t="shared" si="42"/>
        <v>NULL</v>
      </c>
      <c r="S541">
        <f t="shared" si="43"/>
        <v>31000</v>
      </c>
      <c r="T541" t="str">
        <f t="shared" si="44"/>
        <v>France</v>
      </c>
    </row>
    <row r="542" spans="1:20" x14ac:dyDescent="0.2">
      <c r="A542" s="1">
        <v>10788</v>
      </c>
      <c r="B542" s="3" t="s">
        <v>121</v>
      </c>
      <c r="C542" s="3">
        <v>1</v>
      </c>
      <c r="D542" s="4">
        <v>35786</v>
      </c>
      <c r="E542" s="4">
        <v>35814</v>
      </c>
      <c r="F542" s="4">
        <v>35814</v>
      </c>
      <c r="G542" s="3">
        <v>2</v>
      </c>
      <c r="H542" s="3">
        <v>42.7</v>
      </c>
      <c r="I542" s="3" t="s">
        <v>122</v>
      </c>
      <c r="J542" s="3" t="s">
        <v>123</v>
      </c>
      <c r="K542" s="3" t="s">
        <v>124</v>
      </c>
      <c r="L542" s="3" t="s">
        <v>18</v>
      </c>
      <c r="M542" s="3">
        <v>1307</v>
      </c>
      <c r="N542" s="3" t="s">
        <v>24</v>
      </c>
      <c r="O542" s="2"/>
      <c r="P542" t="str">
        <f t="shared" si="41"/>
        <v>Taucherstraße 10</v>
      </c>
      <c r="Q542" t="str">
        <f t="shared" si="45"/>
        <v>Cunewalde</v>
      </c>
      <c r="R542" t="str">
        <f t="shared" si="42"/>
        <v>NULL</v>
      </c>
      <c r="S542">
        <f t="shared" si="43"/>
        <v>1307</v>
      </c>
      <c r="T542" t="str">
        <f t="shared" si="44"/>
        <v>Germany</v>
      </c>
    </row>
    <row r="543" spans="1:20" x14ac:dyDescent="0.2">
      <c r="A543" s="1">
        <v>10789</v>
      </c>
      <c r="B543" s="3" t="s">
        <v>329</v>
      </c>
      <c r="C543" s="3">
        <v>1</v>
      </c>
      <c r="D543" s="4">
        <v>35786</v>
      </c>
      <c r="E543" s="4">
        <v>35814</v>
      </c>
      <c r="F543" s="4">
        <v>35795</v>
      </c>
      <c r="G543" s="3">
        <v>2</v>
      </c>
      <c r="H543" s="3">
        <v>100.6</v>
      </c>
      <c r="I543" s="3" t="s">
        <v>330</v>
      </c>
      <c r="J543" s="3">
        <v>184</v>
      </c>
      <c r="K543" s="3" t="s">
        <v>331</v>
      </c>
      <c r="L543" s="3" t="s">
        <v>332</v>
      </c>
      <c r="M543" s="3" t="s">
        <v>18</v>
      </c>
      <c r="N543" s="3">
        <v>59000</v>
      </c>
      <c r="O543" s="3" t="s">
        <v>19</v>
      </c>
      <c r="P543" t="str">
        <f t="shared" si="41"/>
        <v>184  chaussée de Tournai</v>
      </c>
      <c r="Q543" t="str">
        <f t="shared" si="45"/>
        <v>Lille</v>
      </c>
      <c r="R543" t="str">
        <f t="shared" si="42"/>
        <v>NULL</v>
      </c>
      <c r="S543">
        <f t="shared" si="43"/>
        <v>59000</v>
      </c>
      <c r="T543" t="str">
        <f t="shared" si="44"/>
        <v>France</v>
      </c>
    </row>
    <row r="544" spans="1:20" x14ac:dyDescent="0.2">
      <c r="A544" s="1">
        <v>10790</v>
      </c>
      <c r="B544" s="3" t="s">
        <v>342</v>
      </c>
      <c r="C544" s="3">
        <v>6</v>
      </c>
      <c r="D544" s="4">
        <v>35786</v>
      </c>
      <c r="E544" s="4">
        <v>35814</v>
      </c>
      <c r="F544" s="4">
        <v>35790</v>
      </c>
      <c r="G544" s="3">
        <v>1</v>
      </c>
      <c r="H544" s="3">
        <v>28.23</v>
      </c>
      <c r="I544" s="3" t="s">
        <v>343</v>
      </c>
      <c r="J544" s="3" t="s">
        <v>344</v>
      </c>
      <c r="K544" s="3">
        <v>442</v>
      </c>
      <c r="L544" s="3" t="s">
        <v>345</v>
      </c>
      <c r="M544" s="3" t="s">
        <v>55</v>
      </c>
      <c r="N544" s="3" t="s">
        <v>346</v>
      </c>
      <c r="O544" s="3" t="s">
        <v>31</v>
      </c>
      <c r="P544" t="str">
        <f t="shared" si="41"/>
        <v>Av. Brasil 442</v>
      </c>
      <c r="Q544" t="str">
        <f t="shared" si="45"/>
        <v>Campinas</v>
      </c>
      <c r="R544" t="str">
        <f t="shared" si="42"/>
        <v>SP</v>
      </c>
      <c r="S544" t="str">
        <f t="shared" si="43"/>
        <v>04876-786</v>
      </c>
      <c r="T544" t="str">
        <f t="shared" si="44"/>
        <v>Brazil</v>
      </c>
    </row>
    <row r="545" spans="1:20" x14ac:dyDescent="0.2">
      <c r="A545" s="1">
        <v>10791</v>
      </c>
      <c r="B545" s="3" t="s">
        <v>102</v>
      </c>
      <c r="C545" s="3">
        <v>6</v>
      </c>
      <c r="D545" s="4">
        <v>35787</v>
      </c>
      <c r="E545" s="4">
        <v>35815</v>
      </c>
      <c r="F545" s="4">
        <v>35796</v>
      </c>
      <c r="G545" s="3">
        <v>2</v>
      </c>
      <c r="H545" s="3">
        <v>16.850000000000001</v>
      </c>
      <c r="I545" s="3" t="s">
        <v>103</v>
      </c>
      <c r="J545" s="3" t="s">
        <v>104</v>
      </c>
      <c r="K545" s="3" t="s">
        <v>105</v>
      </c>
      <c r="L545" s="3" t="s">
        <v>18</v>
      </c>
      <c r="M545" s="3">
        <v>80805</v>
      </c>
      <c r="N545" s="3" t="s">
        <v>24</v>
      </c>
      <c r="O545" s="2"/>
      <c r="P545" t="str">
        <f t="shared" si="41"/>
        <v>Berliner Platz 43</v>
      </c>
      <c r="Q545" t="str">
        <f t="shared" si="45"/>
        <v>München</v>
      </c>
      <c r="R545" t="str">
        <f t="shared" si="42"/>
        <v>NULL</v>
      </c>
      <c r="S545">
        <f t="shared" si="43"/>
        <v>80805</v>
      </c>
      <c r="T545" t="str">
        <f t="shared" si="44"/>
        <v>Germany</v>
      </c>
    </row>
    <row r="546" spans="1:20" x14ac:dyDescent="0.2">
      <c r="A546" s="1">
        <v>10792</v>
      </c>
      <c r="B546" s="3" t="s">
        <v>303</v>
      </c>
      <c r="C546" s="3">
        <v>1</v>
      </c>
      <c r="D546" s="4">
        <v>35787</v>
      </c>
      <c r="E546" s="4">
        <v>35815</v>
      </c>
      <c r="F546" s="4">
        <v>35795</v>
      </c>
      <c r="G546" s="3">
        <v>3</v>
      </c>
      <c r="H546" s="3">
        <v>23.79</v>
      </c>
      <c r="I546" s="3" t="s">
        <v>304</v>
      </c>
      <c r="J546" s="3" t="s">
        <v>305</v>
      </c>
      <c r="K546" s="3" t="s">
        <v>306</v>
      </c>
      <c r="L546" s="3" t="s">
        <v>18</v>
      </c>
      <c r="M546" s="3" t="s">
        <v>307</v>
      </c>
      <c r="N546" s="3" t="s">
        <v>308</v>
      </c>
      <c r="O546" s="2"/>
      <c r="P546" t="str">
        <f t="shared" si="41"/>
        <v>ul. Filtrowa 68</v>
      </c>
      <c r="Q546" t="str">
        <f t="shared" si="45"/>
        <v>Warszawa</v>
      </c>
      <c r="R546" t="str">
        <f t="shared" si="42"/>
        <v>NULL</v>
      </c>
      <c r="S546" t="str">
        <f t="shared" si="43"/>
        <v>01-012</v>
      </c>
      <c r="T546" t="str">
        <f t="shared" si="44"/>
        <v>Poland</v>
      </c>
    </row>
    <row r="547" spans="1:20" x14ac:dyDescent="0.2">
      <c r="A547" s="1">
        <v>10793</v>
      </c>
      <c r="B547" s="3" t="s">
        <v>270</v>
      </c>
      <c r="C547" s="3">
        <v>3</v>
      </c>
      <c r="D547" s="4">
        <v>35788</v>
      </c>
      <c r="E547" s="4">
        <v>35816</v>
      </c>
      <c r="F547" s="4">
        <v>35803</v>
      </c>
      <c r="G547" s="3">
        <v>3</v>
      </c>
      <c r="H547" s="3">
        <v>4.5199999999999996</v>
      </c>
      <c r="I547" s="3" t="s">
        <v>271</v>
      </c>
      <c r="J547" s="3" t="s">
        <v>272</v>
      </c>
      <c r="K547" s="3" t="s">
        <v>273</v>
      </c>
      <c r="L547" s="3" t="s">
        <v>274</v>
      </c>
      <c r="M547" s="3" t="s">
        <v>275</v>
      </c>
      <c r="N547" s="3" t="s">
        <v>169</v>
      </c>
      <c r="O547" s="2"/>
      <c r="P547" t="str">
        <f t="shared" si="41"/>
        <v>Brook Farm Stratford St. Mary</v>
      </c>
      <c r="Q547" t="str">
        <f t="shared" si="45"/>
        <v>Colchester</v>
      </c>
      <c r="R547" t="str">
        <f t="shared" si="42"/>
        <v>Essex</v>
      </c>
      <c r="S547" t="str">
        <f t="shared" si="43"/>
        <v>CO7 6JX</v>
      </c>
      <c r="T547" t="str">
        <f t="shared" si="44"/>
        <v>UK</v>
      </c>
    </row>
    <row r="548" spans="1:20" x14ac:dyDescent="0.2">
      <c r="A548" s="1">
        <v>10794</v>
      </c>
      <c r="B548" s="3" t="s">
        <v>77</v>
      </c>
      <c r="C548" s="3">
        <v>6</v>
      </c>
      <c r="D548" s="4">
        <v>35788</v>
      </c>
      <c r="E548" s="4">
        <v>35816</v>
      </c>
      <c r="F548" s="4">
        <v>35797</v>
      </c>
      <c r="G548" s="3">
        <v>1</v>
      </c>
      <c r="H548" s="3">
        <v>21.49</v>
      </c>
      <c r="I548" s="3" t="s">
        <v>78</v>
      </c>
      <c r="J548" s="3" t="s">
        <v>79</v>
      </c>
      <c r="K548" s="3">
        <v>12</v>
      </c>
      <c r="L548" s="3" t="s">
        <v>28</v>
      </c>
      <c r="M548" s="3" t="s">
        <v>29</v>
      </c>
      <c r="N548" s="3" t="s">
        <v>80</v>
      </c>
      <c r="O548" s="3" t="s">
        <v>31</v>
      </c>
      <c r="P548" t="str">
        <f t="shared" si="41"/>
        <v>Rua da Panificadora 12</v>
      </c>
      <c r="Q548" t="str">
        <f t="shared" si="45"/>
        <v>Rio de Janeiro</v>
      </c>
      <c r="R548" t="str">
        <f t="shared" si="42"/>
        <v>RJ</v>
      </c>
      <c r="S548" t="str">
        <f t="shared" si="43"/>
        <v>02389-673</v>
      </c>
      <c r="T548" t="str">
        <f t="shared" si="44"/>
        <v>Brazil</v>
      </c>
    </row>
    <row r="549" spans="1:20" x14ac:dyDescent="0.2">
      <c r="A549" s="1">
        <v>10795</v>
      </c>
      <c r="B549" s="3" t="s">
        <v>63</v>
      </c>
      <c r="C549" s="3">
        <v>8</v>
      </c>
      <c r="D549" s="4">
        <v>35788</v>
      </c>
      <c r="E549" s="4">
        <v>35816</v>
      </c>
      <c r="F549" s="4">
        <v>35815</v>
      </c>
      <c r="G549" s="3">
        <v>2</v>
      </c>
      <c r="H549" s="3">
        <v>126.66</v>
      </c>
      <c r="I549" s="3" t="s">
        <v>64</v>
      </c>
      <c r="J549" s="3" t="s">
        <v>65</v>
      </c>
      <c r="K549" s="3" t="s">
        <v>66</v>
      </c>
      <c r="L549" s="3" t="s">
        <v>18</v>
      </c>
      <c r="M549" s="3">
        <v>8010</v>
      </c>
      <c r="N549" s="3" t="s">
        <v>67</v>
      </c>
      <c r="O549" s="2"/>
      <c r="P549" t="str">
        <f t="shared" si="41"/>
        <v>Kirchgasse 6</v>
      </c>
      <c r="Q549" t="str">
        <f t="shared" si="45"/>
        <v>Graz</v>
      </c>
      <c r="R549" t="str">
        <f t="shared" si="42"/>
        <v>NULL</v>
      </c>
      <c r="S549">
        <f t="shared" si="43"/>
        <v>8010</v>
      </c>
      <c r="T549" t="str">
        <f t="shared" si="44"/>
        <v>Austria</v>
      </c>
    </row>
    <row r="550" spans="1:20" x14ac:dyDescent="0.2">
      <c r="A550" s="1">
        <v>10796</v>
      </c>
      <c r="B550" s="3" t="s">
        <v>57</v>
      </c>
      <c r="C550" s="3">
        <v>3</v>
      </c>
      <c r="D550" s="4">
        <v>35789</v>
      </c>
      <c r="E550" s="4">
        <v>35817</v>
      </c>
      <c r="F550" s="4">
        <v>35809</v>
      </c>
      <c r="G550" s="3">
        <v>1</v>
      </c>
      <c r="H550" s="3">
        <v>26.52</v>
      </c>
      <c r="I550" s="3" t="s">
        <v>58</v>
      </c>
      <c r="J550" s="3" t="s">
        <v>59</v>
      </c>
      <c r="K550" s="3" t="s">
        <v>60</v>
      </c>
      <c r="L550" s="3" t="s">
        <v>61</v>
      </c>
      <c r="M550" s="3">
        <v>5022</v>
      </c>
      <c r="N550" s="3" t="s">
        <v>62</v>
      </c>
      <c r="O550" s="2"/>
      <c r="P550" t="str">
        <f t="shared" si="41"/>
        <v>Carrera 22 con Ave. Carlos Soublette #8-35</v>
      </c>
      <c r="Q550" t="str">
        <f t="shared" si="45"/>
        <v>San Cristóbal</v>
      </c>
      <c r="R550" t="str">
        <f t="shared" si="42"/>
        <v>Táchira</v>
      </c>
      <c r="S550">
        <f t="shared" si="43"/>
        <v>5022</v>
      </c>
      <c r="T550" t="str">
        <f t="shared" si="44"/>
        <v>Venezuela</v>
      </c>
    </row>
    <row r="551" spans="1:20" x14ac:dyDescent="0.2">
      <c r="A551" s="1">
        <v>10797</v>
      </c>
      <c r="B551" s="3" t="s">
        <v>280</v>
      </c>
      <c r="C551" s="3">
        <v>7</v>
      </c>
      <c r="D551" s="4">
        <v>35789</v>
      </c>
      <c r="E551" s="4">
        <v>35817</v>
      </c>
      <c r="F551" s="4">
        <v>35800</v>
      </c>
      <c r="G551" s="3">
        <v>2</v>
      </c>
      <c r="H551" s="3">
        <v>33.35</v>
      </c>
      <c r="I551" s="3" t="s">
        <v>281</v>
      </c>
      <c r="J551" s="3" t="s">
        <v>282</v>
      </c>
      <c r="K551" s="3" t="s">
        <v>283</v>
      </c>
      <c r="L551" s="3" t="s">
        <v>18</v>
      </c>
      <c r="M551" s="3">
        <v>52066</v>
      </c>
      <c r="N551" s="3" t="s">
        <v>24</v>
      </c>
      <c r="O551" s="2"/>
      <c r="P551" t="str">
        <f t="shared" si="41"/>
        <v>Walserweg 21</v>
      </c>
      <c r="Q551" t="str">
        <f t="shared" si="45"/>
        <v>Aachen</v>
      </c>
      <c r="R551" t="str">
        <f t="shared" si="42"/>
        <v>NULL</v>
      </c>
      <c r="S551">
        <f t="shared" si="43"/>
        <v>52066</v>
      </c>
      <c r="T551" t="str">
        <f t="shared" si="44"/>
        <v>Germany</v>
      </c>
    </row>
    <row r="552" spans="1:20" x14ac:dyDescent="0.2">
      <c r="A552" s="1">
        <v>10798</v>
      </c>
      <c r="B552" s="3" t="s">
        <v>213</v>
      </c>
      <c r="C552" s="3">
        <v>2</v>
      </c>
      <c r="D552" s="4">
        <v>35790</v>
      </c>
      <c r="E552" s="4">
        <v>35818</v>
      </c>
      <c r="F552" s="4">
        <v>35800</v>
      </c>
      <c r="G552" s="3">
        <v>1</v>
      </c>
      <c r="H552" s="3">
        <v>2.33</v>
      </c>
      <c r="I552" s="3" t="s">
        <v>214</v>
      </c>
      <c r="J552" s="3" t="s">
        <v>215</v>
      </c>
      <c r="K552" s="3" t="s">
        <v>216</v>
      </c>
      <c r="L552" s="3" t="s">
        <v>217</v>
      </c>
      <c r="M552" s="3" t="s">
        <v>218</v>
      </c>
      <c r="N552" s="3" t="s">
        <v>169</v>
      </c>
      <c r="O552" s="2"/>
      <c r="P552" t="str">
        <f t="shared" si="41"/>
        <v>Garden House Crowther Way</v>
      </c>
      <c r="Q552" t="str">
        <f t="shared" si="45"/>
        <v>Cowes</v>
      </c>
      <c r="R552" t="str">
        <f t="shared" si="42"/>
        <v>Isle of Wight</v>
      </c>
      <c r="S552" t="str">
        <f t="shared" si="43"/>
        <v>PO31 7PJ</v>
      </c>
      <c r="T552" t="str">
        <f t="shared" si="44"/>
        <v>UK</v>
      </c>
    </row>
    <row r="553" spans="1:20" x14ac:dyDescent="0.2">
      <c r="A553" s="1">
        <v>10799</v>
      </c>
      <c r="B553" s="3" t="s">
        <v>222</v>
      </c>
      <c r="C553" s="3">
        <v>9</v>
      </c>
      <c r="D553" s="4">
        <v>35790</v>
      </c>
      <c r="E553" s="4">
        <v>35832</v>
      </c>
      <c r="F553" s="4">
        <v>35800</v>
      </c>
      <c r="G553" s="3">
        <v>3</v>
      </c>
      <c r="H553" s="3">
        <v>30.76</v>
      </c>
      <c r="I553" s="3" t="s">
        <v>223</v>
      </c>
      <c r="J553" s="3" t="s">
        <v>224</v>
      </c>
      <c r="K553" s="3" t="s">
        <v>225</v>
      </c>
      <c r="L553" s="3" t="s">
        <v>18</v>
      </c>
      <c r="M553" s="3">
        <v>14776</v>
      </c>
      <c r="N553" s="3" t="s">
        <v>24</v>
      </c>
      <c r="O553" s="2"/>
      <c r="P553" t="str">
        <f t="shared" si="41"/>
        <v>Maubelstr. 90</v>
      </c>
      <c r="Q553" t="str">
        <f t="shared" si="45"/>
        <v>Brandenburg</v>
      </c>
      <c r="R553" t="str">
        <f t="shared" si="42"/>
        <v>NULL</v>
      </c>
      <c r="S553">
        <f t="shared" si="43"/>
        <v>14776</v>
      </c>
      <c r="T553" t="str">
        <f t="shared" si="44"/>
        <v>Germany</v>
      </c>
    </row>
    <row r="554" spans="1:20" x14ac:dyDescent="0.2">
      <c r="A554" s="1">
        <v>10800</v>
      </c>
      <c r="B554" s="3" t="s">
        <v>276</v>
      </c>
      <c r="C554" s="3">
        <v>1</v>
      </c>
      <c r="D554" s="4">
        <v>35790</v>
      </c>
      <c r="E554" s="4">
        <v>35818</v>
      </c>
      <c r="F554" s="4">
        <v>35800</v>
      </c>
      <c r="G554" s="3">
        <v>3</v>
      </c>
      <c r="H554" s="3">
        <v>137.44</v>
      </c>
      <c r="I554" s="3" t="s">
        <v>277</v>
      </c>
      <c r="J554" s="3" t="s">
        <v>278</v>
      </c>
      <c r="K554" s="3" t="s">
        <v>167</v>
      </c>
      <c r="L554" s="3" t="s">
        <v>18</v>
      </c>
      <c r="M554" s="3" t="s">
        <v>279</v>
      </c>
      <c r="N554" s="3" t="s">
        <v>169</v>
      </c>
      <c r="O554" s="2"/>
      <c r="P554" t="str">
        <f t="shared" si="41"/>
        <v>90 Wadhurst Rd.</v>
      </c>
      <c r="Q554" t="str">
        <f t="shared" si="45"/>
        <v>London</v>
      </c>
      <c r="R554" t="str">
        <f t="shared" si="42"/>
        <v>NULL</v>
      </c>
      <c r="S554" t="str">
        <f t="shared" si="43"/>
        <v>OX15 4NB</v>
      </c>
      <c r="T554" t="str">
        <f t="shared" si="44"/>
        <v>UK</v>
      </c>
    </row>
    <row r="555" spans="1:20" x14ac:dyDescent="0.2">
      <c r="A555" s="1">
        <v>10801</v>
      </c>
      <c r="B555" s="3" t="s">
        <v>231</v>
      </c>
      <c r="C555" s="3">
        <v>4</v>
      </c>
      <c r="D555" s="4">
        <v>35793</v>
      </c>
      <c r="E555" s="4">
        <v>35821</v>
      </c>
      <c r="F555" s="4">
        <v>35795</v>
      </c>
      <c r="G555" s="3">
        <v>2</v>
      </c>
      <c r="H555" s="3">
        <v>97.09</v>
      </c>
      <c r="I555" s="3" t="s">
        <v>232</v>
      </c>
      <c r="J555" s="3" t="s">
        <v>233</v>
      </c>
      <c r="K555" s="3">
        <v>67</v>
      </c>
      <c r="L555" s="3" t="s">
        <v>149</v>
      </c>
      <c r="M555" s="3" t="s">
        <v>18</v>
      </c>
      <c r="N555" s="3">
        <v>28023</v>
      </c>
      <c r="O555" s="3" t="s">
        <v>150</v>
      </c>
      <c r="P555" t="str">
        <f t="shared" si="41"/>
        <v>C/ Araquil 67</v>
      </c>
      <c r="Q555" t="str">
        <f t="shared" si="45"/>
        <v>Madrid</v>
      </c>
      <c r="R555" t="str">
        <f t="shared" si="42"/>
        <v>NULL</v>
      </c>
      <c r="S555">
        <f t="shared" si="43"/>
        <v>28023</v>
      </c>
      <c r="T555" t="str">
        <f t="shared" si="44"/>
        <v>Spain</v>
      </c>
    </row>
    <row r="556" spans="1:20" x14ac:dyDescent="0.2">
      <c r="A556" s="1">
        <v>10802</v>
      </c>
      <c r="B556" s="3" t="s">
        <v>253</v>
      </c>
      <c r="C556" s="3">
        <v>4</v>
      </c>
      <c r="D556" s="4">
        <v>35793</v>
      </c>
      <c r="E556" s="4">
        <v>35821</v>
      </c>
      <c r="F556" s="4">
        <v>35797</v>
      </c>
      <c r="G556" s="3">
        <v>2</v>
      </c>
      <c r="H556" s="3">
        <v>257.26</v>
      </c>
      <c r="I556" s="3" t="s">
        <v>254</v>
      </c>
      <c r="J556" s="3" t="s">
        <v>255</v>
      </c>
      <c r="K556" s="3" t="s">
        <v>256</v>
      </c>
      <c r="L556" s="3" t="s">
        <v>18</v>
      </c>
      <c r="M556" s="3">
        <v>1734</v>
      </c>
      <c r="N556" s="3" t="s">
        <v>257</v>
      </c>
      <c r="O556" s="2"/>
      <c r="P556" t="str">
        <f t="shared" si="41"/>
        <v>Vinbæltet 34</v>
      </c>
      <c r="Q556" t="str">
        <f t="shared" si="45"/>
        <v>Kobenhavn</v>
      </c>
      <c r="R556" t="str">
        <f t="shared" si="42"/>
        <v>NULL</v>
      </c>
      <c r="S556">
        <f t="shared" si="43"/>
        <v>1734</v>
      </c>
      <c r="T556" t="str">
        <f t="shared" si="44"/>
        <v>Denmark</v>
      </c>
    </row>
    <row r="557" spans="1:20" x14ac:dyDescent="0.2">
      <c r="A557" s="1">
        <v>10803</v>
      </c>
      <c r="B557" s="3" t="s">
        <v>51</v>
      </c>
      <c r="C557" s="3">
        <v>4</v>
      </c>
      <c r="D557" s="4">
        <v>35794</v>
      </c>
      <c r="E557" s="4">
        <v>35822</v>
      </c>
      <c r="F557" s="4">
        <v>35801</v>
      </c>
      <c r="G557" s="3">
        <v>1</v>
      </c>
      <c r="H557" s="3">
        <v>55.23</v>
      </c>
      <c r="I557" s="3" t="s">
        <v>52</v>
      </c>
      <c r="J557" s="3" t="s">
        <v>53</v>
      </c>
      <c r="K557" s="3">
        <v>12</v>
      </c>
      <c r="L557" s="3" t="s">
        <v>54</v>
      </c>
      <c r="M557" s="3" t="s">
        <v>55</v>
      </c>
      <c r="N557" s="3" t="s">
        <v>56</v>
      </c>
      <c r="O557" s="3" t="s">
        <v>31</v>
      </c>
      <c r="P557" t="str">
        <f t="shared" si="41"/>
        <v>Rua do Mercado 12</v>
      </c>
      <c r="Q557" t="str">
        <f t="shared" si="45"/>
        <v>Resende</v>
      </c>
      <c r="R557" t="str">
        <f t="shared" si="42"/>
        <v>SP</v>
      </c>
      <c r="S557" t="str">
        <f t="shared" si="43"/>
        <v>08737-363</v>
      </c>
      <c r="T557" t="str">
        <f t="shared" si="44"/>
        <v>Brazil</v>
      </c>
    </row>
    <row r="558" spans="1:20" x14ac:dyDescent="0.2">
      <c r="A558" s="1">
        <v>10804</v>
      </c>
      <c r="B558" s="3" t="s">
        <v>276</v>
      </c>
      <c r="C558" s="3">
        <v>6</v>
      </c>
      <c r="D558" s="4">
        <v>35794</v>
      </c>
      <c r="E558" s="4">
        <v>35822</v>
      </c>
      <c r="F558" s="4">
        <v>35802</v>
      </c>
      <c r="G558" s="3">
        <v>2</v>
      </c>
      <c r="H558" s="3">
        <v>27.33</v>
      </c>
      <c r="I558" s="3" t="s">
        <v>277</v>
      </c>
      <c r="J558" s="3" t="s">
        <v>278</v>
      </c>
      <c r="K558" s="3" t="s">
        <v>167</v>
      </c>
      <c r="L558" s="3" t="s">
        <v>18</v>
      </c>
      <c r="M558" s="3" t="s">
        <v>279</v>
      </c>
      <c r="N558" s="3" t="s">
        <v>169</v>
      </c>
      <c r="O558" s="2"/>
      <c r="P558" t="str">
        <f t="shared" si="41"/>
        <v>90 Wadhurst Rd.</v>
      </c>
      <c r="Q558" t="str">
        <f t="shared" si="45"/>
        <v>London</v>
      </c>
      <c r="R558" t="str">
        <f t="shared" si="42"/>
        <v>NULL</v>
      </c>
      <c r="S558" t="str">
        <f t="shared" si="43"/>
        <v>OX15 4NB</v>
      </c>
      <c r="T558" t="str">
        <f t="shared" si="44"/>
        <v>UK</v>
      </c>
    </row>
    <row r="559" spans="1:20" x14ac:dyDescent="0.2">
      <c r="A559" s="1">
        <v>10805</v>
      </c>
      <c r="B559" s="3" t="s">
        <v>206</v>
      </c>
      <c r="C559" s="3">
        <v>2</v>
      </c>
      <c r="D559" s="4">
        <v>35794</v>
      </c>
      <c r="E559" s="4">
        <v>35822</v>
      </c>
      <c r="F559" s="4">
        <v>35804</v>
      </c>
      <c r="G559" s="3">
        <v>3</v>
      </c>
      <c r="H559" s="3">
        <v>237.34</v>
      </c>
      <c r="I559" s="3" t="s">
        <v>207</v>
      </c>
      <c r="J559" s="3" t="s">
        <v>208</v>
      </c>
      <c r="K559" s="3" t="s">
        <v>201</v>
      </c>
      <c r="L559" s="3" t="s">
        <v>202</v>
      </c>
      <c r="M559" s="3">
        <v>97201</v>
      </c>
      <c r="N559" s="3" t="s">
        <v>86</v>
      </c>
      <c r="O559" s="2"/>
      <c r="P559" t="str">
        <f t="shared" si="41"/>
        <v>89 Jefferson Way Suite 2</v>
      </c>
      <c r="Q559" t="str">
        <f t="shared" si="45"/>
        <v>Portland</v>
      </c>
      <c r="R559" t="str">
        <f t="shared" si="42"/>
        <v>OR</v>
      </c>
      <c r="S559">
        <f t="shared" si="43"/>
        <v>97201</v>
      </c>
      <c r="T559" t="str">
        <f t="shared" si="44"/>
        <v>USA</v>
      </c>
    </row>
    <row r="560" spans="1:20" x14ac:dyDescent="0.2">
      <c r="A560" s="1">
        <v>10806</v>
      </c>
      <c r="B560" s="3" t="s">
        <v>32</v>
      </c>
      <c r="C560" s="3">
        <v>3</v>
      </c>
      <c r="D560" s="4">
        <v>35795</v>
      </c>
      <c r="E560" s="4">
        <v>35823</v>
      </c>
      <c r="F560" s="4">
        <v>35800</v>
      </c>
      <c r="G560" s="3">
        <v>2</v>
      </c>
      <c r="H560" s="3">
        <v>22.11</v>
      </c>
      <c r="I560" s="3" t="s">
        <v>33</v>
      </c>
      <c r="J560" s="3">
        <v>2</v>
      </c>
      <c r="K560" s="3" t="s">
        <v>34</v>
      </c>
      <c r="L560" s="3" t="s">
        <v>35</v>
      </c>
      <c r="M560" s="3" t="s">
        <v>18</v>
      </c>
      <c r="N560" s="3">
        <v>69004</v>
      </c>
      <c r="O560" s="3" t="s">
        <v>19</v>
      </c>
      <c r="P560" t="str">
        <f t="shared" si="41"/>
        <v>2  rue du Commerce</v>
      </c>
      <c r="Q560" t="str">
        <f t="shared" si="45"/>
        <v>Lyon</v>
      </c>
      <c r="R560" t="str">
        <f t="shared" si="42"/>
        <v>NULL</v>
      </c>
      <c r="S560">
        <f t="shared" si="43"/>
        <v>69004</v>
      </c>
      <c r="T560" t="str">
        <f t="shared" si="44"/>
        <v>France</v>
      </c>
    </row>
    <row r="561" spans="1:20" x14ac:dyDescent="0.2">
      <c r="A561" s="1">
        <v>10807</v>
      </c>
      <c r="B561" s="3" t="s">
        <v>338</v>
      </c>
      <c r="C561" s="3">
        <v>4</v>
      </c>
      <c r="D561" s="4">
        <v>35795</v>
      </c>
      <c r="E561" s="4">
        <v>35823</v>
      </c>
      <c r="F561" s="4">
        <v>35825</v>
      </c>
      <c r="G561" s="3">
        <v>1</v>
      </c>
      <c r="H561" s="3">
        <v>1.36</v>
      </c>
      <c r="I561" s="3" t="s">
        <v>339</v>
      </c>
      <c r="J561" s="3" t="s">
        <v>340</v>
      </c>
      <c r="K561" s="3" t="s">
        <v>341</v>
      </c>
      <c r="L561" s="3" t="s">
        <v>18</v>
      </c>
      <c r="M561" s="3">
        <v>10100</v>
      </c>
      <c r="N561" s="3" t="s">
        <v>129</v>
      </c>
      <c r="O561" s="2"/>
      <c r="P561" t="str">
        <f t="shared" si="41"/>
        <v>Via Monte Bianco 34</v>
      </c>
      <c r="Q561" t="str">
        <f t="shared" si="45"/>
        <v>Torino</v>
      </c>
      <c r="R561" t="str">
        <f t="shared" si="42"/>
        <v>NULL</v>
      </c>
      <c r="S561">
        <f t="shared" si="43"/>
        <v>10100</v>
      </c>
      <c r="T561" t="str">
        <f t="shared" si="44"/>
        <v>Italy</v>
      </c>
    </row>
    <row r="562" spans="1:20" x14ac:dyDescent="0.2">
      <c r="A562" s="1">
        <v>10808</v>
      </c>
      <c r="B562" s="3" t="s">
        <v>193</v>
      </c>
      <c r="C562" s="3">
        <v>2</v>
      </c>
      <c r="D562" s="4">
        <v>35796</v>
      </c>
      <c r="E562" s="4">
        <v>35824</v>
      </c>
      <c r="F562" s="4">
        <v>35804</v>
      </c>
      <c r="G562" s="3">
        <v>3</v>
      </c>
      <c r="H562" s="3">
        <v>45.53</v>
      </c>
      <c r="I562" s="3" t="s">
        <v>194</v>
      </c>
      <c r="J562" s="3" t="s">
        <v>195</v>
      </c>
      <c r="K562" s="3" t="s">
        <v>196</v>
      </c>
      <c r="L562" s="3" t="s">
        <v>197</v>
      </c>
      <c r="M562" s="3">
        <v>99508</v>
      </c>
      <c r="N562" s="3" t="s">
        <v>86</v>
      </c>
      <c r="O562" s="2"/>
      <c r="P562" t="str">
        <f t="shared" si="41"/>
        <v>2743 Bering St.</v>
      </c>
      <c r="Q562" t="str">
        <f t="shared" si="45"/>
        <v>Anchorage</v>
      </c>
      <c r="R562" t="str">
        <f t="shared" si="42"/>
        <v>AK</v>
      </c>
      <c r="S562">
        <f t="shared" si="43"/>
        <v>99508</v>
      </c>
      <c r="T562" t="str">
        <f t="shared" si="44"/>
        <v>USA</v>
      </c>
    </row>
    <row r="563" spans="1:20" x14ac:dyDescent="0.2">
      <c r="A563" s="1">
        <v>10809</v>
      </c>
      <c r="B563" s="3" t="s">
        <v>51</v>
      </c>
      <c r="C563" s="3">
        <v>7</v>
      </c>
      <c r="D563" s="4">
        <v>35796</v>
      </c>
      <c r="E563" s="4">
        <v>35824</v>
      </c>
      <c r="F563" s="4">
        <v>35802</v>
      </c>
      <c r="G563" s="3">
        <v>1</v>
      </c>
      <c r="H563" s="3">
        <v>4.87</v>
      </c>
      <c r="I563" s="3" t="s">
        <v>52</v>
      </c>
      <c r="J563" s="3" t="s">
        <v>53</v>
      </c>
      <c r="K563" s="3">
        <v>12</v>
      </c>
      <c r="L563" s="3" t="s">
        <v>54</v>
      </c>
      <c r="M563" s="3" t="s">
        <v>55</v>
      </c>
      <c r="N563" s="3" t="s">
        <v>56</v>
      </c>
      <c r="O563" s="3" t="s">
        <v>31</v>
      </c>
      <c r="P563" t="str">
        <f t="shared" si="41"/>
        <v>Rua do Mercado 12</v>
      </c>
      <c r="Q563" t="str">
        <f t="shared" si="45"/>
        <v>Resende</v>
      </c>
      <c r="R563" t="str">
        <f t="shared" si="42"/>
        <v>SP</v>
      </c>
      <c r="S563" t="str">
        <f t="shared" si="43"/>
        <v>08737-363</v>
      </c>
      <c r="T563" t="str">
        <f t="shared" si="44"/>
        <v>Brazil</v>
      </c>
    </row>
    <row r="564" spans="1:20" x14ac:dyDescent="0.2">
      <c r="A564" s="1">
        <v>10810</v>
      </c>
      <c r="B564" s="3" t="s">
        <v>358</v>
      </c>
      <c r="C564" s="3">
        <v>2</v>
      </c>
      <c r="D564" s="4">
        <v>35796</v>
      </c>
      <c r="E564" s="4">
        <v>35824</v>
      </c>
      <c r="F564" s="4">
        <v>35802</v>
      </c>
      <c r="G564" s="3">
        <v>3</v>
      </c>
      <c r="H564" s="3">
        <v>4.33</v>
      </c>
      <c r="I564" s="3" t="s">
        <v>359</v>
      </c>
      <c r="J564" s="3" t="s">
        <v>360</v>
      </c>
      <c r="K564" s="3" t="s">
        <v>361</v>
      </c>
      <c r="L564" s="3" t="s">
        <v>322</v>
      </c>
      <c r="M564" s="3" t="s">
        <v>362</v>
      </c>
      <c r="N564" s="3" t="s">
        <v>249</v>
      </c>
      <c r="O564" s="2"/>
      <c r="P564" t="str">
        <f t="shared" si="41"/>
        <v>2319 Elm St.</v>
      </c>
      <c r="Q564" t="str">
        <f t="shared" si="45"/>
        <v>Vancouver</v>
      </c>
      <c r="R564" t="str">
        <f t="shared" si="42"/>
        <v>BC</v>
      </c>
      <c r="S564" t="str">
        <f t="shared" si="43"/>
        <v>V3F 2K1</v>
      </c>
      <c r="T564" t="str">
        <f t="shared" si="44"/>
        <v>Canada</v>
      </c>
    </row>
    <row r="565" spans="1:20" x14ac:dyDescent="0.2">
      <c r="A565" s="1">
        <v>10811</v>
      </c>
      <c r="B565" s="3" t="s">
        <v>324</v>
      </c>
      <c r="C565" s="3">
        <v>8</v>
      </c>
      <c r="D565" s="4">
        <v>35797</v>
      </c>
      <c r="E565" s="4">
        <v>35825</v>
      </c>
      <c r="F565" s="4">
        <v>35803</v>
      </c>
      <c r="G565" s="3">
        <v>1</v>
      </c>
      <c r="H565" s="3">
        <v>31.22</v>
      </c>
      <c r="I565" s="3" t="s">
        <v>325</v>
      </c>
      <c r="J565" s="3" t="s">
        <v>326</v>
      </c>
      <c r="K565" s="3" t="s">
        <v>327</v>
      </c>
      <c r="L565" s="3" t="s">
        <v>328</v>
      </c>
      <c r="M565" s="3">
        <v>4980</v>
      </c>
      <c r="N565" s="3" t="s">
        <v>62</v>
      </c>
      <c r="O565" s="2"/>
      <c r="P565" t="str">
        <f t="shared" si="41"/>
        <v>Ave. 5 de Mayo Porlamar</v>
      </c>
      <c r="Q565" t="str">
        <f t="shared" si="45"/>
        <v>I. de Margarita</v>
      </c>
      <c r="R565" t="str">
        <f t="shared" si="42"/>
        <v>Nueva Esparta</v>
      </c>
      <c r="S565">
        <f t="shared" si="43"/>
        <v>4980</v>
      </c>
      <c r="T565" t="str">
        <f t="shared" si="44"/>
        <v>Venezuela</v>
      </c>
    </row>
    <row r="566" spans="1:20" x14ac:dyDescent="0.2">
      <c r="A566" s="1">
        <v>10812</v>
      </c>
      <c r="B566" s="3" t="s">
        <v>160</v>
      </c>
      <c r="C566" s="3">
        <v>5</v>
      </c>
      <c r="D566" s="4">
        <v>35797</v>
      </c>
      <c r="E566" s="4">
        <v>35825</v>
      </c>
      <c r="F566" s="4">
        <v>35807</v>
      </c>
      <c r="G566" s="3">
        <v>1</v>
      </c>
      <c r="H566" s="3">
        <v>59.78</v>
      </c>
      <c r="I566" s="3" t="s">
        <v>161</v>
      </c>
      <c r="J566" s="3" t="s">
        <v>162</v>
      </c>
      <c r="K566" s="3" t="s">
        <v>163</v>
      </c>
      <c r="L566" s="3" t="s">
        <v>18</v>
      </c>
      <c r="M566" s="3">
        <v>42100</v>
      </c>
      <c r="N566" s="3" t="s">
        <v>129</v>
      </c>
      <c r="O566" s="2"/>
      <c r="P566" t="str">
        <f t="shared" si="41"/>
        <v>Strada Provinciale 124</v>
      </c>
      <c r="Q566" t="str">
        <f t="shared" si="45"/>
        <v>Reggio Emilia</v>
      </c>
      <c r="R566" t="str">
        <f t="shared" si="42"/>
        <v>NULL</v>
      </c>
      <c r="S566">
        <f t="shared" si="43"/>
        <v>42100</v>
      </c>
      <c r="T566" t="str">
        <f t="shared" si="44"/>
        <v>Italy</v>
      </c>
    </row>
    <row r="567" spans="1:20" x14ac:dyDescent="0.2">
      <c r="A567" s="1">
        <v>10813</v>
      </c>
      <c r="B567" s="3" t="s">
        <v>156</v>
      </c>
      <c r="C567" s="3">
        <v>1</v>
      </c>
      <c r="D567" s="4">
        <v>35800</v>
      </c>
      <c r="E567" s="4">
        <v>35828</v>
      </c>
      <c r="F567" s="4">
        <v>35804</v>
      </c>
      <c r="G567" s="3">
        <v>1</v>
      </c>
      <c r="H567" s="3">
        <v>47.38</v>
      </c>
      <c r="I567" s="3" t="s">
        <v>157</v>
      </c>
      <c r="J567" s="3" t="s">
        <v>158</v>
      </c>
      <c r="K567" s="3">
        <v>267</v>
      </c>
      <c r="L567" s="3" t="s">
        <v>28</v>
      </c>
      <c r="M567" s="3" t="s">
        <v>29</v>
      </c>
      <c r="N567" s="3" t="s">
        <v>159</v>
      </c>
      <c r="O567" s="3" t="s">
        <v>31</v>
      </c>
      <c r="P567" t="str">
        <f t="shared" si="41"/>
        <v>Av. Copacabana 267</v>
      </c>
      <c r="Q567" t="str">
        <f t="shared" si="45"/>
        <v>Rio de Janeiro</v>
      </c>
      <c r="R567" t="str">
        <f t="shared" si="42"/>
        <v>RJ</v>
      </c>
      <c r="S567" t="str">
        <f t="shared" si="43"/>
        <v>02389-890</v>
      </c>
      <c r="T567" t="str">
        <f t="shared" si="44"/>
        <v>Brazil</v>
      </c>
    </row>
    <row r="568" spans="1:20" x14ac:dyDescent="0.2">
      <c r="A568" s="1">
        <v>10814</v>
      </c>
      <c r="B568" s="3" t="s">
        <v>32</v>
      </c>
      <c r="C568" s="3">
        <v>3</v>
      </c>
      <c r="D568" s="4">
        <v>35800</v>
      </c>
      <c r="E568" s="4">
        <v>35828</v>
      </c>
      <c r="F568" s="4">
        <v>35809</v>
      </c>
      <c r="G568" s="3">
        <v>3</v>
      </c>
      <c r="H568" s="3">
        <v>130.94</v>
      </c>
      <c r="I568" s="3" t="s">
        <v>33</v>
      </c>
      <c r="J568" s="3">
        <v>2</v>
      </c>
      <c r="K568" s="3" t="s">
        <v>34</v>
      </c>
      <c r="L568" s="3" t="s">
        <v>35</v>
      </c>
      <c r="M568" s="3" t="s">
        <v>18</v>
      </c>
      <c r="N568" s="3">
        <v>69004</v>
      </c>
      <c r="O568" s="3" t="s">
        <v>19</v>
      </c>
      <c r="P568" t="str">
        <f t="shared" si="41"/>
        <v>2  rue du Commerce</v>
      </c>
      <c r="Q568" t="str">
        <f t="shared" si="45"/>
        <v>Lyon</v>
      </c>
      <c r="R568" t="str">
        <f t="shared" si="42"/>
        <v>NULL</v>
      </c>
      <c r="S568">
        <f t="shared" si="43"/>
        <v>69004</v>
      </c>
      <c r="T568" t="str">
        <f t="shared" si="44"/>
        <v>France</v>
      </c>
    </row>
    <row r="569" spans="1:20" x14ac:dyDescent="0.2">
      <c r="A569" s="1">
        <v>10815</v>
      </c>
      <c r="B569" s="3" t="s">
        <v>226</v>
      </c>
      <c r="C569" s="3">
        <v>2</v>
      </c>
      <c r="D569" s="4">
        <v>35800</v>
      </c>
      <c r="E569" s="4">
        <v>35828</v>
      </c>
      <c r="F569" s="4">
        <v>35809</v>
      </c>
      <c r="G569" s="3">
        <v>3</v>
      </c>
      <c r="H569" s="3">
        <v>14.62</v>
      </c>
      <c r="I569" s="3" t="s">
        <v>227</v>
      </c>
      <c r="J569" s="3" t="s">
        <v>228</v>
      </c>
      <c r="K569" s="3" t="s">
        <v>229</v>
      </c>
      <c r="L569" s="3" t="s">
        <v>230</v>
      </c>
      <c r="M569" s="3">
        <v>83720</v>
      </c>
      <c r="N569" s="3" t="s">
        <v>86</v>
      </c>
      <c r="O569" s="2"/>
      <c r="P569" t="str">
        <f t="shared" si="41"/>
        <v>187 Suffolk Ln.</v>
      </c>
      <c r="Q569" t="str">
        <f t="shared" si="45"/>
        <v>Boise</v>
      </c>
      <c r="R569" t="str">
        <f t="shared" si="42"/>
        <v>ID</v>
      </c>
      <c r="S569">
        <f t="shared" si="43"/>
        <v>83720</v>
      </c>
      <c r="T569" t="str">
        <f t="shared" si="44"/>
        <v>USA</v>
      </c>
    </row>
    <row r="570" spans="1:20" x14ac:dyDescent="0.2">
      <c r="A570" s="1">
        <v>10816</v>
      </c>
      <c r="B570" s="3" t="s">
        <v>374</v>
      </c>
      <c r="C570" s="3">
        <v>4</v>
      </c>
      <c r="D570" s="4">
        <v>35801</v>
      </c>
      <c r="E570" s="4">
        <v>35829</v>
      </c>
      <c r="F570" s="4">
        <v>35830</v>
      </c>
      <c r="G570" s="3">
        <v>2</v>
      </c>
      <c r="H570" s="3">
        <v>719.78</v>
      </c>
      <c r="I570" s="3" t="s">
        <v>375</v>
      </c>
      <c r="J570" s="3" t="s">
        <v>376</v>
      </c>
      <c r="K570" s="3" t="s">
        <v>377</v>
      </c>
      <c r="L570" s="3" t="s">
        <v>202</v>
      </c>
      <c r="M570" s="3">
        <v>97403</v>
      </c>
      <c r="N570" s="3" t="s">
        <v>86</v>
      </c>
      <c r="O570" s="2"/>
      <c r="P570" t="str">
        <f t="shared" si="41"/>
        <v>2732 Baker Blvd.</v>
      </c>
      <c r="Q570" t="str">
        <f t="shared" si="45"/>
        <v>Eugene</v>
      </c>
      <c r="R570" t="str">
        <f t="shared" si="42"/>
        <v>OR</v>
      </c>
      <c r="S570">
        <f t="shared" si="43"/>
        <v>97403</v>
      </c>
      <c r="T570" t="str">
        <f t="shared" si="44"/>
        <v>USA</v>
      </c>
    </row>
    <row r="571" spans="1:20" x14ac:dyDescent="0.2">
      <c r="A571" s="1">
        <v>10817</v>
      </c>
      <c r="B571" s="3" t="s">
        <v>222</v>
      </c>
      <c r="C571" s="3">
        <v>3</v>
      </c>
      <c r="D571" s="4">
        <v>35801</v>
      </c>
      <c r="E571" s="4">
        <v>35815</v>
      </c>
      <c r="F571" s="4">
        <v>35808</v>
      </c>
      <c r="G571" s="3">
        <v>2</v>
      </c>
      <c r="H571" s="3">
        <v>306.07</v>
      </c>
      <c r="I571" s="3" t="s">
        <v>223</v>
      </c>
      <c r="J571" s="3" t="s">
        <v>224</v>
      </c>
      <c r="K571" s="3" t="s">
        <v>225</v>
      </c>
      <c r="L571" s="3" t="s">
        <v>18</v>
      </c>
      <c r="M571" s="3">
        <v>14776</v>
      </c>
      <c r="N571" s="3" t="s">
        <v>24</v>
      </c>
      <c r="O571" s="2"/>
      <c r="P571" t="str">
        <f t="shared" si="41"/>
        <v>Maubelstr. 90</v>
      </c>
      <c r="Q571" t="str">
        <f t="shared" si="45"/>
        <v>Brandenburg</v>
      </c>
      <c r="R571" t="str">
        <f t="shared" si="42"/>
        <v>NULL</v>
      </c>
      <c r="S571">
        <f t="shared" si="43"/>
        <v>14776</v>
      </c>
      <c r="T571" t="str">
        <f t="shared" si="44"/>
        <v>Germany</v>
      </c>
    </row>
    <row r="572" spans="1:20" x14ac:dyDescent="0.2">
      <c r="A572" s="1">
        <v>10818</v>
      </c>
      <c r="B572" s="3" t="s">
        <v>125</v>
      </c>
      <c r="C572" s="3">
        <v>7</v>
      </c>
      <c r="D572" s="4">
        <v>35802</v>
      </c>
      <c r="E572" s="4">
        <v>35830</v>
      </c>
      <c r="F572" s="4">
        <v>35807</v>
      </c>
      <c r="G572" s="3">
        <v>3</v>
      </c>
      <c r="H572" s="3">
        <v>65.48</v>
      </c>
      <c r="I572" s="3" t="s">
        <v>126</v>
      </c>
      <c r="J572" s="3" t="s">
        <v>127</v>
      </c>
      <c r="K572" s="3" t="s">
        <v>128</v>
      </c>
      <c r="L572" s="3" t="s">
        <v>18</v>
      </c>
      <c r="M572" s="3">
        <v>24100</v>
      </c>
      <c r="N572" s="3" t="s">
        <v>129</v>
      </c>
      <c r="O572" s="2"/>
      <c r="P572" t="str">
        <f t="shared" si="41"/>
        <v>Via Ludovico il Moro 22</v>
      </c>
      <c r="Q572" t="str">
        <f t="shared" si="45"/>
        <v>Bergamo</v>
      </c>
      <c r="R572" t="str">
        <f t="shared" si="42"/>
        <v>NULL</v>
      </c>
      <c r="S572">
        <f t="shared" si="43"/>
        <v>24100</v>
      </c>
      <c r="T572" t="str">
        <f t="shared" si="44"/>
        <v>Italy</v>
      </c>
    </row>
    <row r="573" spans="1:20" x14ac:dyDescent="0.2">
      <c r="A573" s="1">
        <v>10819</v>
      </c>
      <c r="B573" s="3" t="s">
        <v>371</v>
      </c>
      <c r="C573" s="3">
        <v>2</v>
      </c>
      <c r="D573" s="4">
        <v>35802</v>
      </c>
      <c r="E573" s="4">
        <v>35830</v>
      </c>
      <c r="F573" s="4">
        <v>35811</v>
      </c>
      <c r="G573" s="3">
        <v>3</v>
      </c>
      <c r="H573" s="3">
        <v>19.760000000000002</v>
      </c>
      <c r="I573" s="3" t="s">
        <v>372</v>
      </c>
      <c r="J573" s="3" t="s">
        <v>373</v>
      </c>
      <c r="K573" s="3" t="s">
        <v>336</v>
      </c>
      <c r="L573" s="3" t="s">
        <v>18</v>
      </c>
      <c r="M573" s="3">
        <v>1010</v>
      </c>
      <c r="N573" s="3" t="s">
        <v>337</v>
      </c>
      <c r="O573" s="2"/>
      <c r="P573" t="str">
        <f t="shared" si="41"/>
        <v>Cerrito 333</v>
      </c>
      <c r="Q573" t="str">
        <f t="shared" si="45"/>
        <v>Buenos Aires</v>
      </c>
      <c r="R573" t="str">
        <f t="shared" si="42"/>
        <v>NULL</v>
      </c>
      <c r="S573">
        <f t="shared" si="43"/>
        <v>1010</v>
      </c>
      <c r="T573" t="str">
        <f t="shared" si="44"/>
        <v>Argentina</v>
      </c>
    </row>
    <row r="574" spans="1:20" x14ac:dyDescent="0.2">
      <c r="A574" s="1">
        <v>10820</v>
      </c>
      <c r="B574" s="3" t="s">
        <v>81</v>
      </c>
      <c r="C574" s="3">
        <v>3</v>
      </c>
      <c r="D574" s="4">
        <v>35802</v>
      </c>
      <c r="E574" s="4">
        <v>35830</v>
      </c>
      <c r="F574" s="4">
        <v>35808</v>
      </c>
      <c r="G574" s="3">
        <v>2</v>
      </c>
      <c r="H574" s="3">
        <v>37.520000000000003</v>
      </c>
      <c r="I574" s="3" t="s">
        <v>82</v>
      </c>
      <c r="J574" s="3" t="s">
        <v>83</v>
      </c>
      <c r="K574" s="3" t="s">
        <v>84</v>
      </c>
      <c r="L574" s="3" t="s">
        <v>85</v>
      </c>
      <c r="M574" s="3">
        <v>87110</v>
      </c>
      <c r="N574" s="3" t="s">
        <v>86</v>
      </c>
      <c r="O574" s="2"/>
      <c r="P574" t="str">
        <f t="shared" si="41"/>
        <v>2817 Milton Dr.</v>
      </c>
      <c r="Q574" t="str">
        <f t="shared" si="45"/>
        <v>Albuquerque</v>
      </c>
      <c r="R574" t="str">
        <f t="shared" si="42"/>
        <v>NM</v>
      </c>
      <c r="S574">
        <f t="shared" si="43"/>
        <v>87110</v>
      </c>
      <c r="T574" t="str">
        <f t="shared" si="44"/>
        <v>USA</v>
      </c>
    </row>
    <row r="575" spans="1:20" x14ac:dyDescent="0.2">
      <c r="A575" s="1">
        <v>10821</v>
      </c>
      <c r="B575" s="3" t="s">
        <v>116</v>
      </c>
      <c r="C575" s="3">
        <v>1</v>
      </c>
      <c r="D575" s="4">
        <v>35803</v>
      </c>
      <c r="E575" s="4">
        <v>35831</v>
      </c>
      <c r="F575" s="4">
        <v>35810</v>
      </c>
      <c r="G575" s="3">
        <v>1</v>
      </c>
      <c r="H575" s="3">
        <v>36.68</v>
      </c>
      <c r="I575" s="3" t="s">
        <v>117</v>
      </c>
      <c r="J575" s="3" t="s">
        <v>118</v>
      </c>
      <c r="K575" s="3" t="s">
        <v>119</v>
      </c>
      <c r="L575" s="3" t="s">
        <v>120</v>
      </c>
      <c r="M575" s="3">
        <v>82520</v>
      </c>
      <c r="N575" s="3" t="s">
        <v>86</v>
      </c>
      <c r="O575" s="2"/>
      <c r="P575" t="str">
        <f t="shared" si="41"/>
        <v>P.O. Box 555</v>
      </c>
      <c r="Q575" t="str">
        <f t="shared" si="45"/>
        <v>Lander</v>
      </c>
      <c r="R575" t="str">
        <f t="shared" si="42"/>
        <v>WY</v>
      </c>
      <c r="S575">
        <f t="shared" si="43"/>
        <v>82520</v>
      </c>
      <c r="T575" t="str">
        <f t="shared" si="44"/>
        <v>USA</v>
      </c>
    </row>
    <row r="576" spans="1:20" x14ac:dyDescent="0.2">
      <c r="A576" s="1">
        <v>10822</v>
      </c>
      <c r="B576" s="3" t="s">
        <v>383</v>
      </c>
      <c r="C576" s="3">
        <v>6</v>
      </c>
      <c r="D576" s="4">
        <v>35803</v>
      </c>
      <c r="E576" s="4">
        <v>35831</v>
      </c>
      <c r="F576" s="4">
        <v>35811</v>
      </c>
      <c r="G576" s="3">
        <v>3</v>
      </c>
      <c r="H576" s="3">
        <v>7</v>
      </c>
      <c r="I576" s="3" t="s">
        <v>384</v>
      </c>
      <c r="J576" s="3" t="s">
        <v>385</v>
      </c>
      <c r="K576" s="3" t="s">
        <v>386</v>
      </c>
      <c r="L576" s="3" t="s">
        <v>115</v>
      </c>
      <c r="M576" s="3">
        <v>98034</v>
      </c>
      <c r="N576" s="3" t="s">
        <v>86</v>
      </c>
      <c r="O576" s="2"/>
      <c r="P576" t="str">
        <f t="shared" si="41"/>
        <v>722 DaVinci Blvd.</v>
      </c>
      <c r="Q576" t="str">
        <f t="shared" si="45"/>
        <v>Kirkland</v>
      </c>
      <c r="R576" t="str">
        <f t="shared" si="42"/>
        <v>WA</v>
      </c>
      <c r="S576">
        <f t="shared" si="43"/>
        <v>98034</v>
      </c>
      <c r="T576" t="str">
        <f t="shared" si="44"/>
        <v>USA</v>
      </c>
    </row>
    <row r="577" spans="1:20" x14ac:dyDescent="0.2">
      <c r="A577" s="1">
        <v>10823</v>
      </c>
      <c r="B577" s="3" t="s">
        <v>151</v>
      </c>
      <c r="C577" s="3">
        <v>5</v>
      </c>
      <c r="D577" s="4">
        <v>35804</v>
      </c>
      <c r="E577" s="4">
        <v>35832</v>
      </c>
      <c r="F577" s="4">
        <v>35808</v>
      </c>
      <c r="G577" s="3">
        <v>2</v>
      </c>
      <c r="H577" s="3">
        <v>163.97</v>
      </c>
      <c r="I577" s="3" t="s">
        <v>152</v>
      </c>
      <c r="J577" s="3" t="s">
        <v>153</v>
      </c>
      <c r="K577" s="3" t="s">
        <v>154</v>
      </c>
      <c r="L577" s="3" t="s">
        <v>155</v>
      </c>
      <c r="M577" s="3">
        <v>3508</v>
      </c>
      <c r="N577" s="3" t="s">
        <v>62</v>
      </c>
      <c r="O577" s="2"/>
      <c r="P577" t="str">
        <f t="shared" si="41"/>
        <v>Carrera 52 con Ave. Bolívar #65-98 Llano Largo</v>
      </c>
      <c r="Q577" t="str">
        <f t="shared" si="45"/>
        <v>Barquisimeto</v>
      </c>
      <c r="R577" t="str">
        <f t="shared" si="42"/>
        <v>Lara</v>
      </c>
      <c r="S577">
        <f t="shared" si="43"/>
        <v>3508</v>
      </c>
      <c r="T577" t="str">
        <f t="shared" si="44"/>
        <v>Venezuela</v>
      </c>
    </row>
    <row r="578" spans="1:20" x14ac:dyDescent="0.2">
      <c r="A578" s="1">
        <v>10824</v>
      </c>
      <c r="B578" s="3" t="s">
        <v>87</v>
      </c>
      <c r="C578" s="3">
        <v>8</v>
      </c>
      <c r="D578" s="4">
        <v>35804</v>
      </c>
      <c r="E578" s="4">
        <v>35832</v>
      </c>
      <c r="F578" s="4">
        <v>35825</v>
      </c>
      <c r="G578" s="3">
        <v>1</v>
      </c>
      <c r="H578" s="3">
        <v>1.23</v>
      </c>
      <c r="I578" s="3" t="s">
        <v>88</v>
      </c>
      <c r="J578" s="3" t="s">
        <v>89</v>
      </c>
      <c r="K578" s="3" t="s">
        <v>90</v>
      </c>
      <c r="L578" s="3" t="s">
        <v>18</v>
      </c>
      <c r="M578" s="3" t="s">
        <v>91</v>
      </c>
      <c r="N578" s="3" t="s">
        <v>92</v>
      </c>
      <c r="O578" s="2"/>
      <c r="P578" t="str">
        <f t="shared" ref="P578:P641" si="46">IF(O578&lt;&gt;"",J578&amp;" "&amp;K578,J578)</f>
        <v>Åkergatan 24</v>
      </c>
      <c r="Q578" t="str">
        <f t="shared" si="45"/>
        <v>Bräcke</v>
      </c>
      <c r="R578" t="str">
        <f t="shared" si="42"/>
        <v>NULL</v>
      </c>
      <c r="S578" t="str">
        <f t="shared" si="43"/>
        <v>S-844 67</v>
      </c>
      <c r="T578" t="str">
        <f t="shared" si="44"/>
        <v>Sweden</v>
      </c>
    </row>
    <row r="579" spans="1:20" x14ac:dyDescent="0.2">
      <c r="A579" s="1">
        <v>10825</v>
      </c>
      <c r="B579" s="3" t="s">
        <v>280</v>
      </c>
      <c r="C579" s="3">
        <v>1</v>
      </c>
      <c r="D579" s="4">
        <v>35804</v>
      </c>
      <c r="E579" s="4">
        <v>35832</v>
      </c>
      <c r="F579" s="4">
        <v>35809</v>
      </c>
      <c r="G579" s="3">
        <v>1</v>
      </c>
      <c r="H579" s="3">
        <v>79.25</v>
      </c>
      <c r="I579" s="3" t="s">
        <v>281</v>
      </c>
      <c r="J579" s="3" t="s">
        <v>282</v>
      </c>
      <c r="K579" s="3" t="s">
        <v>283</v>
      </c>
      <c r="L579" s="3" t="s">
        <v>18</v>
      </c>
      <c r="M579" s="3">
        <v>52066</v>
      </c>
      <c r="N579" s="3" t="s">
        <v>24</v>
      </c>
      <c r="O579" s="2"/>
      <c r="P579" t="str">
        <f t="shared" si="46"/>
        <v>Walserweg 21</v>
      </c>
      <c r="Q579" t="str">
        <f t="shared" si="45"/>
        <v>Aachen</v>
      </c>
      <c r="R579" t="str">
        <f t="shared" ref="R579:R642" si="47">IF(O579&lt;&gt;"",M579,L579)</f>
        <v>NULL</v>
      </c>
      <c r="S579">
        <f t="shared" ref="S579:S642" si="48">IF(O579&lt;&gt;"",N579,M579)</f>
        <v>52066</v>
      </c>
      <c r="T579" t="str">
        <f t="shared" ref="T579:T642" si="49">IF(O579&lt;&gt;"",O579,N579)</f>
        <v>Germany</v>
      </c>
    </row>
    <row r="580" spans="1:20" x14ac:dyDescent="0.2">
      <c r="A580" s="1">
        <v>10826</v>
      </c>
      <c r="B580" s="3" t="s">
        <v>93</v>
      </c>
      <c r="C580" s="3">
        <v>6</v>
      </c>
      <c r="D580" s="4">
        <v>35807</v>
      </c>
      <c r="E580" s="4">
        <v>35835</v>
      </c>
      <c r="F580" s="4">
        <v>35832</v>
      </c>
      <c r="G580" s="3">
        <v>1</v>
      </c>
      <c r="H580" s="3">
        <v>7.09</v>
      </c>
      <c r="I580" s="3" t="s">
        <v>94</v>
      </c>
      <c r="J580" s="3">
        <v>24</v>
      </c>
      <c r="K580" s="3" t="s">
        <v>95</v>
      </c>
      <c r="L580" s="3" t="s">
        <v>96</v>
      </c>
      <c r="M580" s="3" t="s">
        <v>18</v>
      </c>
      <c r="N580" s="3">
        <v>67000</v>
      </c>
      <c r="O580" s="3" t="s">
        <v>19</v>
      </c>
      <c r="P580" t="str">
        <f t="shared" si="46"/>
        <v>24  place Kléber</v>
      </c>
      <c r="Q580" t="str">
        <f t="shared" si="45"/>
        <v>Strasbourg</v>
      </c>
      <c r="R580" t="str">
        <f t="shared" si="47"/>
        <v>NULL</v>
      </c>
      <c r="S580">
        <f t="shared" si="48"/>
        <v>67000</v>
      </c>
      <c r="T580" t="str">
        <f t="shared" si="49"/>
        <v>France</v>
      </c>
    </row>
    <row r="581" spans="1:20" x14ac:dyDescent="0.2">
      <c r="A581" s="1">
        <v>10827</v>
      </c>
      <c r="B581" s="3" t="s">
        <v>239</v>
      </c>
      <c r="C581" s="3">
        <v>1</v>
      </c>
      <c r="D581" s="4">
        <v>35807</v>
      </c>
      <c r="E581" s="4">
        <v>35821</v>
      </c>
      <c r="F581" s="4">
        <v>35832</v>
      </c>
      <c r="G581" s="3">
        <v>2</v>
      </c>
      <c r="H581" s="3">
        <v>63.54</v>
      </c>
      <c r="I581" s="3" t="s">
        <v>240</v>
      </c>
      <c r="J581" s="3">
        <v>12</v>
      </c>
      <c r="K581" s="3" t="s">
        <v>241</v>
      </c>
      <c r="L581" s="3" t="s">
        <v>242</v>
      </c>
      <c r="M581" s="3" t="s">
        <v>18</v>
      </c>
      <c r="N581" s="3">
        <v>13008</v>
      </c>
      <c r="O581" s="3" t="s">
        <v>19</v>
      </c>
      <c r="P581" t="str">
        <f t="shared" si="46"/>
        <v>12  rue des Bouchers</v>
      </c>
      <c r="Q581" t="str">
        <f t="shared" si="45"/>
        <v>Marseille</v>
      </c>
      <c r="R581" t="str">
        <f t="shared" si="47"/>
        <v>NULL</v>
      </c>
      <c r="S581">
        <f t="shared" si="48"/>
        <v>13008</v>
      </c>
      <c r="T581" t="str">
        <f t="shared" si="49"/>
        <v>France</v>
      </c>
    </row>
    <row r="582" spans="1:20" x14ac:dyDescent="0.2">
      <c r="A582" s="1">
        <v>10828</v>
      </c>
      <c r="B582" s="3" t="s">
        <v>351</v>
      </c>
      <c r="C582" s="3">
        <v>9</v>
      </c>
      <c r="D582" s="4">
        <v>35808</v>
      </c>
      <c r="E582" s="4">
        <v>35822</v>
      </c>
      <c r="F582" s="4">
        <v>35830</v>
      </c>
      <c r="G582" s="3">
        <v>1</v>
      </c>
      <c r="H582" s="3">
        <v>90.85</v>
      </c>
      <c r="I582" s="3" t="s">
        <v>352</v>
      </c>
      <c r="J582" s="3" t="s">
        <v>353</v>
      </c>
      <c r="K582" s="3" t="s">
        <v>336</v>
      </c>
      <c r="L582" s="3" t="s">
        <v>18</v>
      </c>
      <c r="M582" s="3">
        <v>1010</v>
      </c>
      <c r="N582" s="3" t="s">
        <v>337</v>
      </c>
      <c r="O582" s="2"/>
      <c r="P582" t="str">
        <f t="shared" si="46"/>
        <v>Av. del Libertador 900</v>
      </c>
      <c r="Q582" t="str">
        <f t="shared" si="45"/>
        <v>Buenos Aires</v>
      </c>
      <c r="R582" t="str">
        <f t="shared" si="47"/>
        <v>NULL</v>
      </c>
      <c r="S582">
        <f t="shared" si="48"/>
        <v>1010</v>
      </c>
      <c r="T582" t="str">
        <f t="shared" si="49"/>
        <v>Argentina</v>
      </c>
    </row>
    <row r="583" spans="1:20" x14ac:dyDescent="0.2">
      <c r="A583" s="1">
        <v>10829</v>
      </c>
      <c r="B583" s="3" t="s">
        <v>213</v>
      </c>
      <c r="C583" s="3">
        <v>9</v>
      </c>
      <c r="D583" s="4">
        <v>35808</v>
      </c>
      <c r="E583" s="4">
        <v>35836</v>
      </c>
      <c r="F583" s="4">
        <v>35818</v>
      </c>
      <c r="G583" s="3">
        <v>1</v>
      </c>
      <c r="H583" s="3">
        <v>154.72</v>
      </c>
      <c r="I583" s="3" t="s">
        <v>214</v>
      </c>
      <c r="J583" s="3" t="s">
        <v>215</v>
      </c>
      <c r="K583" s="3" t="s">
        <v>216</v>
      </c>
      <c r="L583" s="3" t="s">
        <v>217</v>
      </c>
      <c r="M583" s="3" t="s">
        <v>218</v>
      </c>
      <c r="N583" s="3" t="s">
        <v>169</v>
      </c>
      <c r="O583" s="2"/>
      <c r="P583" t="str">
        <f t="shared" si="46"/>
        <v>Garden House Crowther Way</v>
      </c>
      <c r="Q583" t="str">
        <f t="shared" ref="Q583:Q646" si="50">IF(O583&lt;&gt;"",L583,K583)</f>
        <v>Cowes</v>
      </c>
      <c r="R583" t="str">
        <f t="shared" si="47"/>
        <v>Isle of Wight</v>
      </c>
      <c r="S583" t="str">
        <f t="shared" si="48"/>
        <v>PO31 7PJ</v>
      </c>
      <c r="T583" t="str">
        <f t="shared" si="49"/>
        <v>UK</v>
      </c>
    </row>
    <row r="584" spans="1:20" x14ac:dyDescent="0.2">
      <c r="A584" s="1">
        <v>10830</v>
      </c>
      <c r="B584" s="3" t="s">
        <v>175</v>
      </c>
      <c r="C584" s="3">
        <v>4</v>
      </c>
      <c r="D584" s="4">
        <v>35808</v>
      </c>
      <c r="E584" s="4">
        <v>35850</v>
      </c>
      <c r="F584" s="4">
        <v>35816</v>
      </c>
      <c r="G584" s="3">
        <v>2</v>
      </c>
      <c r="H584" s="3">
        <v>81.83</v>
      </c>
      <c r="I584" s="3" t="s">
        <v>176</v>
      </c>
      <c r="J584" s="3" t="s">
        <v>177</v>
      </c>
      <c r="K584" s="3">
        <v>414</v>
      </c>
      <c r="L584" s="3" t="s">
        <v>173</v>
      </c>
      <c r="M584" s="3" t="s">
        <v>55</v>
      </c>
      <c r="N584" s="3" t="s">
        <v>178</v>
      </c>
      <c r="O584" s="3" t="s">
        <v>31</v>
      </c>
      <c r="P584" t="str">
        <f t="shared" si="46"/>
        <v>Av. Inês de Castro 414</v>
      </c>
      <c r="Q584" t="str">
        <f t="shared" si="50"/>
        <v>Sao Paulo</v>
      </c>
      <c r="R584" t="str">
        <f t="shared" si="47"/>
        <v>SP</v>
      </c>
      <c r="S584" t="str">
        <f t="shared" si="48"/>
        <v>05634-030</v>
      </c>
      <c r="T584" t="str">
        <f t="shared" si="49"/>
        <v>Brazil</v>
      </c>
    </row>
    <row r="585" spans="1:20" x14ac:dyDescent="0.2">
      <c r="A585" s="1">
        <v>10831</v>
      </c>
      <c r="B585" s="3" t="s">
        <v>313</v>
      </c>
      <c r="C585" s="3">
        <v>3</v>
      </c>
      <c r="D585" s="4">
        <v>35809</v>
      </c>
      <c r="E585" s="4">
        <v>35837</v>
      </c>
      <c r="F585" s="4">
        <v>35818</v>
      </c>
      <c r="G585" s="3">
        <v>2</v>
      </c>
      <c r="H585" s="3">
        <v>72.19</v>
      </c>
      <c r="I585" s="3" t="s">
        <v>314</v>
      </c>
      <c r="J585" s="3" t="s">
        <v>315</v>
      </c>
      <c r="K585" s="3" t="s">
        <v>316</v>
      </c>
      <c r="L585" s="3" t="s">
        <v>18</v>
      </c>
      <c r="M585" s="3">
        <v>4110</v>
      </c>
      <c r="N585" s="3" t="s">
        <v>317</v>
      </c>
      <c r="O585" s="2"/>
      <c r="P585" t="str">
        <f t="shared" si="46"/>
        <v>Erling Skakkes gate 78</v>
      </c>
      <c r="Q585" t="str">
        <f t="shared" si="50"/>
        <v>Stavern</v>
      </c>
      <c r="R585" t="str">
        <f t="shared" si="47"/>
        <v>NULL</v>
      </c>
      <c r="S585">
        <f t="shared" si="48"/>
        <v>4110</v>
      </c>
      <c r="T585" t="str">
        <f t="shared" si="49"/>
        <v>Norway</v>
      </c>
    </row>
    <row r="586" spans="1:20" x14ac:dyDescent="0.2">
      <c r="A586" s="1">
        <v>10832</v>
      </c>
      <c r="B586" s="3" t="s">
        <v>262</v>
      </c>
      <c r="C586" s="3">
        <v>2</v>
      </c>
      <c r="D586" s="4">
        <v>35809</v>
      </c>
      <c r="E586" s="4">
        <v>35837</v>
      </c>
      <c r="F586" s="4">
        <v>35814</v>
      </c>
      <c r="G586" s="3">
        <v>2</v>
      </c>
      <c r="H586" s="3">
        <v>43.26</v>
      </c>
      <c r="I586" s="3" t="s">
        <v>263</v>
      </c>
      <c r="J586" s="3" t="s">
        <v>264</v>
      </c>
      <c r="K586" s="3" t="s">
        <v>265</v>
      </c>
      <c r="L586" s="3" t="s">
        <v>18</v>
      </c>
      <c r="M586" s="3">
        <v>31000</v>
      </c>
      <c r="N586" s="3" t="s">
        <v>19</v>
      </c>
      <c r="O586" s="2"/>
      <c r="P586" t="str">
        <f t="shared" si="46"/>
        <v>1 rue Alsace-Lorraine</v>
      </c>
      <c r="Q586" t="str">
        <f t="shared" si="50"/>
        <v>Toulouse</v>
      </c>
      <c r="R586" t="str">
        <f t="shared" si="47"/>
        <v>NULL</v>
      </c>
      <c r="S586">
        <f t="shared" si="48"/>
        <v>31000</v>
      </c>
      <c r="T586" t="str">
        <f t="shared" si="49"/>
        <v>France</v>
      </c>
    </row>
    <row r="587" spans="1:20" x14ac:dyDescent="0.2">
      <c r="A587" s="1">
        <v>10833</v>
      </c>
      <c r="B587" s="3" t="s">
        <v>73</v>
      </c>
      <c r="C587" s="3">
        <v>6</v>
      </c>
      <c r="D587" s="4">
        <v>35810</v>
      </c>
      <c r="E587" s="4">
        <v>35838</v>
      </c>
      <c r="F587" s="4">
        <v>35818</v>
      </c>
      <c r="G587" s="3">
        <v>2</v>
      </c>
      <c r="H587" s="3">
        <v>71.489999999999995</v>
      </c>
      <c r="I587" s="3" t="s">
        <v>74</v>
      </c>
      <c r="J587" s="3" t="s">
        <v>75</v>
      </c>
      <c r="K587" s="3" t="s">
        <v>76</v>
      </c>
      <c r="L587" s="3" t="s">
        <v>18</v>
      </c>
      <c r="M587" s="3">
        <v>50739</v>
      </c>
      <c r="N587" s="3" t="s">
        <v>24</v>
      </c>
      <c r="O587" s="2"/>
      <c r="P587" t="str">
        <f t="shared" si="46"/>
        <v>Mehrheimerstr. 369</v>
      </c>
      <c r="Q587" t="str">
        <f t="shared" si="50"/>
        <v>Köln</v>
      </c>
      <c r="R587" t="str">
        <f t="shared" si="47"/>
        <v>NULL</v>
      </c>
      <c r="S587">
        <f t="shared" si="48"/>
        <v>50739</v>
      </c>
      <c r="T587" t="str">
        <f t="shared" si="49"/>
        <v>Germany</v>
      </c>
    </row>
    <row r="588" spans="1:20" x14ac:dyDescent="0.2">
      <c r="A588" s="1">
        <v>10834</v>
      </c>
      <c r="B588" s="3" t="s">
        <v>175</v>
      </c>
      <c r="C588" s="3">
        <v>1</v>
      </c>
      <c r="D588" s="4">
        <v>35810</v>
      </c>
      <c r="E588" s="4">
        <v>35838</v>
      </c>
      <c r="F588" s="4">
        <v>35814</v>
      </c>
      <c r="G588" s="3">
        <v>3</v>
      </c>
      <c r="H588" s="3">
        <v>29.78</v>
      </c>
      <c r="I588" s="3" t="s">
        <v>176</v>
      </c>
      <c r="J588" s="3" t="s">
        <v>177</v>
      </c>
      <c r="K588" s="3">
        <v>414</v>
      </c>
      <c r="L588" s="3" t="s">
        <v>173</v>
      </c>
      <c r="M588" s="3" t="s">
        <v>55</v>
      </c>
      <c r="N588" s="3" t="s">
        <v>178</v>
      </c>
      <c r="O588" s="3" t="s">
        <v>31</v>
      </c>
      <c r="P588" t="str">
        <f t="shared" si="46"/>
        <v>Av. Inês de Castro 414</v>
      </c>
      <c r="Q588" t="str">
        <f t="shared" si="50"/>
        <v>Sao Paulo</v>
      </c>
      <c r="R588" t="str">
        <f t="shared" si="47"/>
        <v>SP</v>
      </c>
      <c r="S588" t="str">
        <f t="shared" si="48"/>
        <v>05634-030</v>
      </c>
      <c r="T588" t="str">
        <f t="shared" si="49"/>
        <v>Brazil</v>
      </c>
    </row>
    <row r="589" spans="1:20" x14ac:dyDescent="0.2">
      <c r="A589" s="1">
        <v>10835</v>
      </c>
      <c r="B589" s="3" t="s">
        <v>401</v>
      </c>
      <c r="C589" s="3">
        <v>1</v>
      </c>
      <c r="D589" s="4">
        <v>35810</v>
      </c>
      <c r="E589" s="4">
        <v>35838</v>
      </c>
      <c r="F589" s="4">
        <v>35816</v>
      </c>
      <c r="G589" s="3">
        <v>3</v>
      </c>
      <c r="H589" s="3">
        <v>69.53</v>
      </c>
      <c r="I589" s="3" t="s">
        <v>408</v>
      </c>
      <c r="J589" s="3" t="s">
        <v>403</v>
      </c>
      <c r="K589" s="3" t="s">
        <v>404</v>
      </c>
      <c r="L589" s="3" t="s">
        <v>18</v>
      </c>
      <c r="M589" s="3">
        <v>12209</v>
      </c>
      <c r="N589" s="3" t="s">
        <v>24</v>
      </c>
      <c r="O589" s="2"/>
      <c r="P589" t="str">
        <f t="shared" si="46"/>
        <v>Obere Str. 57</v>
      </c>
      <c r="Q589" t="str">
        <f t="shared" si="50"/>
        <v>Berlin</v>
      </c>
      <c r="R589" t="str">
        <f t="shared" si="47"/>
        <v>NULL</v>
      </c>
      <c r="S589">
        <f t="shared" si="48"/>
        <v>12209</v>
      </c>
      <c r="T589" t="str">
        <f t="shared" si="49"/>
        <v>Germany</v>
      </c>
    </row>
    <row r="590" spans="1:20" x14ac:dyDescent="0.2">
      <c r="A590" s="1">
        <v>10836</v>
      </c>
      <c r="B590" s="3" t="s">
        <v>63</v>
      </c>
      <c r="C590" s="3">
        <v>7</v>
      </c>
      <c r="D590" s="4">
        <v>35811</v>
      </c>
      <c r="E590" s="4">
        <v>35839</v>
      </c>
      <c r="F590" s="4">
        <v>35816</v>
      </c>
      <c r="G590" s="3">
        <v>1</v>
      </c>
      <c r="H590" s="3">
        <v>411.88</v>
      </c>
      <c r="I590" s="3" t="s">
        <v>64</v>
      </c>
      <c r="J590" s="3" t="s">
        <v>65</v>
      </c>
      <c r="K590" s="3" t="s">
        <v>66</v>
      </c>
      <c r="L590" s="3" t="s">
        <v>18</v>
      </c>
      <c r="M590" s="3">
        <v>8010</v>
      </c>
      <c r="N590" s="3" t="s">
        <v>67</v>
      </c>
      <c r="O590" s="2"/>
      <c r="P590" t="str">
        <f t="shared" si="46"/>
        <v>Kirchgasse 6</v>
      </c>
      <c r="Q590" t="str">
        <f t="shared" si="50"/>
        <v>Graz</v>
      </c>
      <c r="R590" t="str">
        <f t="shared" si="47"/>
        <v>NULL</v>
      </c>
      <c r="S590">
        <f t="shared" si="48"/>
        <v>8010</v>
      </c>
      <c r="T590" t="str">
        <f t="shared" si="49"/>
        <v>Austria</v>
      </c>
    </row>
    <row r="591" spans="1:20" x14ac:dyDescent="0.2">
      <c r="A591" s="1">
        <v>10837</v>
      </c>
      <c r="B591" s="3" t="s">
        <v>137</v>
      </c>
      <c r="C591" s="3">
        <v>9</v>
      </c>
      <c r="D591" s="4">
        <v>35811</v>
      </c>
      <c r="E591" s="4">
        <v>35839</v>
      </c>
      <c r="F591" s="4">
        <v>35818</v>
      </c>
      <c r="G591" s="3">
        <v>3</v>
      </c>
      <c r="H591" s="3">
        <v>13.32</v>
      </c>
      <c r="I591" s="3" t="s">
        <v>138</v>
      </c>
      <c r="J591" s="3" t="s">
        <v>139</v>
      </c>
      <c r="K591" s="3" t="s">
        <v>140</v>
      </c>
      <c r="L591" s="3" t="s">
        <v>18</v>
      </c>
      <c r="M591" s="3" t="s">
        <v>141</v>
      </c>
      <c r="N591" s="3" t="s">
        <v>92</v>
      </c>
      <c r="O591" s="2"/>
      <c r="P591" t="str">
        <f t="shared" si="46"/>
        <v>Berguvsvägen  8</v>
      </c>
      <c r="Q591" t="str">
        <f t="shared" si="50"/>
        <v>Luleå</v>
      </c>
      <c r="R591" t="str">
        <f t="shared" si="47"/>
        <v>NULL</v>
      </c>
      <c r="S591" t="str">
        <f t="shared" si="48"/>
        <v>S-958 22</v>
      </c>
      <c r="T591" t="str">
        <f t="shared" si="49"/>
        <v>Sweden</v>
      </c>
    </row>
    <row r="592" spans="1:20" x14ac:dyDescent="0.2">
      <c r="A592" s="1">
        <v>10838</v>
      </c>
      <c r="B592" s="3" t="s">
        <v>324</v>
      </c>
      <c r="C592" s="3">
        <v>3</v>
      </c>
      <c r="D592" s="4">
        <v>35814</v>
      </c>
      <c r="E592" s="4">
        <v>35842</v>
      </c>
      <c r="F592" s="4">
        <v>35818</v>
      </c>
      <c r="G592" s="3">
        <v>3</v>
      </c>
      <c r="H592" s="3">
        <v>59.28</v>
      </c>
      <c r="I592" s="3" t="s">
        <v>325</v>
      </c>
      <c r="J592" s="3" t="s">
        <v>326</v>
      </c>
      <c r="K592" s="3" t="s">
        <v>327</v>
      </c>
      <c r="L592" s="3" t="s">
        <v>328</v>
      </c>
      <c r="M592" s="3">
        <v>4980</v>
      </c>
      <c r="N592" s="3" t="s">
        <v>62</v>
      </c>
      <c r="O592" s="2"/>
      <c r="P592" t="str">
        <f t="shared" si="46"/>
        <v>Ave. 5 de Mayo Porlamar</v>
      </c>
      <c r="Q592" t="str">
        <f t="shared" si="50"/>
        <v>I. de Margarita</v>
      </c>
      <c r="R592" t="str">
        <f t="shared" si="47"/>
        <v>Nueva Esparta</v>
      </c>
      <c r="S592">
        <f t="shared" si="48"/>
        <v>4980</v>
      </c>
      <c r="T592" t="str">
        <f t="shared" si="49"/>
        <v>Venezuela</v>
      </c>
    </row>
    <row r="593" spans="1:20" x14ac:dyDescent="0.2">
      <c r="A593" s="1">
        <v>10839</v>
      </c>
      <c r="B593" s="3" t="s">
        <v>175</v>
      </c>
      <c r="C593" s="3">
        <v>3</v>
      </c>
      <c r="D593" s="4">
        <v>35814</v>
      </c>
      <c r="E593" s="4">
        <v>35842</v>
      </c>
      <c r="F593" s="4">
        <v>35817</v>
      </c>
      <c r="G593" s="3">
        <v>3</v>
      </c>
      <c r="H593" s="3">
        <v>35.43</v>
      </c>
      <c r="I593" s="3" t="s">
        <v>176</v>
      </c>
      <c r="J593" s="3" t="s">
        <v>177</v>
      </c>
      <c r="K593" s="3">
        <v>414</v>
      </c>
      <c r="L593" s="3" t="s">
        <v>173</v>
      </c>
      <c r="M593" s="3" t="s">
        <v>55</v>
      </c>
      <c r="N593" s="3" t="s">
        <v>178</v>
      </c>
      <c r="O593" s="3" t="s">
        <v>31</v>
      </c>
      <c r="P593" t="str">
        <f t="shared" si="46"/>
        <v>Av. Inês de Castro 414</v>
      </c>
      <c r="Q593" t="str">
        <f t="shared" si="50"/>
        <v>Sao Paulo</v>
      </c>
      <c r="R593" t="str">
        <f t="shared" si="47"/>
        <v>SP</v>
      </c>
      <c r="S593" t="str">
        <f t="shared" si="48"/>
        <v>05634-030</v>
      </c>
      <c r="T593" t="str">
        <f t="shared" si="49"/>
        <v>Brazil</v>
      </c>
    </row>
    <row r="594" spans="1:20" x14ac:dyDescent="0.2">
      <c r="A594" s="1">
        <v>10840</v>
      </c>
      <c r="B594" s="3" t="s">
        <v>324</v>
      </c>
      <c r="C594" s="3">
        <v>4</v>
      </c>
      <c r="D594" s="4">
        <v>35814</v>
      </c>
      <c r="E594" s="4">
        <v>35856</v>
      </c>
      <c r="F594" s="4">
        <v>35842</v>
      </c>
      <c r="G594" s="3">
        <v>2</v>
      </c>
      <c r="H594" s="3">
        <v>2.71</v>
      </c>
      <c r="I594" s="3" t="s">
        <v>325</v>
      </c>
      <c r="J594" s="3" t="s">
        <v>326</v>
      </c>
      <c r="K594" s="3" t="s">
        <v>327</v>
      </c>
      <c r="L594" s="3" t="s">
        <v>328</v>
      </c>
      <c r="M594" s="3">
        <v>4980</v>
      </c>
      <c r="N594" s="3" t="s">
        <v>62</v>
      </c>
      <c r="O594" s="2"/>
      <c r="P594" t="str">
        <f t="shared" si="46"/>
        <v>Ave. 5 de Mayo Porlamar</v>
      </c>
      <c r="Q594" t="str">
        <f t="shared" si="50"/>
        <v>I. de Margarita</v>
      </c>
      <c r="R594" t="str">
        <f t="shared" si="47"/>
        <v>Nueva Esparta</v>
      </c>
      <c r="S594">
        <f t="shared" si="48"/>
        <v>4980</v>
      </c>
      <c r="T594" t="str">
        <f t="shared" si="49"/>
        <v>Venezuela</v>
      </c>
    </row>
    <row r="595" spans="1:20" x14ac:dyDescent="0.2">
      <c r="A595" s="1">
        <v>10841</v>
      </c>
      <c r="B595" s="3" t="s">
        <v>36</v>
      </c>
      <c r="C595" s="3">
        <v>5</v>
      </c>
      <c r="D595" s="4">
        <v>35815</v>
      </c>
      <c r="E595" s="4">
        <v>35843</v>
      </c>
      <c r="F595" s="4">
        <v>35824</v>
      </c>
      <c r="G595" s="3">
        <v>2</v>
      </c>
      <c r="H595" s="3">
        <v>424.3</v>
      </c>
      <c r="I595" s="3" t="s">
        <v>37</v>
      </c>
      <c r="J595" s="3" t="s">
        <v>38</v>
      </c>
      <c r="K595" s="3">
        <v>255</v>
      </c>
      <c r="L595" s="3" t="s">
        <v>39</v>
      </c>
      <c r="M595" s="3" t="s">
        <v>18</v>
      </c>
      <c r="N595" s="3" t="s">
        <v>40</v>
      </c>
      <c r="O595" s="3" t="s">
        <v>41</v>
      </c>
      <c r="P595" t="str">
        <f t="shared" si="46"/>
        <v>Boulevard Tirou 255</v>
      </c>
      <c r="Q595" t="str">
        <f t="shared" si="50"/>
        <v>Charleroi</v>
      </c>
      <c r="R595" t="str">
        <f t="shared" si="47"/>
        <v>NULL</v>
      </c>
      <c r="S595" t="str">
        <f t="shared" si="48"/>
        <v>B-6000</v>
      </c>
      <c r="T595" t="str">
        <f t="shared" si="49"/>
        <v>Belgium</v>
      </c>
    </row>
    <row r="596" spans="1:20" x14ac:dyDescent="0.2">
      <c r="A596" s="1">
        <v>10842</v>
      </c>
      <c r="B596" s="3" t="s">
        <v>130</v>
      </c>
      <c r="C596" s="3">
        <v>1</v>
      </c>
      <c r="D596" s="4">
        <v>35815</v>
      </c>
      <c r="E596" s="4">
        <v>35843</v>
      </c>
      <c r="F596" s="4">
        <v>35824</v>
      </c>
      <c r="G596" s="3">
        <v>3</v>
      </c>
      <c r="H596" s="3">
        <v>54.42</v>
      </c>
      <c r="I596" s="3" t="s">
        <v>131</v>
      </c>
      <c r="J596" s="3" t="s">
        <v>132</v>
      </c>
      <c r="K596" s="3" t="s">
        <v>71</v>
      </c>
      <c r="L596" s="3" t="s">
        <v>18</v>
      </c>
      <c r="M596" s="3">
        <v>5033</v>
      </c>
      <c r="N596" s="3" t="s">
        <v>72</v>
      </c>
      <c r="O596" s="2"/>
      <c r="P596" t="str">
        <f t="shared" si="46"/>
        <v>Avda. Azteca 123</v>
      </c>
      <c r="Q596" t="str">
        <f t="shared" si="50"/>
        <v>México D.F.</v>
      </c>
      <c r="R596" t="str">
        <f t="shared" si="47"/>
        <v>NULL</v>
      </c>
      <c r="S596">
        <f t="shared" si="48"/>
        <v>5033</v>
      </c>
      <c r="T596" t="str">
        <f t="shared" si="49"/>
        <v>Mexico</v>
      </c>
    </row>
    <row r="597" spans="1:20" x14ac:dyDescent="0.2">
      <c r="A597" s="1">
        <v>10843</v>
      </c>
      <c r="B597" s="3" t="s">
        <v>32</v>
      </c>
      <c r="C597" s="3">
        <v>4</v>
      </c>
      <c r="D597" s="4">
        <v>35816</v>
      </c>
      <c r="E597" s="4">
        <v>35844</v>
      </c>
      <c r="F597" s="4">
        <v>35821</v>
      </c>
      <c r="G597" s="3">
        <v>2</v>
      </c>
      <c r="H597" s="3">
        <v>9.26</v>
      </c>
      <c r="I597" s="3" t="s">
        <v>33</v>
      </c>
      <c r="J597" s="3">
        <v>2</v>
      </c>
      <c r="K597" s="3" t="s">
        <v>34</v>
      </c>
      <c r="L597" s="3" t="s">
        <v>35</v>
      </c>
      <c r="M597" s="3" t="s">
        <v>18</v>
      </c>
      <c r="N597" s="3">
        <v>69004</v>
      </c>
      <c r="O597" s="3" t="s">
        <v>19</v>
      </c>
      <c r="P597" t="str">
        <f t="shared" si="46"/>
        <v>2  rue du Commerce</v>
      </c>
      <c r="Q597" t="str">
        <f t="shared" si="50"/>
        <v>Lyon</v>
      </c>
      <c r="R597" t="str">
        <f t="shared" si="47"/>
        <v>NULL</v>
      </c>
      <c r="S597">
        <f t="shared" si="48"/>
        <v>69004</v>
      </c>
      <c r="T597" t="str">
        <f t="shared" si="49"/>
        <v>France</v>
      </c>
    </row>
    <row r="598" spans="1:20" x14ac:dyDescent="0.2">
      <c r="A598" s="1">
        <v>10844</v>
      </c>
      <c r="B598" s="3" t="s">
        <v>266</v>
      </c>
      <c r="C598" s="3">
        <v>8</v>
      </c>
      <c r="D598" s="4">
        <v>35816</v>
      </c>
      <c r="E598" s="4">
        <v>35844</v>
      </c>
      <c r="F598" s="4">
        <v>35821</v>
      </c>
      <c r="G598" s="3">
        <v>2</v>
      </c>
      <c r="H598" s="3">
        <v>25.22</v>
      </c>
      <c r="I598" s="3" t="s">
        <v>267</v>
      </c>
      <c r="J598" s="3" t="s">
        <v>268</v>
      </c>
      <c r="K598" s="3" t="s">
        <v>269</v>
      </c>
      <c r="L598" s="3" t="s">
        <v>18</v>
      </c>
      <c r="M598" s="3">
        <v>5020</v>
      </c>
      <c r="N598" s="3" t="s">
        <v>67</v>
      </c>
      <c r="O598" s="2"/>
      <c r="P598" t="str">
        <f t="shared" si="46"/>
        <v>Geislweg 14</v>
      </c>
      <c r="Q598" t="str">
        <f t="shared" si="50"/>
        <v>Salzburg</v>
      </c>
      <c r="R598" t="str">
        <f t="shared" si="47"/>
        <v>NULL</v>
      </c>
      <c r="S598">
        <f t="shared" si="48"/>
        <v>5020</v>
      </c>
      <c r="T598" t="str">
        <f t="shared" si="49"/>
        <v>Austria</v>
      </c>
    </row>
    <row r="599" spans="1:20" x14ac:dyDescent="0.2">
      <c r="A599" s="1">
        <v>10845</v>
      </c>
      <c r="B599" s="3" t="s">
        <v>121</v>
      </c>
      <c r="C599" s="3">
        <v>8</v>
      </c>
      <c r="D599" s="4">
        <v>35816</v>
      </c>
      <c r="E599" s="4">
        <v>35830</v>
      </c>
      <c r="F599" s="4">
        <v>35825</v>
      </c>
      <c r="G599" s="3">
        <v>1</v>
      </c>
      <c r="H599" s="3">
        <v>212.98</v>
      </c>
      <c r="I599" s="3" t="s">
        <v>122</v>
      </c>
      <c r="J599" s="3" t="s">
        <v>123</v>
      </c>
      <c r="K599" s="3" t="s">
        <v>124</v>
      </c>
      <c r="L599" s="3" t="s">
        <v>18</v>
      </c>
      <c r="M599" s="3">
        <v>1307</v>
      </c>
      <c r="N599" s="3" t="s">
        <v>24</v>
      </c>
      <c r="O599" s="2"/>
      <c r="P599" t="str">
        <f t="shared" si="46"/>
        <v>Taucherstraße 10</v>
      </c>
      <c r="Q599" t="str">
        <f t="shared" si="50"/>
        <v>Cunewalde</v>
      </c>
      <c r="R599" t="str">
        <f t="shared" si="47"/>
        <v>NULL</v>
      </c>
      <c r="S599">
        <f t="shared" si="48"/>
        <v>1307</v>
      </c>
      <c r="T599" t="str">
        <f t="shared" si="49"/>
        <v>Germany</v>
      </c>
    </row>
    <row r="600" spans="1:20" x14ac:dyDescent="0.2">
      <c r="A600" s="1">
        <v>10846</v>
      </c>
      <c r="B600" s="3" t="s">
        <v>36</v>
      </c>
      <c r="C600" s="3">
        <v>2</v>
      </c>
      <c r="D600" s="4">
        <v>35817</v>
      </c>
      <c r="E600" s="4">
        <v>35859</v>
      </c>
      <c r="F600" s="4">
        <v>35818</v>
      </c>
      <c r="G600" s="3">
        <v>3</v>
      </c>
      <c r="H600" s="3">
        <v>56.46</v>
      </c>
      <c r="I600" s="3" t="s">
        <v>37</v>
      </c>
      <c r="J600" s="3" t="s">
        <v>38</v>
      </c>
      <c r="K600" s="3">
        <v>255</v>
      </c>
      <c r="L600" s="3" t="s">
        <v>39</v>
      </c>
      <c r="M600" s="3" t="s">
        <v>18</v>
      </c>
      <c r="N600" s="3" t="s">
        <v>40</v>
      </c>
      <c r="O600" s="3" t="s">
        <v>41</v>
      </c>
      <c r="P600" t="str">
        <f t="shared" si="46"/>
        <v>Boulevard Tirou 255</v>
      </c>
      <c r="Q600" t="str">
        <f t="shared" si="50"/>
        <v>Charleroi</v>
      </c>
      <c r="R600" t="str">
        <f t="shared" si="47"/>
        <v>NULL</v>
      </c>
      <c r="S600" t="str">
        <f t="shared" si="48"/>
        <v>B-6000</v>
      </c>
      <c r="T600" t="str">
        <f t="shared" si="49"/>
        <v>Belgium</v>
      </c>
    </row>
    <row r="601" spans="1:20" x14ac:dyDescent="0.2">
      <c r="A601" s="1">
        <v>10847</v>
      </c>
      <c r="B601" s="3" t="s">
        <v>226</v>
      </c>
      <c r="C601" s="3">
        <v>4</v>
      </c>
      <c r="D601" s="4">
        <v>35817</v>
      </c>
      <c r="E601" s="4">
        <v>35831</v>
      </c>
      <c r="F601" s="4">
        <v>35836</v>
      </c>
      <c r="G601" s="3">
        <v>3</v>
      </c>
      <c r="H601" s="3">
        <v>487.57</v>
      </c>
      <c r="I601" s="3" t="s">
        <v>227</v>
      </c>
      <c r="J601" s="3" t="s">
        <v>228</v>
      </c>
      <c r="K601" s="3" t="s">
        <v>229</v>
      </c>
      <c r="L601" s="3" t="s">
        <v>230</v>
      </c>
      <c r="M601" s="3">
        <v>83720</v>
      </c>
      <c r="N601" s="3" t="s">
        <v>86</v>
      </c>
      <c r="O601" s="2"/>
      <c r="P601" t="str">
        <f t="shared" si="46"/>
        <v>187 Suffolk Ln.</v>
      </c>
      <c r="Q601" t="str">
        <f t="shared" si="50"/>
        <v>Boise</v>
      </c>
      <c r="R601" t="str">
        <f t="shared" si="47"/>
        <v>ID</v>
      </c>
      <c r="S601">
        <f t="shared" si="48"/>
        <v>83720</v>
      </c>
      <c r="T601" t="str">
        <f t="shared" si="49"/>
        <v>USA</v>
      </c>
    </row>
    <row r="602" spans="1:20" x14ac:dyDescent="0.2">
      <c r="A602" s="1">
        <v>10848</v>
      </c>
      <c r="B602" s="3" t="s">
        <v>347</v>
      </c>
      <c r="C602" s="3">
        <v>7</v>
      </c>
      <c r="D602" s="4">
        <v>35818</v>
      </c>
      <c r="E602" s="4">
        <v>35846</v>
      </c>
      <c r="F602" s="4">
        <v>35824</v>
      </c>
      <c r="G602" s="3">
        <v>2</v>
      </c>
      <c r="H602" s="3">
        <v>38.24</v>
      </c>
      <c r="I602" s="3" t="s">
        <v>348</v>
      </c>
      <c r="J602" s="3" t="s">
        <v>349</v>
      </c>
      <c r="K602" s="3" t="s">
        <v>167</v>
      </c>
      <c r="L602" s="3" t="s">
        <v>18</v>
      </c>
      <c r="M602" s="3" t="s">
        <v>350</v>
      </c>
      <c r="N602" s="3" t="s">
        <v>169</v>
      </c>
      <c r="O602" s="2"/>
      <c r="P602" t="str">
        <f t="shared" si="46"/>
        <v>Berkeley Gardens 12  Brewery</v>
      </c>
      <c r="Q602" t="str">
        <f t="shared" si="50"/>
        <v>London</v>
      </c>
      <c r="R602" t="str">
        <f t="shared" si="47"/>
        <v>NULL</v>
      </c>
      <c r="S602" t="str">
        <f t="shared" si="48"/>
        <v>WX1 6LT</v>
      </c>
      <c r="T602" t="str">
        <f t="shared" si="49"/>
        <v>UK</v>
      </c>
    </row>
    <row r="603" spans="1:20" x14ac:dyDescent="0.2">
      <c r="A603" s="1">
        <v>10849</v>
      </c>
      <c r="B603" s="3" t="s">
        <v>222</v>
      </c>
      <c r="C603" s="3">
        <v>9</v>
      </c>
      <c r="D603" s="4">
        <v>35818</v>
      </c>
      <c r="E603" s="4">
        <v>35846</v>
      </c>
      <c r="F603" s="4">
        <v>35825</v>
      </c>
      <c r="G603" s="3">
        <v>2</v>
      </c>
      <c r="H603" s="3">
        <v>0.56000000000000005</v>
      </c>
      <c r="I603" s="3" t="s">
        <v>223</v>
      </c>
      <c r="J603" s="3" t="s">
        <v>224</v>
      </c>
      <c r="K603" s="3" t="s">
        <v>225</v>
      </c>
      <c r="L603" s="3" t="s">
        <v>18</v>
      </c>
      <c r="M603" s="3">
        <v>14776</v>
      </c>
      <c r="N603" s="3" t="s">
        <v>24</v>
      </c>
      <c r="O603" s="2"/>
      <c r="P603" t="str">
        <f t="shared" si="46"/>
        <v>Maubelstr. 90</v>
      </c>
      <c r="Q603" t="str">
        <f t="shared" si="50"/>
        <v>Brandenburg</v>
      </c>
      <c r="R603" t="str">
        <f t="shared" si="47"/>
        <v>NULL</v>
      </c>
      <c r="S603">
        <f t="shared" si="48"/>
        <v>14776</v>
      </c>
      <c r="T603" t="str">
        <f t="shared" si="49"/>
        <v>Germany</v>
      </c>
    </row>
    <row r="604" spans="1:20" x14ac:dyDescent="0.2">
      <c r="A604" s="1">
        <v>10850</v>
      </c>
      <c r="B604" s="3" t="s">
        <v>32</v>
      </c>
      <c r="C604" s="3">
        <v>1</v>
      </c>
      <c r="D604" s="4">
        <v>35818</v>
      </c>
      <c r="E604" s="4">
        <v>35860</v>
      </c>
      <c r="F604" s="4">
        <v>35825</v>
      </c>
      <c r="G604" s="3">
        <v>1</v>
      </c>
      <c r="H604" s="3">
        <v>49.19</v>
      </c>
      <c r="I604" s="3" t="s">
        <v>33</v>
      </c>
      <c r="J604" s="3">
        <v>2</v>
      </c>
      <c r="K604" s="3" t="s">
        <v>34</v>
      </c>
      <c r="L604" s="3" t="s">
        <v>35</v>
      </c>
      <c r="M604" s="3" t="s">
        <v>18</v>
      </c>
      <c r="N604" s="3">
        <v>69004</v>
      </c>
      <c r="O604" s="3" t="s">
        <v>19</v>
      </c>
      <c r="P604" t="str">
        <f t="shared" si="46"/>
        <v>2  rue du Commerce</v>
      </c>
      <c r="Q604" t="str">
        <f t="shared" si="50"/>
        <v>Lyon</v>
      </c>
      <c r="R604" t="str">
        <f t="shared" si="47"/>
        <v>NULL</v>
      </c>
      <c r="S604">
        <f t="shared" si="48"/>
        <v>69004</v>
      </c>
      <c r="T604" t="str">
        <f t="shared" si="49"/>
        <v>France</v>
      </c>
    </row>
    <row r="605" spans="1:20" x14ac:dyDescent="0.2">
      <c r="A605" s="1">
        <v>10851</v>
      </c>
      <c r="B605" s="3" t="s">
        <v>156</v>
      </c>
      <c r="C605" s="3">
        <v>5</v>
      </c>
      <c r="D605" s="4">
        <v>35821</v>
      </c>
      <c r="E605" s="4">
        <v>35849</v>
      </c>
      <c r="F605" s="4">
        <v>35828</v>
      </c>
      <c r="G605" s="3">
        <v>1</v>
      </c>
      <c r="H605" s="3">
        <v>160.55000000000001</v>
      </c>
      <c r="I605" s="3" t="s">
        <v>157</v>
      </c>
      <c r="J605" s="3" t="s">
        <v>158</v>
      </c>
      <c r="K605" s="3">
        <v>267</v>
      </c>
      <c r="L605" s="3" t="s">
        <v>28</v>
      </c>
      <c r="M605" s="3" t="s">
        <v>29</v>
      </c>
      <c r="N605" s="3" t="s">
        <v>159</v>
      </c>
      <c r="O605" s="3" t="s">
        <v>31</v>
      </c>
      <c r="P605" t="str">
        <f t="shared" si="46"/>
        <v>Av. Copacabana 267</v>
      </c>
      <c r="Q605" t="str">
        <f t="shared" si="50"/>
        <v>Rio de Janeiro</v>
      </c>
      <c r="R605" t="str">
        <f t="shared" si="47"/>
        <v>RJ</v>
      </c>
      <c r="S605" t="str">
        <f t="shared" si="48"/>
        <v>02389-890</v>
      </c>
      <c r="T605" t="str">
        <f t="shared" si="49"/>
        <v>Brazil</v>
      </c>
    </row>
    <row r="606" spans="1:20" x14ac:dyDescent="0.2">
      <c r="A606" s="1">
        <v>10852</v>
      </c>
      <c r="B606" s="3" t="s">
        <v>81</v>
      </c>
      <c r="C606" s="3">
        <v>8</v>
      </c>
      <c r="D606" s="4">
        <v>35821</v>
      </c>
      <c r="E606" s="4">
        <v>35835</v>
      </c>
      <c r="F606" s="4">
        <v>35825</v>
      </c>
      <c r="G606" s="3">
        <v>1</v>
      </c>
      <c r="H606" s="3">
        <v>174.05</v>
      </c>
      <c r="I606" s="3" t="s">
        <v>82</v>
      </c>
      <c r="J606" s="3" t="s">
        <v>83</v>
      </c>
      <c r="K606" s="3" t="s">
        <v>84</v>
      </c>
      <c r="L606" s="3" t="s">
        <v>85</v>
      </c>
      <c r="M606" s="3">
        <v>87110</v>
      </c>
      <c r="N606" s="3" t="s">
        <v>86</v>
      </c>
      <c r="O606" s="2"/>
      <c r="P606" t="str">
        <f t="shared" si="46"/>
        <v>2817 Milton Dr.</v>
      </c>
      <c r="Q606" t="str">
        <f t="shared" si="50"/>
        <v>Albuquerque</v>
      </c>
      <c r="R606" t="str">
        <f t="shared" si="47"/>
        <v>NM</v>
      </c>
      <c r="S606">
        <f t="shared" si="48"/>
        <v>87110</v>
      </c>
      <c r="T606" t="str">
        <f t="shared" si="49"/>
        <v>USA</v>
      </c>
    </row>
    <row r="607" spans="1:20" x14ac:dyDescent="0.2">
      <c r="A607" s="1">
        <v>10853</v>
      </c>
      <c r="B607" s="3" t="s">
        <v>363</v>
      </c>
      <c r="C607" s="3">
        <v>9</v>
      </c>
      <c r="D607" s="4">
        <v>35822</v>
      </c>
      <c r="E607" s="4">
        <v>35850</v>
      </c>
      <c r="F607" s="4">
        <v>35829</v>
      </c>
      <c r="G607" s="3">
        <v>2</v>
      </c>
      <c r="H607" s="3">
        <v>53.83</v>
      </c>
      <c r="I607" s="3" t="s">
        <v>364</v>
      </c>
      <c r="J607" s="3" t="s">
        <v>365</v>
      </c>
      <c r="K607" s="3" t="s">
        <v>366</v>
      </c>
      <c r="L607" s="3" t="s">
        <v>18</v>
      </c>
      <c r="M607" s="3">
        <v>68306</v>
      </c>
      <c r="N607" s="3" t="s">
        <v>24</v>
      </c>
      <c r="O607" s="2"/>
      <c r="P607" t="str">
        <f t="shared" si="46"/>
        <v>Forsterstr. 57</v>
      </c>
      <c r="Q607" t="str">
        <f t="shared" si="50"/>
        <v>Mannheim</v>
      </c>
      <c r="R607" t="str">
        <f t="shared" si="47"/>
        <v>NULL</v>
      </c>
      <c r="S607">
        <f t="shared" si="48"/>
        <v>68306</v>
      </c>
      <c r="T607" t="str">
        <f t="shared" si="49"/>
        <v>Germany</v>
      </c>
    </row>
    <row r="608" spans="1:20" x14ac:dyDescent="0.2">
      <c r="A608" s="1">
        <v>10854</v>
      </c>
      <c r="B608" s="3" t="s">
        <v>63</v>
      </c>
      <c r="C608" s="3">
        <v>3</v>
      </c>
      <c r="D608" s="4">
        <v>35822</v>
      </c>
      <c r="E608" s="4">
        <v>35850</v>
      </c>
      <c r="F608" s="4">
        <v>35831</v>
      </c>
      <c r="G608" s="3">
        <v>2</v>
      </c>
      <c r="H608" s="3">
        <v>100.22</v>
      </c>
      <c r="I608" s="3" t="s">
        <v>64</v>
      </c>
      <c r="J608" s="3" t="s">
        <v>65</v>
      </c>
      <c r="K608" s="3" t="s">
        <v>66</v>
      </c>
      <c r="L608" s="3" t="s">
        <v>18</v>
      </c>
      <c r="M608" s="3">
        <v>8010</v>
      </c>
      <c r="N608" s="3" t="s">
        <v>67</v>
      </c>
      <c r="O608" s="2"/>
      <c r="P608" t="str">
        <f t="shared" si="46"/>
        <v>Kirchgasse 6</v>
      </c>
      <c r="Q608" t="str">
        <f t="shared" si="50"/>
        <v>Graz</v>
      </c>
      <c r="R608" t="str">
        <f t="shared" si="47"/>
        <v>NULL</v>
      </c>
      <c r="S608">
        <f t="shared" si="48"/>
        <v>8010</v>
      </c>
      <c r="T608" t="str">
        <f t="shared" si="49"/>
        <v>Austria</v>
      </c>
    </row>
    <row r="609" spans="1:20" x14ac:dyDescent="0.2">
      <c r="A609" s="1">
        <v>10855</v>
      </c>
      <c r="B609" s="3" t="s">
        <v>193</v>
      </c>
      <c r="C609" s="3">
        <v>3</v>
      </c>
      <c r="D609" s="4">
        <v>35822</v>
      </c>
      <c r="E609" s="4">
        <v>35850</v>
      </c>
      <c r="F609" s="4">
        <v>35830</v>
      </c>
      <c r="G609" s="3">
        <v>1</v>
      </c>
      <c r="H609" s="3">
        <v>170.97</v>
      </c>
      <c r="I609" s="3" t="s">
        <v>194</v>
      </c>
      <c r="J609" s="3" t="s">
        <v>195</v>
      </c>
      <c r="K609" s="3" t="s">
        <v>196</v>
      </c>
      <c r="L609" s="3" t="s">
        <v>197</v>
      </c>
      <c r="M609" s="3">
        <v>99508</v>
      </c>
      <c r="N609" s="3" t="s">
        <v>86</v>
      </c>
      <c r="O609" s="2"/>
      <c r="P609" t="str">
        <f t="shared" si="46"/>
        <v>2743 Bering St.</v>
      </c>
      <c r="Q609" t="str">
        <f t="shared" si="50"/>
        <v>Anchorage</v>
      </c>
      <c r="R609" t="str">
        <f t="shared" si="47"/>
        <v>AK</v>
      </c>
      <c r="S609">
        <f t="shared" si="48"/>
        <v>99508</v>
      </c>
      <c r="T609" t="str">
        <f t="shared" si="49"/>
        <v>USA</v>
      </c>
    </row>
    <row r="610" spans="1:20" x14ac:dyDescent="0.2">
      <c r="A610" s="1">
        <v>10856</v>
      </c>
      <c r="B610" s="3" t="s">
        <v>288</v>
      </c>
      <c r="C610" s="3">
        <v>3</v>
      </c>
      <c r="D610" s="4">
        <v>35823</v>
      </c>
      <c r="E610" s="4">
        <v>35851</v>
      </c>
      <c r="F610" s="4">
        <v>35836</v>
      </c>
      <c r="G610" s="3">
        <v>2</v>
      </c>
      <c r="H610" s="3">
        <v>58.43</v>
      </c>
      <c r="I610" s="3" t="s">
        <v>289</v>
      </c>
      <c r="J610" s="3" t="s">
        <v>290</v>
      </c>
      <c r="K610" s="3" t="s">
        <v>71</v>
      </c>
      <c r="L610" s="3" t="s">
        <v>18</v>
      </c>
      <c r="M610" s="3">
        <v>5023</v>
      </c>
      <c r="N610" s="3" t="s">
        <v>72</v>
      </c>
      <c r="O610" s="2"/>
      <c r="P610" t="str">
        <f t="shared" si="46"/>
        <v>Mataderos  2312</v>
      </c>
      <c r="Q610" t="str">
        <f t="shared" si="50"/>
        <v>México D.F.</v>
      </c>
      <c r="R610" t="str">
        <f t="shared" si="47"/>
        <v>NULL</v>
      </c>
      <c r="S610">
        <f t="shared" si="48"/>
        <v>5023</v>
      </c>
      <c r="T610" t="str">
        <f t="shared" si="49"/>
        <v>Mexico</v>
      </c>
    </row>
    <row r="611" spans="1:20" x14ac:dyDescent="0.2">
      <c r="A611" s="1">
        <v>10857</v>
      </c>
      <c r="B611" s="3" t="s">
        <v>137</v>
      </c>
      <c r="C611" s="3">
        <v>8</v>
      </c>
      <c r="D611" s="4">
        <v>35823</v>
      </c>
      <c r="E611" s="4">
        <v>35851</v>
      </c>
      <c r="F611" s="4">
        <v>35832</v>
      </c>
      <c r="G611" s="3">
        <v>2</v>
      </c>
      <c r="H611" s="3">
        <v>188.85</v>
      </c>
      <c r="I611" s="3" t="s">
        <v>138</v>
      </c>
      <c r="J611" s="3" t="s">
        <v>139</v>
      </c>
      <c r="K611" s="3" t="s">
        <v>140</v>
      </c>
      <c r="L611" s="3" t="s">
        <v>18</v>
      </c>
      <c r="M611" s="3" t="s">
        <v>141</v>
      </c>
      <c r="N611" s="3" t="s">
        <v>92</v>
      </c>
      <c r="O611" s="2"/>
      <c r="P611" t="str">
        <f t="shared" si="46"/>
        <v>Berguvsvägen  8</v>
      </c>
      <c r="Q611" t="str">
        <f t="shared" si="50"/>
        <v>Luleå</v>
      </c>
      <c r="R611" t="str">
        <f t="shared" si="47"/>
        <v>NULL</v>
      </c>
      <c r="S611" t="str">
        <f t="shared" si="48"/>
        <v>S-958 22</v>
      </c>
      <c r="T611" t="str">
        <f t="shared" si="49"/>
        <v>Sweden</v>
      </c>
    </row>
    <row r="612" spans="1:20" x14ac:dyDescent="0.2">
      <c r="A612" s="1">
        <v>10858</v>
      </c>
      <c r="B612" s="3" t="s">
        <v>413</v>
      </c>
      <c r="C612" s="3">
        <v>2</v>
      </c>
      <c r="D612" s="4">
        <v>35824</v>
      </c>
      <c r="E612" s="4">
        <v>35852</v>
      </c>
      <c r="F612" s="4">
        <v>35829</v>
      </c>
      <c r="G612" s="3">
        <v>1</v>
      </c>
      <c r="H612" s="3">
        <v>52.51</v>
      </c>
      <c r="I612" s="3" t="s">
        <v>414</v>
      </c>
      <c r="J612" s="3">
        <v>67</v>
      </c>
      <c r="K612" s="3" t="s">
        <v>415</v>
      </c>
      <c r="L612" s="3" t="s">
        <v>416</v>
      </c>
      <c r="M612" s="3" t="s">
        <v>18</v>
      </c>
      <c r="N612" s="3">
        <v>78000</v>
      </c>
      <c r="O612" s="3" t="s">
        <v>19</v>
      </c>
      <c r="P612" t="str">
        <f t="shared" si="46"/>
        <v>67  avenue de l'Europe</v>
      </c>
      <c r="Q612" t="str">
        <f t="shared" si="50"/>
        <v>Versailles</v>
      </c>
      <c r="R612" t="str">
        <f t="shared" si="47"/>
        <v>NULL</v>
      </c>
      <c r="S612">
        <f t="shared" si="48"/>
        <v>78000</v>
      </c>
      <c r="T612" t="str">
        <f t="shared" si="49"/>
        <v>France</v>
      </c>
    </row>
    <row r="613" spans="1:20" x14ac:dyDescent="0.2">
      <c r="A613" s="1">
        <v>10859</v>
      </c>
      <c r="B613" s="3" t="s">
        <v>102</v>
      </c>
      <c r="C613" s="3">
        <v>1</v>
      </c>
      <c r="D613" s="4">
        <v>35824</v>
      </c>
      <c r="E613" s="4">
        <v>35852</v>
      </c>
      <c r="F613" s="4">
        <v>35828</v>
      </c>
      <c r="G613" s="3">
        <v>2</v>
      </c>
      <c r="H613" s="3">
        <v>76.099999999999994</v>
      </c>
      <c r="I613" s="3" t="s">
        <v>103</v>
      </c>
      <c r="J613" s="3" t="s">
        <v>104</v>
      </c>
      <c r="K613" s="3" t="s">
        <v>105</v>
      </c>
      <c r="L613" s="3" t="s">
        <v>18</v>
      </c>
      <c r="M613" s="3">
        <v>80805</v>
      </c>
      <c r="N613" s="3" t="s">
        <v>24</v>
      </c>
      <c r="O613" s="2"/>
      <c r="P613" t="str">
        <f t="shared" si="46"/>
        <v>Berliner Platz 43</v>
      </c>
      <c r="Q613" t="str">
        <f t="shared" si="50"/>
        <v>München</v>
      </c>
      <c r="R613" t="str">
        <f t="shared" si="47"/>
        <v>NULL</v>
      </c>
      <c r="S613">
        <f t="shared" si="48"/>
        <v>80805</v>
      </c>
      <c r="T613" t="str">
        <f t="shared" si="49"/>
        <v>Germany</v>
      </c>
    </row>
    <row r="614" spans="1:20" x14ac:dyDescent="0.2">
      <c r="A614" s="1">
        <v>10860</v>
      </c>
      <c r="B614" s="3" t="s">
        <v>405</v>
      </c>
      <c r="C614" s="3">
        <v>3</v>
      </c>
      <c r="D614" s="4">
        <v>35824</v>
      </c>
      <c r="E614" s="4">
        <v>35852</v>
      </c>
      <c r="F614" s="4">
        <v>35830</v>
      </c>
      <c r="G614" s="3">
        <v>3</v>
      </c>
      <c r="H614" s="3">
        <v>19.260000000000002</v>
      </c>
      <c r="I614" s="3" t="s">
        <v>406</v>
      </c>
      <c r="J614" s="3">
        <v>54</v>
      </c>
      <c r="K614" s="3" t="s">
        <v>407</v>
      </c>
      <c r="L614" s="3" t="s">
        <v>212</v>
      </c>
      <c r="M614" s="3" t="s">
        <v>18</v>
      </c>
      <c r="N614" s="3">
        <v>44000</v>
      </c>
      <c r="O614" s="3" t="s">
        <v>19</v>
      </c>
      <c r="P614" t="str">
        <f t="shared" si="46"/>
        <v>54  rue Royale</v>
      </c>
      <c r="Q614" t="str">
        <f t="shared" si="50"/>
        <v>Nantes</v>
      </c>
      <c r="R614" t="str">
        <f t="shared" si="47"/>
        <v>NULL</v>
      </c>
      <c r="S614">
        <f t="shared" si="48"/>
        <v>44000</v>
      </c>
      <c r="T614" t="str">
        <f t="shared" si="49"/>
        <v>France</v>
      </c>
    </row>
    <row r="615" spans="1:20" x14ac:dyDescent="0.2">
      <c r="A615" s="1">
        <v>10861</v>
      </c>
      <c r="B615" s="3" t="s">
        <v>111</v>
      </c>
      <c r="C615" s="3">
        <v>4</v>
      </c>
      <c r="D615" s="4">
        <v>35825</v>
      </c>
      <c r="E615" s="4">
        <v>35853</v>
      </c>
      <c r="F615" s="4">
        <v>35843</v>
      </c>
      <c r="G615" s="3">
        <v>2</v>
      </c>
      <c r="H615" s="3">
        <v>14.93</v>
      </c>
      <c r="I615" s="3" t="s">
        <v>112</v>
      </c>
      <c r="J615" s="3" t="s">
        <v>113</v>
      </c>
      <c r="K615" s="3" t="s">
        <v>114</v>
      </c>
      <c r="L615" s="3" t="s">
        <v>115</v>
      </c>
      <c r="M615" s="3">
        <v>98124</v>
      </c>
      <c r="N615" s="3" t="s">
        <v>86</v>
      </c>
      <c r="O615" s="2"/>
      <c r="P615" t="str">
        <f t="shared" si="46"/>
        <v>1029 - 12th Ave. S.</v>
      </c>
      <c r="Q615" t="str">
        <f t="shared" si="50"/>
        <v>Seattle</v>
      </c>
      <c r="R615" t="str">
        <f t="shared" si="47"/>
        <v>WA</v>
      </c>
      <c r="S615">
        <f t="shared" si="48"/>
        <v>98124</v>
      </c>
      <c r="T615" t="str">
        <f t="shared" si="49"/>
        <v>USA</v>
      </c>
    </row>
    <row r="616" spans="1:20" x14ac:dyDescent="0.2">
      <c r="A616" s="1">
        <v>10862</v>
      </c>
      <c r="B616" s="3" t="s">
        <v>142</v>
      </c>
      <c r="C616" s="3">
        <v>8</v>
      </c>
      <c r="D616" s="4">
        <v>35825</v>
      </c>
      <c r="E616" s="4">
        <v>35867</v>
      </c>
      <c r="F616" s="4">
        <v>35828</v>
      </c>
      <c r="G616" s="3">
        <v>2</v>
      </c>
      <c r="H616" s="3">
        <v>53.23</v>
      </c>
      <c r="I616" s="3" t="s">
        <v>143</v>
      </c>
      <c r="J616" s="3" t="s">
        <v>144</v>
      </c>
      <c r="K616" s="3" t="s">
        <v>145</v>
      </c>
      <c r="L616" s="3" t="s">
        <v>18</v>
      </c>
      <c r="M616" s="3">
        <v>60528</v>
      </c>
      <c r="N616" s="3" t="s">
        <v>24</v>
      </c>
      <c r="O616" s="2"/>
      <c r="P616" t="str">
        <f t="shared" si="46"/>
        <v>Magazinweg 7</v>
      </c>
      <c r="Q616" t="str">
        <f t="shared" si="50"/>
        <v>Frankfurt a.M.</v>
      </c>
      <c r="R616" t="str">
        <f t="shared" si="47"/>
        <v>NULL</v>
      </c>
      <c r="S616">
        <f t="shared" si="48"/>
        <v>60528</v>
      </c>
      <c r="T616" t="str">
        <f t="shared" si="49"/>
        <v>Germany</v>
      </c>
    </row>
    <row r="617" spans="1:20" x14ac:dyDescent="0.2">
      <c r="A617" s="1">
        <v>10863</v>
      </c>
      <c r="B617" s="3" t="s">
        <v>57</v>
      </c>
      <c r="C617" s="3">
        <v>4</v>
      </c>
      <c r="D617" s="4">
        <v>35828</v>
      </c>
      <c r="E617" s="4">
        <v>35856</v>
      </c>
      <c r="F617" s="4">
        <v>35843</v>
      </c>
      <c r="G617" s="3">
        <v>2</v>
      </c>
      <c r="H617" s="3">
        <v>30.26</v>
      </c>
      <c r="I617" s="3" t="s">
        <v>58</v>
      </c>
      <c r="J617" s="3" t="s">
        <v>59</v>
      </c>
      <c r="K617" s="3" t="s">
        <v>60</v>
      </c>
      <c r="L617" s="3" t="s">
        <v>61</v>
      </c>
      <c r="M617" s="3">
        <v>5022</v>
      </c>
      <c r="N617" s="3" t="s">
        <v>62</v>
      </c>
      <c r="O617" s="2"/>
      <c r="P617" t="str">
        <f t="shared" si="46"/>
        <v>Carrera 22 con Ave. Carlos Soublette #8-35</v>
      </c>
      <c r="Q617" t="str">
        <f t="shared" si="50"/>
        <v>San Cristóbal</v>
      </c>
      <c r="R617" t="str">
        <f t="shared" si="47"/>
        <v>Táchira</v>
      </c>
      <c r="S617">
        <f t="shared" si="48"/>
        <v>5022</v>
      </c>
      <c r="T617" t="str">
        <f t="shared" si="49"/>
        <v>Venezuela</v>
      </c>
    </row>
    <row r="618" spans="1:20" x14ac:dyDescent="0.2">
      <c r="A618" s="1">
        <v>10864</v>
      </c>
      <c r="B618" s="3" t="s">
        <v>270</v>
      </c>
      <c r="C618" s="3">
        <v>4</v>
      </c>
      <c r="D618" s="4">
        <v>35828</v>
      </c>
      <c r="E618" s="4">
        <v>35856</v>
      </c>
      <c r="F618" s="4">
        <v>35835</v>
      </c>
      <c r="G618" s="3">
        <v>2</v>
      </c>
      <c r="H618" s="3">
        <v>3.04</v>
      </c>
      <c r="I618" s="3" t="s">
        <v>271</v>
      </c>
      <c r="J618" s="3" t="s">
        <v>272</v>
      </c>
      <c r="K618" s="3" t="s">
        <v>273</v>
      </c>
      <c r="L618" s="3" t="s">
        <v>274</v>
      </c>
      <c r="M618" s="3" t="s">
        <v>275</v>
      </c>
      <c r="N618" s="3" t="s">
        <v>169</v>
      </c>
      <c r="O618" s="2"/>
      <c r="P618" t="str">
        <f t="shared" si="46"/>
        <v>Brook Farm Stratford St. Mary</v>
      </c>
      <c r="Q618" t="str">
        <f t="shared" si="50"/>
        <v>Colchester</v>
      </c>
      <c r="R618" t="str">
        <f t="shared" si="47"/>
        <v>Essex</v>
      </c>
      <c r="S618" t="str">
        <f t="shared" si="48"/>
        <v>CO7 6JX</v>
      </c>
      <c r="T618" t="str">
        <f t="shared" si="49"/>
        <v>UK</v>
      </c>
    </row>
    <row r="619" spans="1:20" x14ac:dyDescent="0.2">
      <c r="A619" s="1">
        <v>10865</v>
      </c>
      <c r="B619" s="3" t="s">
        <v>121</v>
      </c>
      <c r="C619" s="3">
        <v>2</v>
      </c>
      <c r="D619" s="4">
        <v>35828</v>
      </c>
      <c r="E619" s="4">
        <v>35842</v>
      </c>
      <c r="F619" s="4">
        <v>35838</v>
      </c>
      <c r="G619" s="3">
        <v>1</v>
      </c>
      <c r="H619" s="3">
        <v>348.14</v>
      </c>
      <c r="I619" s="3" t="s">
        <v>122</v>
      </c>
      <c r="J619" s="3" t="s">
        <v>123</v>
      </c>
      <c r="K619" s="3" t="s">
        <v>124</v>
      </c>
      <c r="L619" s="3" t="s">
        <v>18</v>
      </c>
      <c r="M619" s="3">
        <v>1307</v>
      </c>
      <c r="N619" s="3" t="s">
        <v>24</v>
      </c>
      <c r="O619" s="2"/>
      <c r="P619" t="str">
        <f t="shared" si="46"/>
        <v>Taucherstraße 10</v>
      </c>
      <c r="Q619" t="str">
        <f t="shared" si="50"/>
        <v>Cunewalde</v>
      </c>
      <c r="R619" t="str">
        <f t="shared" si="47"/>
        <v>NULL</v>
      </c>
      <c r="S619">
        <f t="shared" si="48"/>
        <v>1307</v>
      </c>
      <c r="T619" t="str">
        <f t="shared" si="49"/>
        <v>Germany</v>
      </c>
    </row>
    <row r="620" spans="1:20" x14ac:dyDescent="0.2">
      <c r="A620" s="1">
        <v>10866</v>
      </c>
      <c r="B620" s="3" t="s">
        <v>137</v>
      </c>
      <c r="C620" s="3">
        <v>5</v>
      </c>
      <c r="D620" s="4">
        <v>35829</v>
      </c>
      <c r="E620" s="4">
        <v>35857</v>
      </c>
      <c r="F620" s="4">
        <v>35838</v>
      </c>
      <c r="G620" s="3">
        <v>1</v>
      </c>
      <c r="H620" s="3">
        <v>109.11</v>
      </c>
      <c r="I620" s="3" t="s">
        <v>138</v>
      </c>
      <c r="J620" s="3" t="s">
        <v>139</v>
      </c>
      <c r="K620" s="3" t="s">
        <v>140</v>
      </c>
      <c r="L620" s="3" t="s">
        <v>18</v>
      </c>
      <c r="M620" s="3" t="s">
        <v>141</v>
      </c>
      <c r="N620" s="3" t="s">
        <v>92</v>
      </c>
      <c r="O620" s="2"/>
      <c r="P620" t="str">
        <f t="shared" si="46"/>
        <v>Berguvsvägen  8</v>
      </c>
      <c r="Q620" t="str">
        <f t="shared" si="50"/>
        <v>Luleå</v>
      </c>
      <c r="R620" t="str">
        <f t="shared" si="47"/>
        <v>NULL</v>
      </c>
      <c r="S620" t="str">
        <f t="shared" si="48"/>
        <v>S-958 22</v>
      </c>
      <c r="T620" t="str">
        <f t="shared" si="49"/>
        <v>Sweden</v>
      </c>
    </row>
    <row r="621" spans="1:20" x14ac:dyDescent="0.2">
      <c r="A621" s="1">
        <v>10867</v>
      </c>
      <c r="B621" s="3" t="s">
        <v>198</v>
      </c>
      <c r="C621" s="3">
        <v>6</v>
      </c>
      <c r="D621" s="4">
        <v>35829</v>
      </c>
      <c r="E621" s="4">
        <v>35871</v>
      </c>
      <c r="F621" s="4">
        <v>35837</v>
      </c>
      <c r="G621" s="3">
        <v>1</v>
      </c>
      <c r="H621" s="3">
        <v>1.93</v>
      </c>
      <c r="I621" s="3" t="s">
        <v>199</v>
      </c>
      <c r="J621" s="3" t="s">
        <v>200</v>
      </c>
      <c r="K621" s="3" t="s">
        <v>201</v>
      </c>
      <c r="L621" s="3" t="s">
        <v>202</v>
      </c>
      <c r="M621" s="3">
        <v>97219</v>
      </c>
      <c r="N621" s="3" t="s">
        <v>86</v>
      </c>
      <c r="O621" s="2"/>
      <c r="P621" t="str">
        <f t="shared" si="46"/>
        <v>89 Chiaroscuro Rd.</v>
      </c>
      <c r="Q621" t="str">
        <f t="shared" si="50"/>
        <v>Portland</v>
      </c>
      <c r="R621" t="str">
        <f t="shared" si="47"/>
        <v>OR</v>
      </c>
      <c r="S621">
        <f t="shared" si="48"/>
        <v>97219</v>
      </c>
      <c r="T621" t="str">
        <f t="shared" si="49"/>
        <v>USA</v>
      </c>
    </row>
    <row r="622" spans="1:20" x14ac:dyDescent="0.2">
      <c r="A622" s="1">
        <v>10868</v>
      </c>
      <c r="B622" s="3" t="s">
        <v>299</v>
      </c>
      <c r="C622" s="3">
        <v>7</v>
      </c>
      <c r="D622" s="4">
        <v>35830</v>
      </c>
      <c r="E622" s="4">
        <v>35858</v>
      </c>
      <c r="F622" s="4">
        <v>35849</v>
      </c>
      <c r="G622" s="3">
        <v>2</v>
      </c>
      <c r="H622" s="3">
        <v>191.27</v>
      </c>
      <c r="I622" s="3" t="s">
        <v>300</v>
      </c>
      <c r="J622" s="3" t="s">
        <v>301</v>
      </c>
      <c r="K622" s="3">
        <v>891</v>
      </c>
      <c r="L622" s="3" t="s">
        <v>173</v>
      </c>
      <c r="M622" s="3" t="s">
        <v>55</v>
      </c>
      <c r="N622" s="3" t="s">
        <v>302</v>
      </c>
      <c r="O622" s="3" t="s">
        <v>31</v>
      </c>
      <c r="P622" t="str">
        <f t="shared" si="46"/>
        <v>Alameda dos Canàrios 891</v>
      </c>
      <c r="Q622" t="str">
        <f t="shared" si="50"/>
        <v>Sao Paulo</v>
      </c>
      <c r="R622" t="str">
        <f t="shared" si="47"/>
        <v>SP</v>
      </c>
      <c r="S622" t="str">
        <f t="shared" si="48"/>
        <v>05487-020</v>
      </c>
      <c r="T622" t="str">
        <f t="shared" si="49"/>
        <v>Brazil</v>
      </c>
    </row>
    <row r="623" spans="1:20" x14ac:dyDescent="0.2">
      <c r="A623" s="1">
        <v>10869</v>
      </c>
      <c r="B623" s="3" t="s">
        <v>276</v>
      </c>
      <c r="C623" s="3">
        <v>5</v>
      </c>
      <c r="D623" s="4">
        <v>35830</v>
      </c>
      <c r="E623" s="4">
        <v>35858</v>
      </c>
      <c r="F623" s="4">
        <v>35835</v>
      </c>
      <c r="G623" s="3">
        <v>1</v>
      </c>
      <c r="H623" s="3">
        <v>143.28</v>
      </c>
      <c r="I623" s="3" t="s">
        <v>277</v>
      </c>
      <c r="J623" s="3" t="s">
        <v>278</v>
      </c>
      <c r="K623" s="3" t="s">
        <v>167</v>
      </c>
      <c r="L623" s="3" t="s">
        <v>18</v>
      </c>
      <c r="M623" s="3" t="s">
        <v>279</v>
      </c>
      <c r="N623" s="3" t="s">
        <v>169</v>
      </c>
      <c r="O623" s="2"/>
      <c r="P623" t="str">
        <f t="shared" si="46"/>
        <v>90 Wadhurst Rd.</v>
      </c>
      <c r="Q623" t="str">
        <f t="shared" si="50"/>
        <v>London</v>
      </c>
      <c r="R623" t="str">
        <f t="shared" si="47"/>
        <v>NULL</v>
      </c>
      <c r="S623" t="str">
        <f t="shared" si="48"/>
        <v>OX15 4NB</v>
      </c>
      <c r="T623" t="str">
        <f t="shared" si="49"/>
        <v>UK</v>
      </c>
    </row>
    <row r="624" spans="1:20" x14ac:dyDescent="0.2">
      <c r="A624" s="1">
        <v>10870</v>
      </c>
      <c r="B624" s="3" t="s">
        <v>303</v>
      </c>
      <c r="C624" s="3">
        <v>5</v>
      </c>
      <c r="D624" s="4">
        <v>35830</v>
      </c>
      <c r="E624" s="4">
        <v>35858</v>
      </c>
      <c r="F624" s="4">
        <v>35839</v>
      </c>
      <c r="G624" s="3">
        <v>3</v>
      </c>
      <c r="H624" s="3">
        <v>12.04</v>
      </c>
      <c r="I624" s="3" t="s">
        <v>304</v>
      </c>
      <c r="J624" s="3" t="s">
        <v>305</v>
      </c>
      <c r="K624" s="3" t="s">
        <v>306</v>
      </c>
      <c r="L624" s="3" t="s">
        <v>18</v>
      </c>
      <c r="M624" s="3" t="s">
        <v>307</v>
      </c>
      <c r="N624" s="3" t="s">
        <v>308</v>
      </c>
      <c r="O624" s="2"/>
      <c r="P624" t="str">
        <f t="shared" si="46"/>
        <v>ul. Filtrowa 68</v>
      </c>
      <c r="Q624" t="str">
        <f t="shared" si="50"/>
        <v>Warszawa</v>
      </c>
      <c r="R624" t="str">
        <f t="shared" si="47"/>
        <v>NULL</v>
      </c>
      <c r="S624" t="str">
        <f t="shared" si="48"/>
        <v>01-012</v>
      </c>
      <c r="T624" t="str">
        <f t="shared" si="49"/>
        <v>Poland</v>
      </c>
    </row>
    <row r="625" spans="1:20" x14ac:dyDescent="0.2">
      <c r="A625" s="1">
        <v>10871</v>
      </c>
      <c r="B625" s="3" t="s">
        <v>239</v>
      </c>
      <c r="C625" s="3">
        <v>9</v>
      </c>
      <c r="D625" s="4">
        <v>35831</v>
      </c>
      <c r="E625" s="4">
        <v>35859</v>
      </c>
      <c r="F625" s="4">
        <v>35836</v>
      </c>
      <c r="G625" s="3">
        <v>2</v>
      </c>
      <c r="H625" s="3">
        <v>112.27</v>
      </c>
      <c r="I625" s="3" t="s">
        <v>240</v>
      </c>
      <c r="J625" s="3">
        <v>12</v>
      </c>
      <c r="K625" s="3" t="s">
        <v>241</v>
      </c>
      <c r="L625" s="3" t="s">
        <v>242</v>
      </c>
      <c r="M625" s="3" t="s">
        <v>18</v>
      </c>
      <c r="N625" s="3">
        <v>13008</v>
      </c>
      <c r="O625" s="3" t="s">
        <v>19</v>
      </c>
      <c r="P625" t="str">
        <f t="shared" si="46"/>
        <v>12  rue des Bouchers</v>
      </c>
      <c r="Q625" t="str">
        <f t="shared" si="50"/>
        <v>Marseille</v>
      </c>
      <c r="R625" t="str">
        <f t="shared" si="47"/>
        <v>NULL</v>
      </c>
      <c r="S625">
        <f t="shared" si="48"/>
        <v>13008</v>
      </c>
      <c r="T625" t="str">
        <f t="shared" si="49"/>
        <v>France</v>
      </c>
    </row>
    <row r="626" spans="1:20" x14ac:dyDescent="0.2">
      <c r="A626" s="1">
        <v>10872</v>
      </c>
      <c r="B626" s="3" t="s">
        <v>189</v>
      </c>
      <c r="C626" s="3">
        <v>5</v>
      </c>
      <c r="D626" s="4">
        <v>35831</v>
      </c>
      <c r="E626" s="4">
        <v>35859</v>
      </c>
      <c r="F626" s="4">
        <v>35835</v>
      </c>
      <c r="G626" s="3">
        <v>2</v>
      </c>
      <c r="H626" s="3">
        <v>175.32</v>
      </c>
      <c r="I626" s="3" t="s">
        <v>190</v>
      </c>
      <c r="J626" s="3" t="s">
        <v>191</v>
      </c>
      <c r="K626" s="3">
        <v>33</v>
      </c>
      <c r="L626" s="3" t="s">
        <v>192</v>
      </c>
      <c r="M626" s="3" t="s">
        <v>18</v>
      </c>
      <c r="N626" s="3">
        <v>41101</v>
      </c>
      <c r="O626" s="3" t="s">
        <v>150</v>
      </c>
      <c r="P626" t="str">
        <f t="shared" si="46"/>
        <v>C/ Romero 33</v>
      </c>
      <c r="Q626" t="str">
        <f t="shared" si="50"/>
        <v>Sevilla</v>
      </c>
      <c r="R626" t="str">
        <f t="shared" si="47"/>
        <v>NULL</v>
      </c>
      <c r="S626">
        <f t="shared" si="48"/>
        <v>41101</v>
      </c>
      <c r="T626" t="str">
        <f t="shared" si="49"/>
        <v>Spain</v>
      </c>
    </row>
    <row r="627" spans="1:20" x14ac:dyDescent="0.2">
      <c r="A627" s="1">
        <v>10873</v>
      </c>
      <c r="B627" s="3" t="s">
        <v>392</v>
      </c>
      <c r="C627" s="3">
        <v>4</v>
      </c>
      <c r="D627" s="4">
        <v>35832</v>
      </c>
      <c r="E627" s="4">
        <v>35860</v>
      </c>
      <c r="F627" s="4">
        <v>35835</v>
      </c>
      <c r="G627" s="3">
        <v>1</v>
      </c>
      <c r="H627" s="3">
        <v>0.82</v>
      </c>
      <c r="I627" s="3" t="s">
        <v>393</v>
      </c>
      <c r="J627" s="3" t="s">
        <v>394</v>
      </c>
      <c r="K627" s="3" t="s">
        <v>395</v>
      </c>
      <c r="L627" s="3" t="s">
        <v>18</v>
      </c>
      <c r="M627" s="3">
        <v>21240</v>
      </c>
      <c r="N627" s="3" t="s">
        <v>101</v>
      </c>
      <c r="O627" s="2"/>
      <c r="P627" t="str">
        <f t="shared" si="46"/>
        <v>Keskuskatu 45</v>
      </c>
      <c r="Q627" t="str">
        <f t="shared" si="50"/>
        <v>Helsinki</v>
      </c>
      <c r="R627" t="str">
        <f t="shared" si="47"/>
        <v>NULL</v>
      </c>
      <c r="S627">
        <f t="shared" si="48"/>
        <v>21240</v>
      </c>
      <c r="T627" t="str">
        <f t="shared" si="49"/>
        <v>Finland</v>
      </c>
    </row>
    <row r="628" spans="1:20" x14ac:dyDescent="0.2">
      <c r="A628" s="1">
        <v>10874</v>
      </c>
      <c r="B628" s="3" t="s">
        <v>189</v>
      </c>
      <c r="C628" s="3">
        <v>5</v>
      </c>
      <c r="D628" s="4">
        <v>35832</v>
      </c>
      <c r="E628" s="4">
        <v>35860</v>
      </c>
      <c r="F628" s="4">
        <v>35837</v>
      </c>
      <c r="G628" s="3">
        <v>2</v>
      </c>
      <c r="H628" s="3">
        <v>19.579999999999998</v>
      </c>
      <c r="I628" s="3" t="s">
        <v>190</v>
      </c>
      <c r="J628" s="3" t="s">
        <v>191</v>
      </c>
      <c r="K628" s="3">
        <v>33</v>
      </c>
      <c r="L628" s="3" t="s">
        <v>192</v>
      </c>
      <c r="M628" s="3" t="s">
        <v>18</v>
      </c>
      <c r="N628" s="3">
        <v>41101</v>
      </c>
      <c r="O628" s="3" t="s">
        <v>150</v>
      </c>
      <c r="P628" t="str">
        <f t="shared" si="46"/>
        <v>C/ Romero 33</v>
      </c>
      <c r="Q628" t="str">
        <f t="shared" si="50"/>
        <v>Sevilla</v>
      </c>
      <c r="R628" t="str">
        <f t="shared" si="47"/>
        <v>NULL</v>
      </c>
      <c r="S628">
        <f t="shared" si="48"/>
        <v>41101</v>
      </c>
      <c r="T628" t="str">
        <f t="shared" si="49"/>
        <v>Spain</v>
      </c>
    </row>
    <row r="629" spans="1:20" x14ac:dyDescent="0.2">
      <c r="A629" s="1">
        <v>10875</v>
      </c>
      <c r="B629" s="3" t="s">
        <v>137</v>
      </c>
      <c r="C629" s="3">
        <v>4</v>
      </c>
      <c r="D629" s="4">
        <v>35832</v>
      </c>
      <c r="E629" s="4">
        <v>35860</v>
      </c>
      <c r="F629" s="4">
        <v>35857</v>
      </c>
      <c r="G629" s="3">
        <v>2</v>
      </c>
      <c r="H629" s="3">
        <v>32.369999999999997</v>
      </c>
      <c r="I629" s="3" t="s">
        <v>138</v>
      </c>
      <c r="J629" s="3" t="s">
        <v>139</v>
      </c>
      <c r="K629" s="3" t="s">
        <v>140</v>
      </c>
      <c r="L629" s="3" t="s">
        <v>18</v>
      </c>
      <c r="M629" s="3" t="s">
        <v>141</v>
      </c>
      <c r="N629" s="3" t="s">
        <v>92</v>
      </c>
      <c r="O629" s="2"/>
      <c r="P629" t="str">
        <f t="shared" si="46"/>
        <v>Berguvsvägen  8</v>
      </c>
      <c r="Q629" t="str">
        <f t="shared" si="50"/>
        <v>Luleå</v>
      </c>
      <c r="R629" t="str">
        <f t="shared" si="47"/>
        <v>NULL</v>
      </c>
      <c r="S629" t="str">
        <f t="shared" si="48"/>
        <v>S-958 22</v>
      </c>
      <c r="T629" t="str">
        <f t="shared" si="49"/>
        <v>Sweden</v>
      </c>
    </row>
    <row r="630" spans="1:20" x14ac:dyDescent="0.2">
      <c r="A630" s="1">
        <v>10876</v>
      </c>
      <c r="B630" s="3" t="s">
        <v>239</v>
      </c>
      <c r="C630" s="3">
        <v>7</v>
      </c>
      <c r="D630" s="4">
        <v>35835</v>
      </c>
      <c r="E630" s="4">
        <v>35863</v>
      </c>
      <c r="F630" s="4">
        <v>35838</v>
      </c>
      <c r="G630" s="3">
        <v>3</v>
      </c>
      <c r="H630" s="3">
        <v>60.42</v>
      </c>
      <c r="I630" s="3" t="s">
        <v>240</v>
      </c>
      <c r="J630" s="3">
        <v>12</v>
      </c>
      <c r="K630" s="3" t="s">
        <v>241</v>
      </c>
      <c r="L630" s="3" t="s">
        <v>242</v>
      </c>
      <c r="M630" s="3" t="s">
        <v>18</v>
      </c>
      <c r="N630" s="3">
        <v>13008</v>
      </c>
      <c r="O630" s="3" t="s">
        <v>19</v>
      </c>
      <c r="P630" t="str">
        <f t="shared" si="46"/>
        <v>12  rue des Bouchers</v>
      </c>
      <c r="Q630" t="str">
        <f t="shared" si="50"/>
        <v>Marseille</v>
      </c>
      <c r="R630" t="str">
        <f t="shared" si="47"/>
        <v>NULL</v>
      </c>
      <c r="S630">
        <f t="shared" si="48"/>
        <v>13008</v>
      </c>
      <c r="T630" t="str">
        <f t="shared" si="49"/>
        <v>France</v>
      </c>
    </row>
    <row r="631" spans="1:20" x14ac:dyDescent="0.2">
      <c r="A631" s="1">
        <v>10877</v>
      </c>
      <c r="B631" s="3" t="s">
        <v>156</v>
      </c>
      <c r="C631" s="3">
        <v>1</v>
      </c>
      <c r="D631" s="4">
        <v>35835</v>
      </c>
      <c r="E631" s="4">
        <v>35863</v>
      </c>
      <c r="F631" s="4">
        <v>35845</v>
      </c>
      <c r="G631" s="3">
        <v>1</v>
      </c>
      <c r="H631" s="3">
        <v>38.06</v>
      </c>
      <c r="I631" s="3" t="s">
        <v>157</v>
      </c>
      <c r="J631" s="3" t="s">
        <v>158</v>
      </c>
      <c r="K631" s="3">
        <v>267</v>
      </c>
      <c r="L631" s="3" t="s">
        <v>28</v>
      </c>
      <c r="M631" s="3" t="s">
        <v>29</v>
      </c>
      <c r="N631" s="3" t="s">
        <v>159</v>
      </c>
      <c r="O631" s="3" t="s">
        <v>31</v>
      </c>
      <c r="P631" t="str">
        <f t="shared" si="46"/>
        <v>Av. Copacabana 267</v>
      </c>
      <c r="Q631" t="str">
        <f t="shared" si="50"/>
        <v>Rio de Janeiro</v>
      </c>
      <c r="R631" t="str">
        <f t="shared" si="47"/>
        <v>RJ</v>
      </c>
      <c r="S631" t="str">
        <f t="shared" si="48"/>
        <v>02389-890</v>
      </c>
      <c r="T631" t="str">
        <f t="shared" si="49"/>
        <v>Brazil</v>
      </c>
    </row>
    <row r="632" spans="1:20" x14ac:dyDescent="0.2">
      <c r="A632" s="1">
        <v>10878</v>
      </c>
      <c r="B632" s="3" t="s">
        <v>121</v>
      </c>
      <c r="C632" s="3">
        <v>4</v>
      </c>
      <c r="D632" s="4">
        <v>35836</v>
      </c>
      <c r="E632" s="4">
        <v>35864</v>
      </c>
      <c r="F632" s="4">
        <v>35838</v>
      </c>
      <c r="G632" s="3">
        <v>1</v>
      </c>
      <c r="H632" s="3">
        <v>46.69</v>
      </c>
      <c r="I632" s="3" t="s">
        <v>122</v>
      </c>
      <c r="J632" s="3" t="s">
        <v>123</v>
      </c>
      <c r="K632" s="3" t="s">
        <v>124</v>
      </c>
      <c r="L632" s="3" t="s">
        <v>18</v>
      </c>
      <c r="M632" s="3">
        <v>1307</v>
      </c>
      <c r="N632" s="3" t="s">
        <v>24</v>
      </c>
      <c r="O632" s="2"/>
      <c r="P632" t="str">
        <f t="shared" si="46"/>
        <v>Taucherstraße 10</v>
      </c>
      <c r="Q632" t="str">
        <f t="shared" si="50"/>
        <v>Cunewalde</v>
      </c>
      <c r="R632" t="str">
        <f t="shared" si="47"/>
        <v>NULL</v>
      </c>
      <c r="S632">
        <f t="shared" si="48"/>
        <v>1307</v>
      </c>
      <c r="T632" t="str">
        <f t="shared" si="49"/>
        <v>Germany</v>
      </c>
    </row>
    <row r="633" spans="1:20" x14ac:dyDescent="0.2">
      <c r="A633" s="1">
        <v>10879</v>
      </c>
      <c r="B633" s="3" t="s">
        <v>392</v>
      </c>
      <c r="C633" s="3">
        <v>3</v>
      </c>
      <c r="D633" s="4">
        <v>35836</v>
      </c>
      <c r="E633" s="4">
        <v>35864</v>
      </c>
      <c r="F633" s="4">
        <v>35838</v>
      </c>
      <c r="G633" s="3">
        <v>3</v>
      </c>
      <c r="H633" s="3">
        <v>8.5</v>
      </c>
      <c r="I633" s="3" t="s">
        <v>393</v>
      </c>
      <c r="J633" s="3" t="s">
        <v>394</v>
      </c>
      <c r="K633" s="3" t="s">
        <v>395</v>
      </c>
      <c r="L633" s="3" t="s">
        <v>18</v>
      </c>
      <c r="M633" s="3">
        <v>21240</v>
      </c>
      <c r="N633" s="3" t="s">
        <v>101</v>
      </c>
      <c r="O633" s="2"/>
      <c r="P633" t="str">
        <f t="shared" si="46"/>
        <v>Keskuskatu 45</v>
      </c>
      <c r="Q633" t="str">
        <f t="shared" si="50"/>
        <v>Helsinki</v>
      </c>
      <c r="R633" t="str">
        <f t="shared" si="47"/>
        <v>NULL</v>
      </c>
      <c r="S633">
        <f t="shared" si="48"/>
        <v>21240</v>
      </c>
      <c r="T633" t="str">
        <f t="shared" si="49"/>
        <v>Finland</v>
      </c>
    </row>
    <row r="634" spans="1:20" x14ac:dyDescent="0.2">
      <c r="A634" s="1">
        <v>10880</v>
      </c>
      <c r="B634" s="3" t="s">
        <v>87</v>
      </c>
      <c r="C634" s="3">
        <v>7</v>
      </c>
      <c r="D634" s="4">
        <v>35836</v>
      </c>
      <c r="E634" s="4">
        <v>35878</v>
      </c>
      <c r="F634" s="4">
        <v>35844</v>
      </c>
      <c r="G634" s="3">
        <v>1</v>
      </c>
      <c r="H634" s="3">
        <v>88.01</v>
      </c>
      <c r="I634" s="3" t="s">
        <v>88</v>
      </c>
      <c r="J634" s="3" t="s">
        <v>89</v>
      </c>
      <c r="K634" s="3" t="s">
        <v>90</v>
      </c>
      <c r="L634" s="3" t="s">
        <v>18</v>
      </c>
      <c r="M634" s="3" t="s">
        <v>91</v>
      </c>
      <c r="N634" s="3" t="s">
        <v>92</v>
      </c>
      <c r="O634" s="2"/>
      <c r="P634" t="str">
        <f t="shared" si="46"/>
        <v>Åkergatan 24</v>
      </c>
      <c r="Q634" t="str">
        <f t="shared" si="50"/>
        <v>Bräcke</v>
      </c>
      <c r="R634" t="str">
        <f t="shared" si="47"/>
        <v>NULL</v>
      </c>
      <c r="S634" t="str">
        <f t="shared" si="48"/>
        <v>S-844 67</v>
      </c>
      <c r="T634" t="str">
        <f t="shared" si="49"/>
        <v>Sweden</v>
      </c>
    </row>
    <row r="635" spans="1:20" x14ac:dyDescent="0.2">
      <c r="A635" s="1">
        <v>10881</v>
      </c>
      <c r="B635" s="3" t="s">
        <v>371</v>
      </c>
      <c r="C635" s="3">
        <v>4</v>
      </c>
      <c r="D635" s="4">
        <v>35837</v>
      </c>
      <c r="E635" s="4">
        <v>35865</v>
      </c>
      <c r="F635" s="4">
        <v>35844</v>
      </c>
      <c r="G635" s="3">
        <v>1</v>
      </c>
      <c r="H635" s="3">
        <v>2.84</v>
      </c>
      <c r="I635" s="3" t="s">
        <v>372</v>
      </c>
      <c r="J635" s="3" t="s">
        <v>373</v>
      </c>
      <c r="K635" s="3" t="s">
        <v>336</v>
      </c>
      <c r="L635" s="3" t="s">
        <v>18</v>
      </c>
      <c r="M635" s="3">
        <v>1010</v>
      </c>
      <c r="N635" s="3" t="s">
        <v>337</v>
      </c>
      <c r="O635" s="2"/>
      <c r="P635" t="str">
        <f t="shared" si="46"/>
        <v>Cerrito 333</v>
      </c>
      <c r="Q635" t="str">
        <f t="shared" si="50"/>
        <v>Buenos Aires</v>
      </c>
      <c r="R635" t="str">
        <f t="shared" si="47"/>
        <v>NULL</v>
      </c>
      <c r="S635">
        <f t="shared" si="48"/>
        <v>1010</v>
      </c>
      <c r="T635" t="str">
        <f t="shared" si="49"/>
        <v>Argentina</v>
      </c>
    </row>
    <row r="636" spans="1:20" x14ac:dyDescent="0.2">
      <c r="A636" s="1">
        <v>10882</v>
      </c>
      <c r="B636" s="3" t="s">
        <v>226</v>
      </c>
      <c r="C636" s="3">
        <v>4</v>
      </c>
      <c r="D636" s="4">
        <v>35837</v>
      </c>
      <c r="E636" s="4">
        <v>35865</v>
      </c>
      <c r="F636" s="4">
        <v>35846</v>
      </c>
      <c r="G636" s="3">
        <v>3</v>
      </c>
      <c r="H636" s="3">
        <v>23.1</v>
      </c>
      <c r="I636" s="3" t="s">
        <v>227</v>
      </c>
      <c r="J636" s="3" t="s">
        <v>228</v>
      </c>
      <c r="K636" s="3" t="s">
        <v>229</v>
      </c>
      <c r="L636" s="3" t="s">
        <v>230</v>
      </c>
      <c r="M636" s="3">
        <v>83720</v>
      </c>
      <c r="N636" s="3" t="s">
        <v>86</v>
      </c>
      <c r="O636" s="2"/>
      <c r="P636" t="str">
        <f t="shared" si="46"/>
        <v>187 Suffolk Ln.</v>
      </c>
      <c r="Q636" t="str">
        <f t="shared" si="50"/>
        <v>Boise</v>
      </c>
      <c r="R636" t="str">
        <f t="shared" si="47"/>
        <v>ID</v>
      </c>
      <c r="S636">
        <f t="shared" si="48"/>
        <v>83720</v>
      </c>
      <c r="T636" t="str">
        <f t="shared" si="49"/>
        <v>USA</v>
      </c>
    </row>
    <row r="637" spans="1:20" x14ac:dyDescent="0.2">
      <c r="A637" s="1">
        <v>10883</v>
      </c>
      <c r="B637" s="3" t="s">
        <v>198</v>
      </c>
      <c r="C637" s="3">
        <v>8</v>
      </c>
      <c r="D637" s="4">
        <v>35838</v>
      </c>
      <c r="E637" s="4">
        <v>35866</v>
      </c>
      <c r="F637" s="4">
        <v>35846</v>
      </c>
      <c r="G637" s="3">
        <v>3</v>
      </c>
      <c r="H637" s="3">
        <v>0.53</v>
      </c>
      <c r="I637" s="3" t="s">
        <v>199</v>
      </c>
      <c r="J637" s="3" t="s">
        <v>200</v>
      </c>
      <c r="K637" s="3" t="s">
        <v>201</v>
      </c>
      <c r="L637" s="3" t="s">
        <v>202</v>
      </c>
      <c r="M637" s="3">
        <v>97219</v>
      </c>
      <c r="N637" s="3" t="s">
        <v>86</v>
      </c>
      <c r="O637" s="2"/>
      <c r="P637" t="str">
        <f t="shared" si="46"/>
        <v>89 Chiaroscuro Rd.</v>
      </c>
      <c r="Q637" t="str">
        <f t="shared" si="50"/>
        <v>Portland</v>
      </c>
      <c r="R637" t="str">
        <f t="shared" si="47"/>
        <v>OR</v>
      </c>
      <c r="S637">
        <f t="shared" si="48"/>
        <v>97219</v>
      </c>
      <c r="T637" t="str">
        <f t="shared" si="49"/>
        <v>USA</v>
      </c>
    </row>
    <row r="638" spans="1:20" x14ac:dyDescent="0.2">
      <c r="A638" s="1">
        <v>10884</v>
      </c>
      <c r="B638" s="3" t="s">
        <v>387</v>
      </c>
      <c r="C638" s="3">
        <v>4</v>
      </c>
      <c r="D638" s="4">
        <v>35838</v>
      </c>
      <c r="E638" s="4">
        <v>35866</v>
      </c>
      <c r="F638" s="4">
        <v>35839</v>
      </c>
      <c r="G638" s="3">
        <v>2</v>
      </c>
      <c r="H638" s="3">
        <v>90.97</v>
      </c>
      <c r="I638" s="3" t="s">
        <v>388</v>
      </c>
      <c r="J638" s="3" t="s">
        <v>389</v>
      </c>
      <c r="K638" s="3" t="s">
        <v>390</v>
      </c>
      <c r="L638" s="3" t="s">
        <v>391</v>
      </c>
      <c r="M638" s="3">
        <v>94117</v>
      </c>
      <c r="N638" s="3" t="s">
        <v>86</v>
      </c>
      <c r="O638" s="2"/>
      <c r="P638" t="str">
        <f t="shared" si="46"/>
        <v>87 Polk St. Suite 5</v>
      </c>
      <c r="Q638" t="str">
        <f t="shared" si="50"/>
        <v>San Francisco</v>
      </c>
      <c r="R638" t="str">
        <f t="shared" si="47"/>
        <v>CA</v>
      </c>
      <c r="S638">
        <f t="shared" si="48"/>
        <v>94117</v>
      </c>
      <c r="T638" t="str">
        <f t="shared" si="49"/>
        <v>USA</v>
      </c>
    </row>
    <row r="639" spans="1:20" x14ac:dyDescent="0.2">
      <c r="A639" s="1">
        <v>10885</v>
      </c>
      <c r="B639" s="3" t="s">
        <v>36</v>
      </c>
      <c r="C639" s="3">
        <v>6</v>
      </c>
      <c r="D639" s="4">
        <v>35838</v>
      </c>
      <c r="E639" s="4">
        <v>35866</v>
      </c>
      <c r="F639" s="4">
        <v>35844</v>
      </c>
      <c r="G639" s="3">
        <v>3</v>
      </c>
      <c r="H639" s="3">
        <v>5.64</v>
      </c>
      <c r="I639" s="3" t="s">
        <v>37</v>
      </c>
      <c r="J639" s="3" t="s">
        <v>38</v>
      </c>
      <c r="K639" s="3">
        <v>255</v>
      </c>
      <c r="L639" s="3" t="s">
        <v>39</v>
      </c>
      <c r="M639" s="3" t="s">
        <v>18</v>
      </c>
      <c r="N639" s="3" t="s">
        <v>40</v>
      </c>
      <c r="O639" s="3" t="s">
        <v>41</v>
      </c>
      <c r="P639" t="str">
        <f t="shared" si="46"/>
        <v>Boulevard Tirou 255</v>
      </c>
      <c r="Q639" t="str">
        <f t="shared" si="50"/>
        <v>Charleroi</v>
      </c>
      <c r="R639" t="str">
        <f t="shared" si="47"/>
        <v>NULL</v>
      </c>
      <c r="S639" t="str">
        <f t="shared" si="48"/>
        <v>B-6000</v>
      </c>
      <c r="T639" t="str">
        <f t="shared" si="49"/>
        <v>Belgium</v>
      </c>
    </row>
    <row r="640" spans="1:20" x14ac:dyDescent="0.2">
      <c r="A640" s="1">
        <v>10886</v>
      </c>
      <c r="B640" s="3" t="s">
        <v>25</v>
      </c>
      <c r="C640" s="3">
        <v>1</v>
      </c>
      <c r="D640" s="4">
        <v>35839</v>
      </c>
      <c r="E640" s="4">
        <v>35867</v>
      </c>
      <c r="F640" s="4">
        <v>35856</v>
      </c>
      <c r="G640" s="3">
        <v>1</v>
      </c>
      <c r="H640" s="3">
        <v>4.99</v>
      </c>
      <c r="I640" s="3" t="s">
        <v>26</v>
      </c>
      <c r="J640" s="3" t="s">
        <v>27</v>
      </c>
      <c r="K640" s="3">
        <v>67</v>
      </c>
      <c r="L640" s="3" t="s">
        <v>28</v>
      </c>
      <c r="M640" s="3" t="s">
        <v>29</v>
      </c>
      <c r="N640" s="3" t="s">
        <v>30</v>
      </c>
      <c r="O640" s="3" t="s">
        <v>31</v>
      </c>
      <c r="P640" t="str">
        <f t="shared" si="46"/>
        <v>Rua do Paço 67</v>
      </c>
      <c r="Q640" t="str">
        <f t="shared" si="50"/>
        <v>Rio de Janeiro</v>
      </c>
      <c r="R640" t="str">
        <f t="shared" si="47"/>
        <v>RJ</v>
      </c>
      <c r="S640" t="str">
        <f t="shared" si="48"/>
        <v>05454-876</v>
      </c>
      <c r="T640" t="str">
        <f t="shared" si="49"/>
        <v>Brazil</v>
      </c>
    </row>
    <row r="641" spans="1:20" x14ac:dyDescent="0.2">
      <c r="A641" s="1">
        <v>10887</v>
      </c>
      <c r="B641" s="3" t="s">
        <v>291</v>
      </c>
      <c r="C641" s="3">
        <v>8</v>
      </c>
      <c r="D641" s="4">
        <v>35839</v>
      </c>
      <c r="E641" s="4">
        <v>35867</v>
      </c>
      <c r="F641" s="4">
        <v>35842</v>
      </c>
      <c r="G641" s="3">
        <v>3</v>
      </c>
      <c r="H641" s="3">
        <v>1.25</v>
      </c>
      <c r="I641" s="3" t="s">
        <v>292</v>
      </c>
      <c r="J641" s="3" t="s">
        <v>293</v>
      </c>
      <c r="K641" s="3">
        <v>23</v>
      </c>
      <c r="L641" s="3" t="s">
        <v>294</v>
      </c>
      <c r="M641" s="3" t="s">
        <v>18</v>
      </c>
      <c r="N641" s="3">
        <v>8022</v>
      </c>
      <c r="O641" s="3" t="s">
        <v>150</v>
      </c>
      <c r="P641" t="str">
        <f t="shared" si="46"/>
        <v>Rambla de Cataluña 23</v>
      </c>
      <c r="Q641" t="str">
        <f t="shared" si="50"/>
        <v>Barcelona</v>
      </c>
      <c r="R641" t="str">
        <f t="shared" si="47"/>
        <v>NULL</v>
      </c>
      <c r="S641">
        <f t="shared" si="48"/>
        <v>8022</v>
      </c>
      <c r="T641" t="str">
        <f t="shared" si="49"/>
        <v>Spain</v>
      </c>
    </row>
    <row r="642" spans="1:20" x14ac:dyDescent="0.2">
      <c r="A642" s="1">
        <v>10888</v>
      </c>
      <c r="B642" s="3" t="s">
        <v>189</v>
      </c>
      <c r="C642" s="3">
        <v>1</v>
      </c>
      <c r="D642" s="4">
        <v>35842</v>
      </c>
      <c r="E642" s="4">
        <v>35870</v>
      </c>
      <c r="F642" s="4">
        <v>35849</v>
      </c>
      <c r="G642" s="3">
        <v>2</v>
      </c>
      <c r="H642" s="3">
        <v>51.87</v>
      </c>
      <c r="I642" s="3" t="s">
        <v>190</v>
      </c>
      <c r="J642" s="3" t="s">
        <v>191</v>
      </c>
      <c r="K642" s="3">
        <v>33</v>
      </c>
      <c r="L642" s="3" t="s">
        <v>192</v>
      </c>
      <c r="M642" s="3" t="s">
        <v>18</v>
      </c>
      <c r="N642" s="3">
        <v>41101</v>
      </c>
      <c r="O642" s="3" t="s">
        <v>150</v>
      </c>
      <c r="P642" t="str">
        <f t="shared" ref="P642:P705" si="51">IF(O642&lt;&gt;"",J642&amp;" "&amp;K642,J642)</f>
        <v>C/ Romero 33</v>
      </c>
      <c r="Q642" t="str">
        <f t="shared" si="50"/>
        <v>Sevilla</v>
      </c>
      <c r="R642" t="str">
        <f t="shared" si="47"/>
        <v>NULL</v>
      </c>
      <c r="S642">
        <f t="shared" si="48"/>
        <v>41101</v>
      </c>
      <c r="T642" t="str">
        <f t="shared" si="49"/>
        <v>Spain</v>
      </c>
    </row>
    <row r="643" spans="1:20" x14ac:dyDescent="0.2">
      <c r="A643" s="1">
        <v>10889</v>
      </c>
      <c r="B643" s="3" t="s">
        <v>81</v>
      </c>
      <c r="C643" s="3">
        <v>9</v>
      </c>
      <c r="D643" s="4">
        <v>35842</v>
      </c>
      <c r="E643" s="4">
        <v>35870</v>
      </c>
      <c r="F643" s="4">
        <v>35849</v>
      </c>
      <c r="G643" s="3">
        <v>3</v>
      </c>
      <c r="H643" s="3">
        <v>280.61</v>
      </c>
      <c r="I643" s="3" t="s">
        <v>82</v>
      </c>
      <c r="J643" s="3" t="s">
        <v>83</v>
      </c>
      <c r="K643" s="3" t="s">
        <v>84</v>
      </c>
      <c r="L643" s="3" t="s">
        <v>85</v>
      </c>
      <c r="M643" s="3">
        <v>87110</v>
      </c>
      <c r="N643" s="3" t="s">
        <v>86</v>
      </c>
      <c r="O643" s="2"/>
      <c r="P643" t="str">
        <f t="shared" si="51"/>
        <v>2817 Milton Dr.</v>
      </c>
      <c r="Q643" t="str">
        <f t="shared" si="50"/>
        <v>Albuquerque</v>
      </c>
      <c r="R643" t="str">
        <f t="shared" ref="R643:R706" si="52">IF(O643&lt;&gt;"",M643,L643)</f>
        <v>NM</v>
      </c>
      <c r="S643">
        <f t="shared" ref="S643:S706" si="53">IF(O643&lt;&gt;"",N643,M643)</f>
        <v>87110</v>
      </c>
      <c r="T643" t="str">
        <f t="shared" ref="T643:T706" si="54">IF(O643&lt;&gt;"",O643,N643)</f>
        <v>USA</v>
      </c>
    </row>
    <row r="644" spans="1:20" x14ac:dyDescent="0.2">
      <c r="A644" s="1">
        <v>10890</v>
      </c>
      <c r="B644" s="3" t="s">
        <v>209</v>
      </c>
      <c r="C644" s="3">
        <v>7</v>
      </c>
      <c r="D644" s="4">
        <v>35842</v>
      </c>
      <c r="E644" s="4">
        <v>35870</v>
      </c>
      <c r="F644" s="4">
        <v>35844</v>
      </c>
      <c r="G644" s="3">
        <v>1</v>
      </c>
      <c r="H644" s="3">
        <v>32.76</v>
      </c>
      <c r="I644" s="3" t="s">
        <v>210</v>
      </c>
      <c r="J644" s="3">
        <v>67</v>
      </c>
      <c r="K644" s="3" t="s">
        <v>211</v>
      </c>
      <c r="L644" s="3" t="s">
        <v>212</v>
      </c>
      <c r="M644" s="3" t="s">
        <v>18</v>
      </c>
      <c r="N644" s="3">
        <v>44000</v>
      </c>
      <c r="O644" s="3" t="s">
        <v>19</v>
      </c>
      <c r="P644" t="str">
        <f t="shared" si="51"/>
        <v>67  rue des Cinquante Otages</v>
      </c>
      <c r="Q644" t="str">
        <f t="shared" si="50"/>
        <v>Nantes</v>
      </c>
      <c r="R644" t="str">
        <f t="shared" si="52"/>
        <v>NULL</v>
      </c>
      <c r="S644">
        <f t="shared" si="53"/>
        <v>44000</v>
      </c>
      <c r="T644" t="str">
        <f t="shared" si="54"/>
        <v>France</v>
      </c>
    </row>
    <row r="645" spans="1:20" x14ac:dyDescent="0.2">
      <c r="A645" s="1">
        <v>10891</v>
      </c>
      <c r="B645" s="3" t="s">
        <v>142</v>
      </c>
      <c r="C645" s="3">
        <v>7</v>
      </c>
      <c r="D645" s="4">
        <v>35843</v>
      </c>
      <c r="E645" s="4">
        <v>35871</v>
      </c>
      <c r="F645" s="4">
        <v>35845</v>
      </c>
      <c r="G645" s="3">
        <v>2</v>
      </c>
      <c r="H645" s="3">
        <v>20.37</v>
      </c>
      <c r="I645" s="3" t="s">
        <v>143</v>
      </c>
      <c r="J645" s="3" t="s">
        <v>144</v>
      </c>
      <c r="K645" s="3" t="s">
        <v>145</v>
      </c>
      <c r="L645" s="3" t="s">
        <v>18</v>
      </c>
      <c r="M645" s="3">
        <v>60528</v>
      </c>
      <c r="N645" s="3" t="s">
        <v>24</v>
      </c>
      <c r="O645" s="2"/>
      <c r="P645" t="str">
        <f t="shared" si="51"/>
        <v>Magazinweg 7</v>
      </c>
      <c r="Q645" t="str">
        <f t="shared" si="50"/>
        <v>Frankfurt a.M.</v>
      </c>
      <c r="R645" t="str">
        <f t="shared" si="52"/>
        <v>NULL</v>
      </c>
      <c r="S645">
        <f t="shared" si="53"/>
        <v>60528</v>
      </c>
      <c r="T645" t="str">
        <f t="shared" si="54"/>
        <v>Germany</v>
      </c>
    </row>
    <row r="646" spans="1:20" x14ac:dyDescent="0.2">
      <c r="A646" s="1">
        <v>10892</v>
      </c>
      <c r="B646" s="3" t="s">
        <v>378</v>
      </c>
      <c r="C646" s="3">
        <v>4</v>
      </c>
      <c r="D646" s="4">
        <v>35843</v>
      </c>
      <c r="E646" s="4">
        <v>35871</v>
      </c>
      <c r="F646" s="4">
        <v>35845</v>
      </c>
      <c r="G646" s="3">
        <v>2</v>
      </c>
      <c r="H646" s="3">
        <v>120.27</v>
      </c>
      <c r="I646" s="3" t="s">
        <v>379</v>
      </c>
      <c r="J646" s="3" t="s">
        <v>380</v>
      </c>
      <c r="K646" s="3" t="s">
        <v>381</v>
      </c>
      <c r="L646" s="3" t="s">
        <v>18</v>
      </c>
      <c r="M646" s="3" t="s">
        <v>382</v>
      </c>
      <c r="N646" s="3" t="s">
        <v>41</v>
      </c>
      <c r="O646" s="2"/>
      <c r="P646" t="str">
        <f t="shared" si="51"/>
        <v>Rue Joseph-Bens 532</v>
      </c>
      <c r="Q646" t="str">
        <f t="shared" si="50"/>
        <v>Bruxelles</v>
      </c>
      <c r="R646" t="str">
        <f t="shared" si="52"/>
        <v>NULL</v>
      </c>
      <c r="S646" t="str">
        <f t="shared" si="53"/>
        <v>B-1180</v>
      </c>
      <c r="T646" t="str">
        <f t="shared" si="54"/>
        <v>Belgium</v>
      </c>
    </row>
    <row r="647" spans="1:20" x14ac:dyDescent="0.2">
      <c r="A647" s="1">
        <v>10893</v>
      </c>
      <c r="B647" s="3" t="s">
        <v>222</v>
      </c>
      <c r="C647" s="3">
        <v>9</v>
      </c>
      <c r="D647" s="4">
        <v>35844</v>
      </c>
      <c r="E647" s="4">
        <v>35872</v>
      </c>
      <c r="F647" s="4">
        <v>35846</v>
      </c>
      <c r="G647" s="3">
        <v>2</v>
      </c>
      <c r="H647" s="3">
        <v>77.78</v>
      </c>
      <c r="I647" s="3" t="s">
        <v>223</v>
      </c>
      <c r="J647" s="3" t="s">
        <v>224</v>
      </c>
      <c r="K647" s="3" t="s">
        <v>225</v>
      </c>
      <c r="L647" s="3" t="s">
        <v>18</v>
      </c>
      <c r="M647" s="3">
        <v>14776</v>
      </c>
      <c r="N647" s="3" t="s">
        <v>24</v>
      </c>
      <c r="O647" s="2"/>
      <c r="P647" t="str">
        <f t="shared" si="51"/>
        <v>Maubelstr. 90</v>
      </c>
      <c r="Q647" t="str">
        <f t="shared" ref="Q647:Q710" si="55">IF(O647&lt;&gt;"",L647,K647)</f>
        <v>Brandenburg</v>
      </c>
      <c r="R647" t="str">
        <f t="shared" si="52"/>
        <v>NULL</v>
      </c>
      <c r="S647">
        <f t="shared" si="53"/>
        <v>14776</v>
      </c>
      <c r="T647" t="str">
        <f t="shared" si="54"/>
        <v>Germany</v>
      </c>
    </row>
    <row r="648" spans="1:20" x14ac:dyDescent="0.2">
      <c r="A648" s="1">
        <v>10894</v>
      </c>
      <c r="B648" s="3" t="s">
        <v>226</v>
      </c>
      <c r="C648" s="3">
        <v>1</v>
      </c>
      <c r="D648" s="4">
        <v>35844</v>
      </c>
      <c r="E648" s="4">
        <v>35872</v>
      </c>
      <c r="F648" s="4">
        <v>35846</v>
      </c>
      <c r="G648" s="3">
        <v>1</v>
      </c>
      <c r="H648" s="3">
        <v>116.13</v>
      </c>
      <c r="I648" s="3" t="s">
        <v>227</v>
      </c>
      <c r="J648" s="3" t="s">
        <v>228</v>
      </c>
      <c r="K648" s="3" t="s">
        <v>229</v>
      </c>
      <c r="L648" s="3" t="s">
        <v>230</v>
      </c>
      <c r="M648" s="3">
        <v>83720</v>
      </c>
      <c r="N648" s="3" t="s">
        <v>86</v>
      </c>
      <c r="O648" s="2"/>
      <c r="P648" t="str">
        <f t="shared" si="51"/>
        <v>187 Suffolk Ln.</v>
      </c>
      <c r="Q648" t="str">
        <f t="shared" si="55"/>
        <v>Boise</v>
      </c>
      <c r="R648" t="str">
        <f t="shared" si="52"/>
        <v>ID</v>
      </c>
      <c r="S648">
        <f t="shared" si="53"/>
        <v>83720</v>
      </c>
      <c r="T648" t="str">
        <f t="shared" si="54"/>
        <v>USA</v>
      </c>
    </row>
    <row r="649" spans="1:20" x14ac:dyDescent="0.2">
      <c r="A649" s="1">
        <v>10895</v>
      </c>
      <c r="B649" s="3" t="s">
        <v>63</v>
      </c>
      <c r="C649" s="3">
        <v>3</v>
      </c>
      <c r="D649" s="4">
        <v>35844</v>
      </c>
      <c r="E649" s="4">
        <v>35872</v>
      </c>
      <c r="F649" s="4">
        <v>35849</v>
      </c>
      <c r="G649" s="3">
        <v>1</v>
      </c>
      <c r="H649" s="3">
        <v>162.75</v>
      </c>
      <c r="I649" s="3" t="s">
        <v>64</v>
      </c>
      <c r="J649" s="3" t="s">
        <v>65</v>
      </c>
      <c r="K649" s="3" t="s">
        <v>66</v>
      </c>
      <c r="L649" s="3" t="s">
        <v>18</v>
      </c>
      <c r="M649" s="3">
        <v>8010</v>
      </c>
      <c r="N649" s="3" t="s">
        <v>67</v>
      </c>
      <c r="O649" s="2"/>
      <c r="P649" t="str">
        <f t="shared" si="51"/>
        <v>Kirchgasse 6</v>
      </c>
      <c r="Q649" t="str">
        <f t="shared" si="55"/>
        <v>Graz</v>
      </c>
      <c r="R649" t="str">
        <f t="shared" si="52"/>
        <v>NULL</v>
      </c>
      <c r="S649">
        <f t="shared" si="53"/>
        <v>8010</v>
      </c>
      <c r="T649" t="str">
        <f t="shared" si="54"/>
        <v>Austria</v>
      </c>
    </row>
    <row r="650" spans="1:20" x14ac:dyDescent="0.2">
      <c r="A650" s="1">
        <v>10896</v>
      </c>
      <c r="B650" s="3" t="s">
        <v>378</v>
      </c>
      <c r="C650" s="3">
        <v>7</v>
      </c>
      <c r="D650" s="4">
        <v>35845</v>
      </c>
      <c r="E650" s="4">
        <v>35873</v>
      </c>
      <c r="F650" s="4">
        <v>35853</v>
      </c>
      <c r="G650" s="3">
        <v>3</v>
      </c>
      <c r="H650" s="3">
        <v>32.450000000000003</v>
      </c>
      <c r="I650" s="3" t="s">
        <v>379</v>
      </c>
      <c r="J650" s="3" t="s">
        <v>380</v>
      </c>
      <c r="K650" s="3" t="s">
        <v>381</v>
      </c>
      <c r="L650" s="3" t="s">
        <v>18</v>
      </c>
      <c r="M650" s="3" t="s">
        <v>382</v>
      </c>
      <c r="N650" s="3" t="s">
        <v>41</v>
      </c>
      <c r="O650" s="2"/>
      <c r="P650" t="str">
        <f t="shared" si="51"/>
        <v>Rue Joseph-Bens 532</v>
      </c>
      <c r="Q650" t="str">
        <f t="shared" si="55"/>
        <v>Bruxelles</v>
      </c>
      <c r="R650" t="str">
        <f t="shared" si="52"/>
        <v>NULL</v>
      </c>
      <c r="S650" t="str">
        <f t="shared" si="53"/>
        <v>B-1180</v>
      </c>
      <c r="T650" t="str">
        <f t="shared" si="54"/>
        <v>Belgium</v>
      </c>
    </row>
    <row r="651" spans="1:20" x14ac:dyDescent="0.2">
      <c r="A651" s="1">
        <v>10897</v>
      </c>
      <c r="B651" s="3" t="s">
        <v>179</v>
      </c>
      <c r="C651" s="3">
        <v>3</v>
      </c>
      <c r="D651" s="4">
        <v>35845</v>
      </c>
      <c r="E651" s="4">
        <v>35873</v>
      </c>
      <c r="F651" s="4">
        <v>35851</v>
      </c>
      <c r="G651" s="3">
        <v>2</v>
      </c>
      <c r="H651" s="3">
        <v>603.54</v>
      </c>
      <c r="I651" s="3" t="s">
        <v>180</v>
      </c>
      <c r="J651" s="3" t="s">
        <v>181</v>
      </c>
      <c r="K651" s="3" t="s">
        <v>182</v>
      </c>
      <c r="L651" s="3" t="s">
        <v>183</v>
      </c>
      <c r="M651" s="3" t="s">
        <v>18</v>
      </c>
      <c r="N651" s="3" t="s">
        <v>184</v>
      </c>
      <c r="O651" s="2"/>
      <c r="P651" t="str">
        <f t="shared" si="51"/>
        <v>8 Johnstown Road</v>
      </c>
      <c r="Q651" t="str">
        <f t="shared" si="55"/>
        <v>Cork</v>
      </c>
      <c r="R651" t="str">
        <f t="shared" si="52"/>
        <v>Co. Cork</v>
      </c>
      <c r="S651" t="str">
        <f t="shared" si="53"/>
        <v>NULL</v>
      </c>
      <c r="T651" t="str">
        <f t="shared" si="54"/>
        <v>Ireland</v>
      </c>
    </row>
    <row r="652" spans="1:20" x14ac:dyDescent="0.2">
      <c r="A652" s="1">
        <v>10898</v>
      </c>
      <c r="B652" s="3" t="s">
        <v>333</v>
      </c>
      <c r="C652" s="3">
        <v>4</v>
      </c>
      <c r="D652" s="4">
        <v>35846</v>
      </c>
      <c r="E652" s="4">
        <v>35874</v>
      </c>
      <c r="F652" s="4">
        <v>35860</v>
      </c>
      <c r="G652" s="3">
        <v>2</v>
      </c>
      <c r="H652" s="3">
        <v>1.27</v>
      </c>
      <c r="I652" s="3" t="s">
        <v>334</v>
      </c>
      <c r="J652" s="3" t="s">
        <v>335</v>
      </c>
      <c r="K652" s="3" t="s">
        <v>336</v>
      </c>
      <c r="L652" s="3" t="s">
        <v>18</v>
      </c>
      <c r="M652" s="3">
        <v>1010</v>
      </c>
      <c r="N652" s="3" t="s">
        <v>337</v>
      </c>
      <c r="O652" s="2"/>
      <c r="P652" t="str">
        <f t="shared" si="51"/>
        <v>Ing. Gustavo Moncada 8585 Piso 20-A</v>
      </c>
      <c r="Q652" t="str">
        <f t="shared" si="55"/>
        <v>Buenos Aires</v>
      </c>
      <c r="R652" t="str">
        <f t="shared" si="52"/>
        <v>NULL</v>
      </c>
      <c r="S652">
        <f t="shared" si="53"/>
        <v>1010</v>
      </c>
      <c r="T652" t="str">
        <f t="shared" si="54"/>
        <v>Argentina</v>
      </c>
    </row>
    <row r="653" spans="1:20" x14ac:dyDescent="0.2">
      <c r="A653" s="1">
        <v>10899</v>
      </c>
      <c r="B653" s="3" t="s">
        <v>151</v>
      </c>
      <c r="C653" s="3">
        <v>5</v>
      </c>
      <c r="D653" s="4">
        <v>35846</v>
      </c>
      <c r="E653" s="4">
        <v>35874</v>
      </c>
      <c r="F653" s="4">
        <v>35852</v>
      </c>
      <c r="G653" s="3">
        <v>3</v>
      </c>
      <c r="H653" s="3">
        <v>1.21</v>
      </c>
      <c r="I653" s="3" t="s">
        <v>152</v>
      </c>
      <c r="J653" s="3" t="s">
        <v>153</v>
      </c>
      <c r="K653" s="3" t="s">
        <v>154</v>
      </c>
      <c r="L653" s="3" t="s">
        <v>155</v>
      </c>
      <c r="M653" s="3">
        <v>3508</v>
      </c>
      <c r="N653" s="3" t="s">
        <v>62</v>
      </c>
      <c r="O653" s="2"/>
      <c r="P653" t="str">
        <f t="shared" si="51"/>
        <v>Carrera 52 con Ave. Bolívar #65-98 Llano Largo</v>
      </c>
      <c r="Q653" t="str">
        <f t="shared" si="55"/>
        <v>Barquisimeto</v>
      </c>
      <c r="R653" t="str">
        <f t="shared" si="52"/>
        <v>Lara</v>
      </c>
      <c r="S653">
        <f t="shared" si="53"/>
        <v>3508</v>
      </c>
      <c r="T653" t="str">
        <f t="shared" si="54"/>
        <v>Venezuela</v>
      </c>
    </row>
    <row r="654" spans="1:20" x14ac:dyDescent="0.2">
      <c r="A654" s="1">
        <v>10900</v>
      </c>
      <c r="B654" s="3" t="s">
        <v>51</v>
      </c>
      <c r="C654" s="3">
        <v>1</v>
      </c>
      <c r="D654" s="4">
        <v>35846</v>
      </c>
      <c r="E654" s="4">
        <v>35874</v>
      </c>
      <c r="F654" s="4">
        <v>35858</v>
      </c>
      <c r="G654" s="3">
        <v>2</v>
      </c>
      <c r="H654" s="3">
        <v>1.66</v>
      </c>
      <c r="I654" s="3" t="s">
        <v>52</v>
      </c>
      <c r="J654" s="3" t="s">
        <v>53</v>
      </c>
      <c r="K654" s="3">
        <v>12</v>
      </c>
      <c r="L654" s="3" t="s">
        <v>54</v>
      </c>
      <c r="M654" s="3" t="s">
        <v>55</v>
      </c>
      <c r="N654" s="3" t="s">
        <v>56</v>
      </c>
      <c r="O654" s="3" t="s">
        <v>31</v>
      </c>
      <c r="P654" t="str">
        <f t="shared" si="51"/>
        <v>Rua do Mercado 12</v>
      </c>
      <c r="Q654" t="str">
        <f t="shared" si="55"/>
        <v>Resende</v>
      </c>
      <c r="R654" t="str">
        <f t="shared" si="52"/>
        <v>SP</v>
      </c>
      <c r="S654" t="str">
        <f t="shared" si="53"/>
        <v>08737-363</v>
      </c>
      <c r="T654" t="str">
        <f t="shared" si="54"/>
        <v>Brazil</v>
      </c>
    </row>
    <row r="655" spans="1:20" x14ac:dyDescent="0.2">
      <c r="A655" s="1">
        <v>10901</v>
      </c>
      <c r="B655" s="3" t="s">
        <v>57</v>
      </c>
      <c r="C655" s="3">
        <v>4</v>
      </c>
      <c r="D655" s="4">
        <v>35849</v>
      </c>
      <c r="E655" s="4">
        <v>35877</v>
      </c>
      <c r="F655" s="4">
        <v>35852</v>
      </c>
      <c r="G655" s="3">
        <v>1</v>
      </c>
      <c r="H655" s="3">
        <v>62.09</v>
      </c>
      <c r="I655" s="3" t="s">
        <v>58</v>
      </c>
      <c r="J655" s="3" t="s">
        <v>59</v>
      </c>
      <c r="K655" s="3" t="s">
        <v>60</v>
      </c>
      <c r="L655" s="3" t="s">
        <v>61</v>
      </c>
      <c r="M655" s="3">
        <v>5022</v>
      </c>
      <c r="N655" s="3" t="s">
        <v>62</v>
      </c>
      <c r="O655" s="2"/>
      <c r="P655" t="str">
        <f t="shared" si="51"/>
        <v>Carrera 22 con Ave. Carlos Soublette #8-35</v>
      </c>
      <c r="Q655" t="str">
        <f t="shared" si="55"/>
        <v>San Cristóbal</v>
      </c>
      <c r="R655" t="str">
        <f t="shared" si="52"/>
        <v>Táchira</v>
      </c>
      <c r="S655">
        <f t="shared" si="53"/>
        <v>5022</v>
      </c>
      <c r="T655" t="str">
        <f t="shared" si="54"/>
        <v>Venezuela</v>
      </c>
    </row>
    <row r="656" spans="1:20" x14ac:dyDescent="0.2">
      <c r="A656" s="1">
        <v>10902</v>
      </c>
      <c r="B656" s="3" t="s">
        <v>87</v>
      </c>
      <c r="C656" s="3">
        <v>1</v>
      </c>
      <c r="D656" s="4">
        <v>35849</v>
      </c>
      <c r="E656" s="4">
        <v>35877</v>
      </c>
      <c r="F656" s="4">
        <v>35857</v>
      </c>
      <c r="G656" s="3">
        <v>1</v>
      </c>
      <c r="H656" s="3">
        <v>44.15</v>
      </c>
      <c r="I656" s="3" t="s">
        <v>88</v>
      </c>
      <c r="J656" s="3" t="s">
        <v>89</v>
      </c>
      <c r="K656" s="3" t="s">
        <v>90</v>
      </c>
      <c r="L656" s="3" t="s">
        <v>18</v>
      </c>
      <c r="M656" s="3" t="s">
        <v>91</v>
      </c>
      <c r="N656" s="3" t="s">
        <v>92</v>
      </c>
      <c r="O656" s="2"/>
      <c r="P656" t="str">
        <f t="shared" si="51"/>
        <v>Åkergatan 24</v>
      </c>
      <c r="Q656" t="str">
        <f t="shared" si="55"/>
        <v>Bräcke</v>
      </c>
      <c r="R656" t="str">
        <f t="shared" si="52"/>
        <v>NULL</v>
      </c>
      <c r="S656" t="str">
        <f t="shared" si="53"/>
        <v>S-844 67</v>
      </c>
      <c r="T656" t="str">
        <f t="shared" si="54"/>
        <v>Sweden</v>
      </c>
    </row>
    <row r="657" spans="1:20" x14ac:dyDescent="0.2">
      <c r="A657" s="1">
        <v>10903</v>
      </c>
      <c r="B657" s="3" t="s">
        <v>25</v>
      </c>
      <c r="C657" s="3">
        <v>3</v>
      </c>
      <c r="D657" s="4">
        <v>35850</v>
      </c>
      <c r="E657" s="4">
        <v>35878</v>
      </c>
      <c r="F657" s="4">
        <v>35858</v>
      </c>
      <c r="G657" s="3">
        <v>3</v>
      </c>
      <c r="H657" s="3">
        <v>36.71</v>
      </c>
      <c r="I657" s="3" t="s">
        <v>26</v>
      </c>
      <c r="J657" s="3" t="s">
        <v>27</v>
      </c>
      <c r="K657" s="3">
        <v>67</v>
      </c>
      <c r="L657" s="3" t="s">
        <v>28</v>
      </c>
      <c r="M657" s="3" t="s">
        <v>29</v>
      </c>
      <c r="N657" s="3" t="s">
        <v>30</v>
      </c>
      <c r="O657" s="3" t="s">
        <v>31</v>
      </c>
      <c r="P657" t="str">
        <f t="shared" si="51"/>
        <v>Rua do Paço 67</v>
      </c>
      <c r="Q657" t="str">
        <f t="shared" si="55"/>
        <v>Rio de Janeiro</v>
      </c>
      <c r="R657" t="str">
        <f t="shared" si="52"/>
        <v>RJ</v>
      </c>
      <c r="S657" t="str">
        <f t="shared" si="53"/>
        <v>05454-876</v>
      </c>
      <c r="T657" t="str">
        <f t="shared" si="54"/>
        <v>Brazil</v>
      </c>
    </row>
    <row r="658" spans="1:20" x14ac:dyDescent="0.2">
      <c r="A658" s="1">
        <v>10904</v>
      </c>
      <c r="B658" s="3" t="s">
        <v>111</v>
      </c>
      <c r="C658" s="3">
        <v>3</v>
      </c>
      <c r="D658" s="4">
        <v>35850</v>
      </c>
      <c r="E658" s="4">
        <v>35878</v>
      </c>
      <c r="F658" s="4">
        <v>35853</v>
      </c>
      <c r="G658" s="3">
        <v>3</v>
      </c>
      <c r="H658" s="3">
        <v>162.94999999999999</v>
      </c>
      <c r="I658" s="3" t="s">
        <v>112</v>
      </c>
      <c r="J658" s="3" t="s">
        <v>113</v>
      </c>
      <c r="K658" s="3" t="s">
        <v>114</v>
      </c>
      <c r="L658" s="3" t="s">
        <v>115</v>
      </c>
      <c r="M658" s="3">
        <v>98124</v>
      </c>
      <c r="N658" s="3" t="s">
        <v>86</v>
      </c>
      <c r="O658" s="2"/>
      <c r="P658" t="str">
        <f t="shared" si="51"/>
        <v>1029 - 12th Ave. S.</v>
      </c>
      <c r="Q658" t="str">
        <f t="shared" si="55"/>
        <v>Seattle</v>
      </c>
      <c r="R658" t="str">
        <f t="shared" si="52"/>
        <v>WA</v>
      </c>
      <c r="S658">
        <f t="shared" si="53"/>
        <v>98124</v>
      </c>
      <c r="T658" t="str">
        <f t="shared" si="54"/>
        <v>USA</v>
      </c>
    </row>
    <row r="659" spans="1:20" x14ac:dyDescent="0.2">
      <c r="A659" s="1">
        <v>10905</v>
      </c>
      <c r="B659" s="3" t="s">
        <v>51</v>
      </c>
      <c r="C659" s="3">
        <v>9</v>
      </c>
      <c r="D659" s="4">
        <v>35850</v>
      </c>
      <c r="E659" s="4">
        <v>35878</v>
      </c>
      <c r="F659" s="4">
        <v>35860</v>
      </c>
      <c r="G659" s="3">
        <v>2</v>
      </c>
      <c r="H659" s="3">
        <v>13.72</v>
      </c>
      <c r="I659" s="3" t="s">
        <v>52</v>
      </c>
      <c r="J659" s="3" t="s">
        <v>53</v>
      </c>
      <c r="K659" s="3">
        <v>12</v>
      </c>
      <c r="L659" s="3" t="s">
        <v>54</v>
      </c>
      <c r="M659" s="3" t="s">
        <v>55</v>
      </c>
      <c r="N659" s="3" t="s">
        <v>56</v>
      </c>
      <c r="O659" s="3" t="s">
        <v>31</v>
      </c>
      <c r="P659" t="str">
        <f t="shared" si="51"/>
        <v>Rua do Mercado 12</v>
      </c>
      <c r="Q659" t="str">
        <f t="shared" si="55"/>
        <v>Resende</v>
      </c>
      <c r="R659" t="str">
        <f t="shared" si="52"/>
        <v>SP</v>
      </c>
      <c r="S659" t="str">
        <f t="shared" si="53"/>
        <v>08737-363</v>
      </c>
      <c r="T659" t="str">
        <f t="shared" si="54"/>
        <v>Brazil</v>
      </c>
    </row>
    <row r="660" spans="1:20" x14ac:dyDescent="0.2">
      <c r="A660" s="1">
        <v>10906</v>
      </c>
      <c r="B660" s="3" t="s">
        <v>303</v>
      </c>
      <c r="C660" s="3">
        <v>4</v>
      </c>
      <c r="D660" s="4">
        <v>35851</v>
      </c>
      <c r="E660" s="4">
        <v>35865</v>
      </c>
      <c r="F660" s="4">
        <v>35857</v>
      </c>
      <c r="G660" s="3">
        <v>3</v>
      </c>
      <c r="H660" s="3">
        <v>26.29</v>
      </c>
      <c r="I660" s="3" t="s">
        <v>304</v>
      </c>
      <c r="J660" s="3" t="s">
        <v>305</v>
      </c>
      <c r="K660" s="3" t="s">
        <v>306</v>
      </c>
      <c r="L660" s="3" t="s">
        <v>18</v>
      </c>
      <c r="M660" s="3" t="s">
        <v>307</v>
      </c>
      <c r="N660" s="3" t="s">
        <v>308</v>
      </c>
      <c r="O660" s="2"/>
      <c r="P660" t="str">
        <f t="shared" si="51"/>
        <v>ul. Filtrowa 68</v>
      </c>
      <c r="Q660" t="str">
        <f t="shared" si="55"/>
        <v>Warszawa</v>
      </c>
      <c r="R660" t="str">
        <f t="shared" si="52"/>
        <v>NULL</v>
      </c>
      <c r="S660" t="str">
        <f t="shared" si="53"/>
        <v>01-012</v>
      </c>
      <c r="T660" t="str">
        <f t="shared" si="54"/>
        <v>Poland</v>
      </c>
    </row>
    <row r="661" spans="1:20" x14ac:dyDescent="0.2">
      <c r="A661" s="1">
        <v>10907</v>
      </c>
      <c r="B661" s="3" t="s">
        <v>409</v>
      </c>
      <c r="C661" s="3">
        <v>6</v>
      </c>
      <c r="D661" s="4">
        <v>35851</v>
      </c>
      <c r="E661" s="4">
        <v>35879</v>
      </c>
      <c r="F661" s="4">
        <v>35853</v>
      </c>
      <c r="G661" s="3">
        <v>3</v>
      </c>
      <c r="H661" s="3">
        <v>9.19</v>
      </c>
      <c r="I661" s="3" t="s">
        <v>410</v>
      </c>
      <c r="J661" s="3">
        <v>25</v>
      </c>
      <c r="K661" s="3" t="s">
        <v>411</v>
      </c>
      <c r="L661" s="3" t="s">
        <v>412</v>
      </c>
      <c r="M661" s="3" t="s">
        <v>18</v>
      </c>
      <c r="N661" s="3">
        <v>75016</v>
      </c>
      <c r="O661" s="3" t="s">
        <v>19</v>
      </c>
      <c r="P661" t="str">
        <f t="shared" si="51"/>
        <v>25  rue Lauriston</v>
      </c>
      <c r="Q661" t="str">
        <f t="shared" si="55"/>
        <v>Paris</v>
      </c>
      <c r="R661" t="str">
        <f t="shared" si="52"/>
        <v>NULL</v>
      </c>
      <c r="S661">
        <f t="shared" si="53"/>
        <v>75016</v>
      </c>
      <c r="T661" t="str">
        <f t="shared" si="54"/>
        <v>France</v>
      </c>
    </row>
    <row r="662" spans="1:20" x14ac:dyDescent="0.2">
      <c r="A662" s="1">
        <v>10908</v>
      </c>
      <c r="B662" s="3" t="s">
        <v>160</v>
      </c>
      <c r="C662" s="3">
        <v>4</v>
      </c>
      <c r="D662" s="4">
        <v>35852</v>
      </c>
      <c r="E662" s="4">
        <v>35880</v>
      </c>
      <c r="F662" s="4">
        <v>35860</v>
      </c>
      <c r="G662" s="3">
        <v>2</v>
      </c>
      <c r="H662" s="3">
        <v>32.96</v>
      </c>
      <c r="I662" s="3" t="s">
        <v>161</v>
      </c>
      <c r="J662" s="3" t="s">
        <v>162</v>
      </c>
      <c r="K662" s="3" t="s">
        <v>163</v>
      </c>
      <c r="L662" s="3" t="s">
        <v>18</v>
      </c>
      <c r="M662" s="3">
        <v>42100</v>
      </c>
      <c r="N662" s="3" t="s">
        <v>129</v>
      </c>
      <c r="O662" s="2"/>
      <c r="P662" t="str">
        <f t="shared" si="51"/>
        <v>Strada Provinciale 124</v>
      </c>
      <c r="Q662" t="str">
        <f t="shared" si="55"/>
        <v>Reggio Emilia</v>
      </c>
      <c r="R662" t="str">
        <f t="shared" si="52"/>
        <v>NULL</v>
      </c>
      <c r="S662">
        <f t="shared" si="53"/>
        <v>42100</v>
      </c>
      <c r="T662" t="str">
        <f t="shared" si="54"/>
        <v>Italy</v>
      </c>
    </row>
    <row r="663" spans="1:20" x14ac:dyDescent="0.2">
      <c r="A663" s="1">
        <v>10909</v>
      </c>
      <c r="B663" s="3" t="s">
        <v>313</v>
      </c>
      <c r="C663" s="3">
        <v>1</v>
      </c>
      <c r="D663" s="4">
        <v>35852</v>
      </c>
      <c r="E663" s="4">
        <v>35880</v>
      </c>
      <c r="F663" s="4">
        <v>35864</v>
      </c>
      <c r="G663" s="3">
        <v>2</v>
      </c>
      <c r="H663" s="3">
        <v>53.05</v>
      </c>
      <c r="I663" s="3" t="s">
        <v>314</v>
      </c>
      <c r="J663" s="3" t="s">
        <v>315</v>
      </c>
      <c r="K663" s="3" t="s">
        <v>316</v>
      </c>
      <c r="L663" s="3" t="s">
        <v>18</v>
      </c>
      <c r="M663" s="3">
        <v>4110</v>
      </c>
      <c r="N663" s="3" t="s">
        <v>317</v>
      </c>
      <c r="O663" s="2"/>
      <c r="P663" t="str">
        <f t="shared" si="51"/>
        <v>Erling Skakkes gate 78</v>
      </c>
      <c r="Q663" t="str">
        <f t="shared" si="55"/>
        <v>Stavern</v>
      </c>
      <c r="R663" t="str">
        <f t="shared" si="52"/>
        <v>NULL</v>
      </c>
      <c r="S663">
        <f t="shared" si="53"/>
        <v>4110</v>
      </c>
      <c r="T663" t="str">
        <f t="shared" si="54"/>
        <v>Norway</v>
      </c>
    </row>
    <row r="664" spans="1:20" x14ac:dyDescent="0.2">
      <c r="A664" s="1">
        <v>10910</v>
      </c>
      <c r="B664" s="3" t="s">
        <v>392</v>
      </c>
      <c r="C664" s="3">
        <v>1</v>
      </c>
      <c r="D664" s="4">
        <v>35852</v>
      </c>
      <c r="E664" s="4">
        <v>35880</v>
      </c>
      <c r="F664" s="4">
        <v>35858</v>
      </c>
      <c r="G664" s="3">
        <v>3</v>
      </c>
      <c r="H664" s="3">
        <v>38.11</v>
      </c>
      <c r="I664" s="3" t="s">
        <v>393</v>
      </c>
      <c r="J664" s="3" t="s">
        <v>394</v>
      </c>
      <c r="K664" s="3" t="s">
        <v>395</v>
      </c>
      <c r="L664" s="3" t="s">
        <v>18</v>
      </c>
      <c r="M664" s="3">
        <v>21240</v>
      </c>
      <c r="N664" s="3" t="s">
        <v>101</v>
      </c>
      <c r="O664" s="2"/>
      <c r="P664" t="str">
        <f t="shared" si="51"/>
        <v>Keskuskatu 45</v>
      </c>
      <c r="Q664" t="str">
        <f t="shared" si="55"/>
        <v>Helsinki</v>
      </c>
      <c r="R664" t="str">
        <f t="shared" si="52"/>
        <v>NULL</v>
      </c>
      <c r="S664">
        <f t="shared" si="53"/>
        <v>21240</v>
      </c>
      <c r="T664" t="str">
        <f t="shared" si="54"/>
        <v>Finland</v>
      </c>
    </row>
    <row r="665" spans="1:20" x14ac:dyDescent="0.2">
      <c r="A665" s="1">
        <v>10911</v>
      </c>
      <c r="B665" s="3" t="s">
        <v>189</v>
      </c>
      <c r="C665" s="3">
        <v>3</v>
      </c>
      <c r="D665" s="4">
        <v>35852</v>
      </c>
      <c r="E665" s="4">
        <v>35880</v>
      </c>
      <c r="F665" s="4">
        <v>35859</v>
      </c>
      <c r="G665" s="3">
        <v>1</v>
      </c>
      <c r="H665" s="3">
        <v>38.19</v>
      </c>
      <c r="I665" s="3" t="s">
        <v>190</v>
      </c>
      <c r="J665" s="3" t="s">
        <v>191</v>
      </c>
      <c r="K665" s="3">
        <v>33</v>
      </c>
      <c r="L665" s="3" t="s">
        <v>192</v>
      </c>
      <c r="M665" s="3" t="s">
        <v>18</v>
      </c>
      <c r="N665" s="3">
        <v>41101</v>
      </c>
      <c r="O665" s="3" t="s">
        <v>150</v>
      </c>
      <c r="P665" t="str">
        <f t="shared" si="51"/>
        <v>C/ Romero 33</v>
      </c>
      <c r="Q665" t="str">
        <f t="shared" si="55"/>
        <v>Sevilla</v>
      </c>
      <c r="R665" t="str">
        <f t="shared" si="52"/>
        <v>NULL</v>
      </c>
      <c r="S665">
        <f t="shared" si="53"/>
        <v>41101</v>
      </c>
      <c r="T665" t="str">
        <f t="shared" si="54"/>
        <v>Spain</v>
      </c>
    </row>
    <row r="666" spans="1:20" x14ac:dyDescent="0.2">
      <c r="A666" s="1">
        <v>10912</v>
      </c>
      <c r="B666" s="3" t="s">
        <v>179</v>
      </c>
      <c r="C666" s="3">
        <v>2</v>
      </c>
      <c r="D666" s="4">
        <v>35852</v>
      </c>
      <c r="E666" s="4">
        <v>35880</v>
      </c>
      <c r="F666" s="4">
        <v>35872</v>
      </c>
      <c r="G666" s="3">
        <v>2</v>
      </c>
      <c r="H666" s="3">
        <v>580.91</v>
      </c>
      <c r="I666" s="3" t="s">
        <v>180</v>
      </c>
      <c r="J666" s="3" t="s">
        <v>181</v>
      </c>
      <c r="K666" s="3" t="s">
        <v>182</v>
      </c>
      <c r="L666" s="3" t="s">
        <v>183</v>
      </c>
      <c r="M666" s="3" t="s">
        <v>18</v>
      </c>
      <c r="N666" s="3" t="s">
        <v>184</v>
      </c>
      <c r="O666" s="2"/>
      <c r="P666" t="str">
        <f t="shared" si="51"/>
        <v>8 Johnstown Road</v>
      </c>
      <c r="Q666" t="str">
        <f t="shared" si="55"/>
        <v>Cork</v>
      </c>
      <c r="R666" t="str">
        <f t="shared" si="52"/>
        <v>Co. Cork</v>
      </c>
      <c r="S666" t="str">
        <f t="shared" si="53"/>
        <v>NULL</v>
      </c>
      <c r="T666" t="str">
        <f t="shared" si="54"/>
        <v>Ireland</v>
      </c>
    </row>
    <row r="667" spans="1:20" x14ac:dyDescent="0.2">
      <c r="A667" s="1">
        <v>10913</v>
      </c>
      <c r="B667" s="3" t="s">
        <v>299</v>
      </c>
      <c r="C667" s="3">
        <v>4</v>
      </c>
      <c r="D667" s="4">
        <v>35852</v>
      </c>
      <c r="E667" s="4">
        <v>35880</v>
      </c>
      <c r="F667" s="4">
        <v>35858</v>
      </c>
      <c r="G667" s="3">
        <v>1</v>
      </c>
      <c r="H667" s="3">
        <v>33.049999999999997</v>
      </c>
      <c r="I667" s="3" t="s">
        <v>300</v>
      </c>
      <c r="J667" s="3" t="s">
        <v>301</v>
      </c>
      <c r="K667" s="3">
        <v>891</v>
      </c>
      <c r="L667" s="3" t="s">
        <v>173</v>
      </c>
      <c r="M667" s="3" t="s">
        <v>55</v>
      </c>
      <c r="N667" s="3" t="s">
        <v>302</v>
      </c>
      <c r="O667" s="3" t="s">
        <v>31</v>
      </c>
      <c r="P667" t="str">
        <f t="shared" si="51"/>
        <v>Alameda dos Canàrios 891</v>
      </c>
      <c r="Q667" t="str">
        <f t="shared" si="55"/>
        <v>Sao Paulo</v>
      </c>
      <c r="R667" t="str">
        <f t="shared" si="52"/>
        <v>SP</v>
      </c>
      <c r="S667" t="str">
        <f t="shared" si="53"/>
        <v>05487-020</v>
      </c>
      <c r="T667" t="str">
        <f t="shared" si="54"/>
        <v>Brazil</v>
      </c>
    </row>
    <row r="668" spans="1:20" x14ac:dyDescent="0.2">
      <c r="A668" s="1">
        <v>10914</v>
      </c>
      <c r="B668" s="3" t="s">
        <v>299</v>
      </c>
      <c r="C668" s="3">
        <v>6</v>
      </c>
      <c r="D668" s="4">
        <v>35853</v>
      </c>
      <c r="E668" s="4">
        <v>35881</v>
      </c>
      <c r="F668" s="4">
        <v>35856</v>
      </c>
      <c r="G668" s="3">
        <v>1</v>
      </c>
      <c r="H668" s="3">
        <v>21.19</v>
      </c>
      <c r="I668" s="3" t="s">
        <v>300</v>
      </c>
      <c r="J668" s="3" t="s">
        <v>301</v>
      </c>
      <c r="K668" s="3">
        <v>891</v>
      </c>
      <c r="L668" s="3" t="s">
        <v>173</v>
      </c>
      <c r="M668" s="3" t="s">
        <v>55</v>
      </c>
      <c r="N668" s="3" t="s">
        <v>302</v>
      </c>
      <c r="O668" s="3" t="s">
        <v>31</v>
      </c>
      <c r="P668" t="str">
        <f t="shared" si="51"/>
        <v>Alameda dos Canàrios 891</v>
      </c>
      <c r="Q668" t="str">
        <f t="shared" si="55"/>
        <v>Sao Paulo</v>
      </c>
      <c r="R668" t="str">
        <f t="shared" si="52"/>
        <v>SP</v>
      </c>
      <c r="S668" t="str">
        <f t="shared" si="53"/>
        <v>05487-020</v>
      </c>
      <c r="T668" t="str">
        <f t="shared" si="54"/>
        <v>Brazil</v>
      </c>
    </row>
    <row r="669" spans="1:20" x14ac:dyDescent="0.2">
      <c r="A669" s="1">
        <v>10915</v>
      </c>
      <c r="B669" s="3" t="s">
        <v>130</v>
      </c>
      <c r="C669" s="3">
        <v>2</v>
      </c>
      <c r="D669" s="4">
        <v>35853</v>
      </c>
      <c r="E669" s="4">
        <v>35881</v>
      </c>
      <c r="F669" s="4">
        <v>35856</v>
      </c>
      <c r="G669" s="3">
        <v>2</v>
      </c>
      <c r="H669" s="3">
        <v>3.51</v>
      </c>
      <c r="I669" s="3" t="s">
        <v>131</v>
      </c>
      <c r="J669" s="3" t="s">
        <v>132</v>
      </c>
      <c r="K669" s="3" t="s">
        <v>71</v>
      </c>
      <c r="L669" s="3" t="s">
        <v>18</v>
      </c>
      <c r="M669" s="3">
        <v>5033</v>
      </c>
      <c r="N669" s="3" t="s">
        <v>72</v>
      </c>
      <c r="O669" s="2"/>
      <c r="P669" t="str">
        <f t="shared" si="51"/>
        <v>Avda. Azteca 123</v>
      </c>
      <c r="Q669" t="str">
        <f t="shared" si="55"/>
        <v>México D.F.</v>
      </c>
      <c r="R669" t="str">
        <f t="shared" si="52"/>
        <v>NULL</v>
      </c>
      <c r="S669">
        <f t="shared" si="53"/>
        <v>5033</v>
      </c>
      <c r="T669" t="str">
        <f t="shared" si="54"/>
        <v>Mexico</v>
      </c>
    </row>
    <row r="670" spans="1:20" x14ac:dyDescent="0.2">
      <c r="A670" s="1">
        <v>10916</v>
      </c>
      <c r="B670" s="3" t="s">
        <v>351</v>
      </c>
      <c r="C670" s="3">
        <v>1</v>
      </c>
      <c r="D670" s="4">
        <v>35853</v>
      </c>
      <c r="E670" s="4">
        <v>35881</v>
      </c>
      <c r="F670" s="4">
        <v>35863</v>
      </c>
      <c r="G670" s="3">
        <v>2</v>
      </c>
      <c r="H670" s="3">
        <v>63.77</v>
      </c>
      <c r="I670" s="3" t="s">
        <v>352</v>
      </c>
      <c r="J670" s="3" t="s">
        <v>353</v>
      </c>
      <c r="K670" s="3" t="s">
        <v>336</v>
      </c>
      <c r="L670" s="3" t="s">
        <v>18</v>
      </c>
      <c r="M670" s="3">
        <v>1010</v>
      </c>
      <c r="N670" s="3" t="s">
        <v>337</v>
      </c>
      <c r="O670" s="2"/>
      <c r="P670" t="str">
        <f t="shared" si="51"/>
        <v>Av. del Libertador 900</v>
      </c>
      <c r="Q670" t="str">
        <f t="shared" si="55"/>
        <v>Buenos Aires</v>
      </c>
      <c r="R670" t="str">
        <f t="shared" si="52"/>
        <v>NULL</v>
      </c>
      <c r="S670">
        <f t="shared" si="53"/>
        <v>1010</v>
      </c>
      <c r="T670" t="str">
        <f t="shared" si="54"/>
        <v>Argentina</v>
      </c>
    </row>
    <row r="671" spans="1:20" x14ac:dyDescent="0.2">
      <c r="A671" s="1">
        <v>10917</v>
      </c>
      <c r="B671" s="3" t="s">
        <v>146</v>
      </c>
      <c r="C671" s="3">
        <v>4</v>
      </c>
      <c r="D671" s="4">
        <v>35856</v>
      </c>
      <c r="E671" s="4">
        <v>35884</v>
      </c>
      <c r="F671" s="4">
        <v>35865</v>
      </c>
      <c r="G671" s="3">
        <v>2</v>
      </c>
      <c r="H671" s="3">
        <v>8.2899999999999991</v>
      </c>
      <c r="I671" s="3" t="s">
        <v>147</v>
      </c>
      <c r="J671" s="3" t="s">
        <v>148</v>
      </c>
      <c r="K671" s="3">
        <v>1</v>
      </c>
      <c r="L671" s="3" t="s">
        <v>149</v>
      </c>
      <c r="M671" s="3" t="s">
        <v>18</v>
      </c>
      <c r="N671" s="3">
        <v>28001</v>
      </c>
      <c r="O671" s="3" t="s">
        <v>150</v>
      </c>
      <c r="P671" t="str">
        <f t="shared" si="51"/>
        <v>Gran Vía 1</v>
      </c>
      <c r="Q671" t="str">
        <f t="shared" si="55"/>
        <v>Madrid</v>
      </c>
      <c r="R671" t="str">
        <f t="shared" si="52"/>
        <v>NULL</v>
      </c>
      <c r="S671">
        <f t="shared" si="53"/>
        <v>28001</v>
      </c>
      <c r="T671" t="str">
        <f t="shared" si="54"/>
        <v>Spain</v>
      </c>
    </row>
    <row r="672" spans="1:20" x14ac:dyDescent="0.2">
      <c r="A672" s="1">
        <v>10918</v>
      </c>
      <c r="B672" s="3" t="s">
        <v>318</v>
      </c>
      <c r="C672" s="3">
        <v>3</v>
      </c>
      <c r="D672" s="4">
        <v>35856</v>
      </c>
      <c r="E672" s="4">
        <v>35884</v>
      </c>
      <c r="F672" s="4">
        <v>35865</v>
      </c>
      <c r="G672" s="3">
        <v>3</v>
      </c>
      <c r="H672" s="3">
        <v>48.83</v>
      </c>
      <c r="I672" s="3" t="s">
        <v>319</v>
      </c>
      <c r="J672" s="3" t="s">
        <v>320</v>
      </c>
      <c r="K672" s="3" t="s">
        <v>321</v>
      </c>
      <c r="L672" s="3" t="s">
        <v>322</v>
      </c>
      <c r="M672" s="3" t="s">
        <v>323</v>
      </c>
      <c r="N672" s="3" t="s">
        <v>249</v>
      </c>
      <c r="O672" s="2"/>
      <c r="P672" t="str">
        <f t="shared" si="51"/>
        <v>23 Tsawassen Blvd.</v>
      </c>
      <c r="Q672" t="str">
        <f t="shared" si="55"/>
        <v>Tsawassen</v>
      </c>
      <c r="R672" t="str">
        <f t="shared" si="52"/>
        <v>BC</v>
      </c>
      <c r="S672" t="str">
        <f t="shared" si="53"/>
        <v>T2F 8M4</v>
      </c>
      <c r="T672" t="str">
        <f t="shared" si="54"/>
        <v>Canada</v>
      </c>
    </row>
    <row r="673" spans="1:20" x14ac:dyDescent="0.2">
      <c r="A673" s="1">
        <v>10919</v>
      </c>
      <c r="B673" s="3" t="s">
        <v>324</v>
      </c>
      <c r="C673" s="3">
        <v>2</v>
      </c>
      <c r="D673" s="4">
        <v>35856</v>
      </c>
      <c r="E673" s="4">
        <v>35884</v>
      </c>
      <c r="F673" s="4">
        <v>35858</v>
      </c>
      <c r="G673" s="3">
        <v>2</v>
      </c>
      <c r="H673" s="3">
        <v>19.8</v>
      </c>
      <c r="I673" s="3" t="s">
        <v>325</v>
      </c>
      <c r="J673" s="3" t="s">
        <v>326</v>
      </c>
      <c r="K673" s="3" t="s">
        <v>327</v>
      </c>
      <c r="L673" s="3" t="s">
        <v>328</v>
      </c>
      <c r="M673" s="3">
        <v>4980</v>
      </c>
      <c r="N673" s="3" t="s">
        <v>62</v>
      </c>
      <c r="O673" s="2"/>
      <c r="P673" t="str">
        <f t="shared" si="51"/>
        <v>Ave. 5 de Mayo Porlamar</v>
      </c>
      <c r="Q673" t="str">
        <f t="shared" si="55"/>
        <v>I. de Margarita</v>
      </c>
      <c r="R673" t="str">
        <f t="shared" si="52"/>
        <v>Nueva Esparta</v>
      </c>
      <c r="S673">
        <f t="shared" si="53"/>
        <v>4980</v>
      </c>
      <c r="T673" t="str">
        <f t="shared" si="54"/>
        <v>Venezuela</v>
      </c>
    </row>
    <row r="674" spans="1:20" x14ac:dyDescent="0.2">
      <c r="A674" s="1">
        <v>10920</v>
      </c>
      <c r="B674" s="3" t="s">
        <v>270</v>
      </c>
      <c r="C674" s="3">
        <v>4</v>
      </c>
      <c r="D674" s="4">
        <v>35857</v>
      </c>
      <c r="E674" s="4">
        <v>35885</v>
      </c>
      <c r="F674" s="4">
        <v>35863</v>
      </c>
      <c r="G674" s="3">
        <v>2</v>
      </c>
      <c r="H674" s="3">
        <v>29.61</v>
      </c>
      <c r="I674" s="3" t="s">
        <v>271</v>
      </c>
      <c r="J674" s="3" t="s">
        <v>272</v>
      </c>
      <c r="K674" s="3" t="s">
        <v>273</v>
      </c>
      <c r="L674" s="3" t="s">
        <v>274</v>
      </c>
      <c r="M674" s="3" t="s">
        <v>275</v>
      </c>
      <c r="N674" s="3" t="s">
        <v>169</v>
      </c>
      <c r="O674" s="2"/>
      <c r="P674" t="str">
        <f t="shared" si="51"/>
        <v>Brook Farm Stratford St. Mary</v>
      </c>
      <c r="Q674" t="str">
        <f t="shared" si="55"/>
        <v>Colchester</v>
      </c>
      <c r="R674" t="str">
        <f t="shared" si="52"/>
        <v>Essex</v>
      </c>
      <c r="S674" t="str">
        <f t="shared" si="53"/>
        <v>CO7 6JX</v>
      </c>
      <c r="T674" t="str">
        <f t="shared" si="54"/>
        <v>UK</v>
      </c>
    </row>
    <row r="675" spans="1:20" x14ac:dyDescent="0.2">
      <c r="A675" s="1">
        <v>10921</v>
      </c>
      <c r="B675" s="3" t="s">
        <v>295</v>
      </c>
      <c r="C675" s="3">
        <v>1</v>
      </c>
      <c r="D675" s="4">
        <v>35857</v>
      </c>
      <c r="E675" s="4">
        <v>35899</v>
      </c>
      <c r="F675" s="4">
        <v>35863</v>
      </c>
      <c r="G675" s="3">
        <v>1</v>
      </c>
      <c r="H675" s="3">
        <v>176.48</v>
      </c>
      <c r="I675" s="3" t="s">
        <v>296</v>
      </c>
      <c r="J675" s="3" t="s">
        <v>297</v>
      </c>
      <c r="K675" s="3" t="s">
        <v>298</v>
      </c>
      <c r="L675" s="3" t="s">
        <v>18</v>
      </c>
      <c r="M675" s="3">
        <v>8200</v>
      </c>
      <c r="N675" s="3" t="s">
        <v>257</v>
      </c>
      <c r="O675" s="2"/>
      <c r="P675" t="str">
        <f t="shared" si="51"/>
        <v>Smagsloget 45</v>
      </c>
      <c r="Q675" t="str">
        <f t="shared" si="55"/>
        <v>Århus</v>
      </c>
      <c r="R675" t="str">
        <f t="shared" si="52"/>
        <v>NULL</v>
      </c>
      <c r="S675">
        <f t="shared" si="53"/>
        <v>8200</v>
      </c>
      <c r="T675" t="str">
        <f t="shared" si="54"/>
        <v>Denmark</v>
      </c>
    </row>
    <row r="676" spans="1:20" x14ac:dyDescent="0.2">
      <c r="A676" s="1">
        <v>10922</v>
      </c>
      <c r="B676" s="3" t="s">
        <v>25</v>
      </c>
      <c r="C676" s="3">
        <v>5</v>
      </c>
      <c r="D676" s="4">
        <v>35857</v>
      </c>
      <c r="E676" s="4">
        <v>35885</v>
      </c>
      <c r="F676" s="4">
        <v>35859</v>
      </c>
      <c r="G676" s="3">
        <v>3</v>
      </c>
      <c r="H676" s="3">
        <v>62.74</v>
      </c>
      <c r="I676" s="3" t="s">
        <v>26</v>
      </c>
      <c r="J676" s="3" t="s">
        <v>27</v>
      </c>
      <c r="K676" s="3">
        <v>67</v>
      </c>
      <c r="L676" s="3" t="s">
        <v>28</v>
      </c>
      <c r="M676" s="3" t="s">
        <v>29</v>
      </c>
      <c r="N676" s="3" t="s">
        <v>30</v>
      </c>
      <c r="O676" s="3" t="s">
        <v>31</v>
      </c>
      <c r="P676" t="str">
        <f t="shared" si="51"/>
        <v>Rua do Paço 67</v>
      </c>
      <c r="Q676" t="str">
        <f t="shared" si="55"/>
        <v>Rio de Janeiro</v>
      </c>
      <c r="R676" t="str">
        <f t="shared" si="52"/>
        <v>RJ</v>
      </c>
      <c r="S676" t="str">
        <f t="shared" si="53"/>
        <v>05454-876</v>
      </c>
      <c r="T676" t="str">
        <f t="shared" si="54"/>
        <v>Brazil</v>
      </c>
    </row>
    <row r="677" spans="1:20" x14ac:dyDescent="0.2">
      <c r="A677" s="1">
        <v>10923</v>
      </c>
      <c r="B677" s="3" t="s">
        <v>262</v>
      </c>
      <c r="C677" s="3">
        <v>7</v>
      </c>
      <c r="D677" s="4">
        <v>35857</v>
      </c>
      <c r="E677" s="4">
        <v>35899</v>
      </c>
      <c r="F677" s="4">
        <v>35867</v>
      </c>
      <c r="G677" s="3">
        <v>3</v>
      </c>
      <c r="H677" s="3">
        <v>68.260000000000005</v>
      </c>
      <c r="I677" s="3" t="s">
        <v>263</v>
      </c>
      <c r="J677" s="3" t="s">
        <v>264</v>
      </c>
      <c r="K677" s="3" t="s">
        <v>265</v>
      </c>
      <c r="L677" s="3" t="s">
        <v>18</v>
      </c>
      <c r="M677" s="3">
        <v>31000</v>
      </c>
      <c r="N677" s="3" t="s">
        <v>19</v>
      </c>
      <c r="O677" s="2"/>
      <c r="P677" t="str">
        <f t="shared" si="51"/>
        <v>1 rue Alsace-Lorraine</v>
      </c>
      <c r="Q677" t="str">
        <f t="shared" si="55"/>
        <v>Toulouse</v>
      </c>
      <c r="R677" t="str">
        <f t="shared" si="52"/>
        <v>NULL</v>
      </c>
      <c r="S677">
        <f t="shared" si="53"/>
        <v>31000</v>
      </c>
      <c r="T677" t="str">
        <f t="shared" si="54"/>
        <v>France</v>
      </c>
    </row>
    <row r="678" spans="1:20" x14ac:dyDescent="0.2">
      <c r="A678" s="1">
        <v>10924</v>
      </c>
      <c r="B678" s="3" t="s">
        <v>137</v>
      </c>
      <c r="C678" s="3">
        <v>3</v>
      </c>
      <c r="D678" s="4">
        <v>35858</v>
      </c>
      <c r="E678" s="4">
        <v>35886</v>
      </c>
      <c r="F678" s="4">
        <v>35893</v>
      </c>
      <c r="G678" s="3">
        <v>2</v>
      </c>
      <c r="H678" s="3">
        <v>151.52000000000001</v>
      </c>
      <c r="I678" s="3" t="s">
        <v>138</v>
      </c>
      <c r="J678" s="3" t="s">
        <v>139</v>
      </c>
      <c r="K678" s="3" t="s">
        <v>140</v>
      </c>
      <c r="L678" s="3" t="s">
        <v>18</v>
      </c>
      <c r="M678" s="3" t="s">
        <v>141</v>
      </c>
      <c r="N678" s="3" t="s">
        <v>92</v>
      </c>
      <c r="O678" s="2"/>
      <c r="P678" t="str">
        <f t="shared" si="51"/>
        <v>Berguvsvägen  8</v>
      </c>
      <c r="Q678" t="str">
        <f t="shared" si="55"/>
        <v>Luleå</v>
      </c>
      <c r="R678" t="str">
        <f t="shared" si="52"/>
        <v>NULL</v>
      </c>
      <c r="S678" t="str">
        <f t="shared" si="53"/>
        <v>S-958 22</v>
      </c>
      <c r="T678" t="str">
        <f t="shared" si="54"/>
        <v>Sweden</v>
      </c>
    </row>
    <row r="679" spans="1:20" x14ac:dyDescent="0.2">
      <c r="A679" s="1">
        <v>10925</v>
      </c>
      <c r="B679" s="3" t="s">
        <v>25</v>
      </c>
      <c r="C679" s="3">
        <v>3</v>
      </c>
      <c r="D679" s="4">
        <v>35858</v>
      </c>
      <c r="E679" s="4">
        <v>35886</v>
      </c>
      <c r="F679" s="4">
        <v>35867</v>
      </c>
      <c r="G679" s="3">
        <v>1</v>
      </c>
      <c r="H679" s="3">
        <v>2.27</v>
      </c>
      <c r="I679" s="3" t="s">
        <v>26</v>
      </c>
      <c r="J679" s="3" t="s">
        <v>27</v>
      </c>
      <c r="K679" s="3">
        <v>67</v>
      </c>
      <c r="L679" s="3" t="s">
        <v>28</v>
      </c>
      <c r="M679" s="3" t="s">
        <v>29</v>
      </c>
      <c r="N679" s="3" t="s">
        <v>30</v>
      </c>
      <c r="O679" s="3" t="s">
        <v>31</v>
      </c>
      <c r="P679" t="str">
        <f t="shared" si="51"/>
        <v>Rua do Paço 67</v>
      </c>
      <c r="Q679" t="str">
        <f t="shared" si="55"/>
        <v>Rio de Janeiro</v>
      </c>
      <c r="R679" t="str">
        <f t="shared" si="52"/>
        <v>RJ</v>
      </c>
      <c r="S679" t="str">
        <f t="shared" si="53"/>
        <v>05454-876</v>
      </c>
      <c r="T679" t="str">
        <f t="shared" si="54"/>
        <v>Brazil</v>
      </c>
    </row>
    <row r="680" spans="1:20" x14ac:dyDescent="0.2">
      <c r="A680" s="1">
        <v>10926</v>
      </c>
      <c r="B680" s="3" t="s">
        <v>203</v>
      </c>
      <c r="C680" s="3">
        <v>4</v>
      </c>
      <c r="D680" s="4">
        <v>35858</v>
      </c>
      <c r="E680" s="4">
        <v>35886</v>
      </c>
      <c r="F680" s="4">
        <v>35865</v>
      </c>
      <c r="G680" s="3">
        <v>3</v>
      </c>
      <c r="H680" s="3">
        <v>39.92</v>
      </c>
      <c r="I680" s="3" t="s">
        <v>204</v>
      </c>
      <c r="J680" s="3" t="s">
        <v>205</v>
      </c>
      <c r="K680" s="3" t="s">
        <v>71</v>
      </c>
      <c r="L680" s="3" t="s">
        <v>18</v>
      </c>
      <c r="M680" s="3">
        <v>5021</v>
      </c>
      <c r="N680" s="3" t="s">
        <v>72</v>
      </c>
      <c r="O680" s="2"/>
      <c r="P680" t="str">
        <f t="shared" si="51"/>
        <v>Avda. de la Constitución 2222</v>
      </c>
      <c r="Q680" t="str">
        <f t="shared" si="55"/>
        <v>México D.F.</v>
      </c>
      <c r="R680" t="str">
        <f t="shared" si="52"/>
        <v>NULL</v>
      </c>
      <c r="S680">
        <f t="shared" si="53"/>
        <v>5021</v>
      </c>
      <c r="T680" t="str">
        <f t="shared" si="54"/>
        <v>Mexico</v>
      </c>
    </row>
    <row r="681" spans="1:20" x14ac:dyDescent="0.2">
      <c r="A681" s="1">
        <v>10927</v>
      </c>
      <c r="B681" s="3" t="s">
        <v>413</v>
      </c>
      <c r="C681" s="3">
        <v>4</v>
      </c>
      <c r="D681" s="4">
        <v>35859</v>
      </c>
      <c r="E681" s="4">
        <v>35887</v>
      </c>
      <c r="F681" s="4">
        <v>35893</v>
      </c>
      <c r="G681" s="3">
        <v>1</v>
      </c>
      <c r="H681" s="3">
        <v>19.79</v>
      </c>
      <c r="I681" s="3" t="s">
        <v>414</v>
      </c>
      <c r="J681" s="3">
        <v>67</v>
      </c>
      <c r="K681" s="3" t="s">
        <v>415</v>
      </c>
      <c r="L681" s="3" t="s">
        <v>416</v>
      </c>
      <c r="M681" s="3" t="s">
        <v>18</v>
      </c>
      <c r="N681" s="3">
        <v>78000</v>
      </c>
      <c r="O681" s="3" t="s">
        <v>19</v>
      </c>
      <c r="P681" t="str">
        <f t="shared" si="51"/>
        <v>67  avenue de l'Europe</v>
      </c>
      <c r="Q681" t="str">
        <f t="shared" si="55"/>
        <v>Versailles</v>
      </c>
      <c r="R681" t="str">
        <f t="shared" si="52"/>
        <v>NULL</v>
      </c>
      <c r="S681">
        <f t="shared" si="53"/>
        <v>78000</v>
      </c>
      <c r="T681" t="str">
        <f t="shared" si="54"/>
        <v>France</v>
      </c>
    </row>
    <row r="682" spans="1:20" x14ac:dyDescent="0.2">
      <c r="A682" s="1">
        <v>10928</v>
      </c>
      <c r="B682" s="3" t="s">
        <v>291</v>
      </c>
      <c r="C682" s="3">
        <v>1</v>
      </c>
      <c r="D682" s="4">
        <v>35859</v>
      </c>
      <c r="E682" s="4">
        <v>35887</v>
      </c>
      <c r="F682" s="4">
        <v>35872</v>
      </c>
      <c r="G682" s="3">
        <v>1</v>
      </c>
      <c r="H682" s="3">
        <v>1.36</v>
      </c>
      <c r="I682" s="3" t="s">
        <v>292</v>
      </c>
      <c r="J682" s="3" t="s">
        <v>293</v>
      </c>
      <c r="K682" s="3">
        <v>23</v>
      </c>
      <c r="L682" s="3" t="s">
        <v>294</v>
      </c>
      <c r="M682" s="3" t="s">
        <v>18</v>
      </c>
      <c r="N682" s="3">
        <v>8022</v>
      </c>
      <c r="O682" s="3" t="s">
        <v>150</v>
      </c>
      <c r="P682" t="str">
        <f t="shared" si="51"/>
        <v>Rambla de Cataluña 23</v>
      </c>
      <c r="Q682" t="str">
        <f t="shared" si="55"/>
        <v>Barcelona</v>
      </c>
      <c r="R682" t="str">
        <f t="shared" si="52"/>
        <v>NULL</v>
      </c>
      <c r="S682">
        <f t="shared" si="53"/>
        <v>8022</v>
      </c>
      <c r="T682" t="str">
        <f t="shared" si="54"/>
        <v>Spain</v>
      </c>
    </row>
    <row r="683" spans="1:20" x14ac:dyDescent="0.2">
      <c r="A683" s="1">
        <v>10929</v>
      </c>
      <c r="B683" s="3" t="s">
        <v>102</v>
      </c>
      <c r="C683" s="3">
        <v>6</v>
      </c>
      <c r="D683" s="4">
        <v>35859</v>
      </c>
      <c r="E683" s="4">
        <v>35887</v>
      </c>
      <c r="F683" s="4">
        <v>35866</v>
      </c>
      <c r="G683" s="3">
        <v>1</v>
      </c>
      <c r="H683" s="3">
        <v>33.93</v>
      </c>
      <c r="I683" s="3" t="s">
        <v>103</v>
      </c>
      <c r="J683" s="3" t="s">
        <v>104</v>
      </c>
      <c r="K683" s="3" t="s">
        <v>105</v>
      </c>
      <c r="L683" s="3" t="s">
        <v>18</v>
      </c>
      <c r="M683" s="3">
        <v>80805</v>
      </c>
      <c r="N683" s="3" t="s">
        <v>24</v>
      </c>
      <c r="O683" s="2"/>
      <c r="P683" t="str">
        <f t="shared" si="51"/>
        <v>Berliner Platz 43</v>
      </c>
      <c r="Q683" t="str">
        <f t="shared" si="55"/>
        <v>München</v>
      </c>
      <c r="R683" t="str">
        <f t="shared" si="52"/>
        <v>NULL</v>
      </c>
      <c r="S683">
        <f t="shared" si="53"/>
        <v>80805</v>
      </c>
      <c r="T683" t="str">
        <f t="shared" si="54"/>
        <v>Germany</v>
      </c>
    </row>
    <row r="684" spans="1:20" x14ac:dyDescent="0.2">
      <c r="A684" s="1">
        <v>10930</v>
      </c>
      <c r="B684" s="3" t="s">
        <v>36</v>
      </c>
      <c r="C684" s="3">
        <v>4</v>
      </c>
      <c r="D684" s="4">
        <v>35860</v>
      </c>
      <c r="E684" s="4">
        <v>35902</v>
      </c>
      <c r="F684" s="4">
        <v>35872</v>
      </c>
      <c r="G684" s="3">
        <v>3</v>
      </c>
      <c r="H684" s="3">
        <v>15.55</v>
      </c>
      <c r="I684" s="3" t="s">
        <v>37</v>
      </c>
      <c r="J684" s="3" t="s">
        <v>38</v>
      </c>
      <c r="K684" s="3">
        <v>255</v>
      </c>
      <c r="L684" s="3" t="s">
        <v>39</v>
      </c>
      <c r="M684" s="3" t="s">
        <v>18</v>
      </c>
      <c r="N684" s="3" t="s">
        <v>40</v>
      </c>
      <c r="O684" s="3" t="s">
        <v>41</v>
      </c>
      <c r="P684" t="str">
        <f t="shared" si="51"/>
        <v>Boulevard Tirou 255</v>
      </c>
      <c r="Q684" t="str">
        <f t="shared" si="55"/>
        <v>Charleroi</v>
      </c>
      <c r="R684" t="str">
        <f t="shared" si="52"/>
        <v>NULL</v>
      </c>
      <c r="S684" t="str">
        <f t="shared" si="53"/>
        <v>B-6000</v>
      </c>
      <c r="T684" t="str">
        <f t="shared" si="54"/>
        <v>Belgium</v>
      </c>
    </row>
    <row r="685" spans="1:20" x14ac:dyDescent="0.2">
      <c r="A685" s="1">
        <v>10931</v>
      </c>
      <c r="B685" s="3" t="s">
        <v>47</v>
      </c>
      <c r="C685" s="3">
        <v>4</v>
      </c>
      <c r="D685" s="4">
        <v>35860</v>
      </c>
      <c r="E685" s="4">
        <v>35874</v>
      </c>
      <c r="F685" s="4">
        <v>35873</v>
      </c>
      <c r="G685" s="3">
        <v>2</v>
      </c>
      <c r="H685" s="3">
        <v>13.6</v>
      </c>
      <c r="I685" s="3" t="s">
        <v>48</v>
      </c>
      <c r="J685" s="3" t="s">
        <v>49</v>
      </c>
      <c r="K685" s="3" t="s">
        <v>50</v>
      </c>
      <c r="L685" s="3" t="s">
        <v>18</v>
      </c>
      <c r="M685" s="3">
        <v>1204</v>
      </c>
      <c r="N685" s="3" t="s">
        <v>46</v>
      </c>
      <c r="O685" s="2"/>
      <c r="P685" t="str">
        <f t="shared" si="51"/>
        <v>Starenweg 5</v>
      </c>
      <c r="Q685" t="str">
        <f t="shared" si="55"/>
        <v>Genève</v>
      </c>
      <c r="R685" t="str">
        <f t="shared" si="52"/>
        <v>NULL</v>
      </c>
      <c r="S685">
        <f t="shared" si="53"/>
        <v>1204</v>
      </c>
      <c r="T685" t="str">
        <f t="shared" si="54"/>
        <v>Switzerland</v>
      </c>
    </row>
    <row r="686" spans="1:20" x14ac:dyDescent="0.2">
      <c r="A686" s="1">
        <v>10932</v>
      </c>
      <c r="B686" s="3" t="s">
        <v>239</v>
      </c>
      <c r="C686" s="3">
        <v>8</v>
      </c>
      <c r="D686" s="4">
        <v>35860</v>
      </c>
      <c r="E686" s="4">
        <v>35888</v>
      </c>
      <c r="F686" s="4">
        <v>35878</v>
      </c>
      <c r="G686" s="3">
        <v>1</v>
      </c>
      <c r="H686" s="3">
        <v>134.63999999999999</v>
      </c>
      <c r="I686" s="3" t="s">
        <v>240</v>
      </c>
      <c r="J686" s="3">
        <v>12</v>
      </c>
      <c r="K686" s="3" t="s">
        <v>241</v>
      </c>
      <c r="L686" s="3" t="s">
        <v>242</v>
      </c>
      <c r="M686" s="3" t="s">
        <v>18</v>
      </c>
      <c r="N686" s="3">
        <v>13008</v>
      </c>
      <c r="O686" s="3" t="s">
        <v>19</v>
      </c>
      <c r="P686" t="str">
        <f t="shared" si="51"/>
        <v>12  rue des Bouchers</v>
      </c>
      <c r="Q686" t="str">
        <f t="shared" si="55"/>
        <v>Marseille</v>
      </c>
      <c r="R686" t="str">
        <f t="shared" si="52"/>
        <v>NULL</v>
      </c>
      <c r="S686">
        <f t="shared" si="53"/>
        <v>13008</v>
      </c>
      <c r="T686" t="str">
        <f t="shared" si="54"/>
        <v>France</v>
      </c>
    </row>
    <row r="687" spans="1:20" x14ac:dyDescent="0.2">
      <c r="A687" s="1">
        <v>10933</v>
      </c>
      <c r="B687" s="3" t="s">
        <v>213</v>
      </c>
      <c r="C687" s="3">
        <v>6</v>
      </c>
      <c r="D687" s="4">
        <v>35860</v>
      </c>
      <c r="E687" s="4">
        <v>35888</v>
      </c>
      <c r="F687" s="4">
        <v>35870</v>
      </c>
      <c r="G687" s="3">
        <v>3</v>
      </c>
      <c r="H687" s="3">
        <v>54.15</v>
      </c>
      <c r="I687" s="3" t="s">
        <v>214</v>
      </c>
      <c r="J687" s="3" t="s">
        <v>215</v>
      </c>
      <c r="K687" s="3" t="s">
        <v>216</v>
      </c>
      <c r="L687" s="3" t="s">
        <v>217</v>
      </c>
      <c r="M687" s="3" t="s">
        <v>218</v>
      </c>
      <c r="N687" s="3" t="s">
        <v>169</v>
      </c>
      <c r="O687" s="2"/>
      <c r="P687" t="str">
        <f t="shared" si="51"/>
        <v>Garden House Crowther Way</v>
      </c>
      <c r="Q687" t="str">
        <f t="shared" si="55"/>
        <v>Cowes</v>
      </c>
      <c r="R687" t="str">
        <f t="shared" si="52"/>
        <v>Isle of Wight</v>
      </c>
      <c r="S687" t="str">
        <f t="shared" si="53"/>
        <v>PO31 7PJ</v>
      </c>
      <c r="T687" t="str">
        <f t="shared" si="54"/>
        <v>UK</v>
      </c>
    </row>
    <row r="688" spans="1:20" x14ac:dyDescent="0.2">
      <c r="A688" s="1">
        <v>10934</v>
      </c>
      <c r="B688" s="3" t="s">
        <v>142</v>
      </c>
      <c r="C688" s="3">
        <v>3</v>
      </c>
      <c r="D688" s="4">
        <v>35863</v>
      </c>
      <c r="E688" s="4">
        <v>35891</v>
      </c>
      <c r="F688" s="4">
        <v>35866</v>
      </c>
      <c r="G688" s="3">
        <v>3</v>
      </c>
      <c r="H688" s="3">
        <v>32.01</v>
      </c>
      <c r="I688" s="3" t="s">
        <v>143</v>
      </c>
      <c r="J688" s="3" t="s">
        <v>144</v>
      </c>
      <c r="K688" s="3" t="s">
        <v>145</v>
      </c>
      <c r="L688" s="3" t="s">
        <v>18</v>
      </c>
      <c r="M688" s="3">
        <v>60528</v>
      </c>
      <c r="N688" s="3" t="s">
        <v>24</v>
      </c>
      <c r="O688" s="2"/>
      <c r="P688" t="str">
        <f t="shared" si="51"/>
        <v>Magazinweg 7</v>
      </c>
      <c r="Q688" t="str">
        <f t="shared" si="55"/>
        <v>Frankfurt a.M.</v>
      </c>
      <c r="R688" t="str">
        <f t="shared" si="52"/>
        <v>NULL</v>
      </c>
      <c r="S688">
        <f t="shared" si="53"/>
        <v>60528</v>
      </c>
      <c r="T688" t="str">
        <f t="shared" si="54"/>
        <v>Germany</v>
      </c>
    </row>
    <row r="689" spans="1:20" x14ac:dyDescent="0.2">
      <c r="A689" s="1">
        <v>10935</v>
      </c>
      <c r="B689" s="3" t="s">
        <v>51</v>
      </c>
      <c r="C689" s="3">
        <v>4</v>
      </c>
      <c r="D689" s="4">
        <v>35863</v>
      </c>
      <c r="E689" s="4">
        <v>35891</v>
      </c>
      <c r="F689" s="4">
        <v>35872</v>
      </c>
      <c r="G689" s="3">
        <v>3</v>
      </c>
      <c r="H689" s="3">
        <v>47.59</v>
      </c>
      <c r="I689" s="3" t="s">
        <v>52</v>
      </c>
      <c r="J689" s="3" t="s">
        <v>53</v>
      </c>
      <c r="K689" s="3">
        <v>12</v>
      </c>
      <c r="L689" s="3" t="s">
        <v>54</v>
      </c>
      <c r="M689" s="3" t="s">
        <v>55</v>
      </c>
      <c r="N689" s="3" t="s">
        <v>56</v>
      </c>
      <c r="O689" s="3" t="s">
        <v>31</v>
      </c>
      <c r="P689" t="str">
        <f t="shared" si="51"/>
        <v>Rua do Mercado 12</v>
      </c>
      <c r="Q689" t="str">
        <f t="shared" si="55"/>
        <v>Resende</v>
      </c>
      <c r="R689" t="str">
        <f t="shared" si="52"/>
        <v>SP</v>
      </c>
      <c r="S689" t="str">
        <f t="shared" si="53"/>
        <v>08737-363</v>
      </c>
      <c r="T689" t="str">
        <f t="shared" si="54"/>
        <v>Brazil</v>
      </c>
    </row>
    <row r="690" spans="1:20" x14ac:dyDescent="0.2">
      <c r="A690" s="1">
        <v>10936</v>
      </c>
      <c r="B690" s="3" t="s">
        <v>374</v>
      </c>
      <c r="C690" s="3">
        <v>3</v>
      </c>
      <c r="D690" s="4">
        <v>35863</v>
      </c>
      <c r="E690" s="4">
        <v>35891</v>
      </c>
      <c r="F690" s="4">
        <v>35872</v>
      </c>
      <c r="G690" s="3">
        <v>2</v>
      </c>
      <c r="H690" s="3">
        <v>33.68</v>
      </c>
      <c r="I690" s="3" t="s">
        <v>375</v>
      </c>
      <c r="J690" s="3" t="s">
        <v>376</v>
      </c>
      <c r="K690" s="3" t="s">
        <v>377</v>
      </c>
      <c r="L690" s="3" t="s">
        <v>202</v>
      </c>
      <c r="M690" s="3">
        <v>97403</v>
      </c>
      <c r="N690" s="3" t="s">
        <v>86</v>
      </c>
      <c r="O690" s="2"/>
      <c r="P690" t="str">
        <f t="shared" si="51"/>
        <v>2732 Baker Blvd.</v>
      </c>
      <c r="Q690" t="str">
        <f t="shared" si="55"/>
        <v>Eugene</v>
      </c>
      <c r="R690" t="str">
        <f t="shared" si="52"/>
        <v>OR</v>
      </c>
      <c r="S690">
        <f t="shared" si="53"/>
        <v>97403</v>
      </c>
      <c r="T690" t="str">
        <f t="shared" si="54"/>
        <v>USA</v>
      </c>
    </row>
    <row r="691" spans="1:20" x14ac:dyDescent="0.2">
      <c r="A691" s="1">
        <v>10937</v>
      </c>
      <c r="B691" s="3" t="s">
        <v>371</v>
      </c>
      <c r="C691" s="3">
        <v>7</v>
      </c>
      <c r="D691" s="4">
        <v>35864</v>
      </c>
      <c r="E691" s="4">
        <v>35878</v>
      </c>
      <c r="F691" s="4">
        <v>35867</v>
      </c>
      <c r="G691" s="3">
        <v>3</v>
      </c>
      <c r="H691" s="3">
        <v>31.51</v>
      </c>
      <c r="I691" s="3" t="s">
        <v>372</v>
      </c>
      <c r="J691" s="3" t="s">
        <v>373</v>
      </c>
      <c r="K691" s="3" t="s">
        <v>336</v>
      </c>
      <c r="L691" s="3" t="s">
        <v>18</v>
      </c>
      <c r="M691" s="3">
        <v>1010</v>
      </c>
      <c r="N691" s="3" t="s">
        <v>337</v>
      </c>
      <c r="O691" s="2"/>
      <c r="P691" t="str">
        <f t="shared" si="51"/>
        <v>Cerrito 333</v>
      </c>
      <c r="Q691" t="str">
        <f t="shared" si="55"/>
        <v>Buenos Aires</v>
      </c>
      <c r="R691" t="str">
        <f t="shared" si="52"/>
        <v>NULL</v>
      </c>
      <c r="S691">
        <f t="shared" si="53"/>
        <v>1010</v>
      </c>
      <c r="T691" t="str">
        <f t="shared" si="54"/>
        <v>Argentina</v>
      </c>
    </row>
    <row r="692" spans="1:20" x14ac:dyDescent="0.2">
      <c r="A692" s="1">
        <v>10938</v>
      </c>
      <c r="B692" s="3" t="s">
        <v>121</v>
      </c>
      <c r="C692" s="3">
        <v>3</v>
      </c>
      <c r="D692" s="4">
        <v>35864</v>
      </c>
      <c r="E692" s="4">
        <v>35892</v>
      </c>
      <c r="F692" s="4">
        <v>35870</v>
      </c>
      <c r="G692" s="3">
        <v>2</v>
      </c>
      <c r="H692" s="3">
        <v>31.89</v>
      </c>
      <c r="I692" s="3" t="s">
        <v>122</v>
      </c>
      <c r="J692" s="3" t="s">
        <v>123</v>
      </c>
      <c r="K692" s="3" t="s">
        <v>124</v>
      </c>
      <c r="L692" s="3" t="s">
        <v>18</v>
      </c>
      <c r="M692" s="3">
        <v>1307</v>
      </c>
      <c r="N692" s="3" t="s">
        <v>24</v>
      </c>
      <c r="O692" s="2"/>
      <c r="P692" t="str">
        <f t="shared" si="51"/>
        <v>Taucherstraße 10</v>
      </c>
      <c r="Q692" t="str">
        <f t="shared" si="55"/>
        <v>Cunewalde</v>
      </c>
      <c r="R692" t="str">
        <f t="shared" si="52"/>
        <v>NULL</v>
      </c>
      <c r="S692">
        <f t="shared" si="53"/>
        <v>1307</v>
      </c>
      <c r="T692" t="str">
        <f t="shared" si="54"/>
        <v>Germany</v>
      </c>
    </row>
    <row r="693" spans="1:20" x14ac:dyDescent="0.2">
      <c r="A693" s="1">
        <v>10939</v>
      </c>
      <c r="B693" s="3" t="s">
        <v>125</v>
      </c>
      <c r="C693" s="3">
        <v>2</v>
      </c>
      <c r="D693" s="4">
        <v>35864</v>
      </c>
      <c r="E693" s="4">
        <v>35892</v>
      </c>
      <c r="F693" s="4">
        <v>35867</v>
      </c>
      <c r="G693" s="3">
        <v>2</v>
      </c>
      <c r="H693" s="3">
        <v>76.33</v>
      </c>
      <c r="I693" s="3" t="s">
        <v>126</v>
      </c>
      <c r="J693" s="3" t="s">
        <v>127</v>
      </c>
      <c r="K693" s="3" t="s">
        <v>128</v>
      </c>
      <c r="L693" s="3" t="s">
        <v>18</v>
      </c>
      <c r="M693" s="3">
        <v>24100</v>
      </c>
      <c r="N693" s="3" t="s">
        <v>129</v>
      </c>
      <c r="O693" s="2"/>
      <c r="P693" t="str">
        <f t="shared" si="51"/>
        <v>Via Ludovico il Moro 22</v>
      </c>
      <c r="Q693" t="str">
        <f t="shared" si="55"/>
        <v>Bergamo</v>
      </c>
      <c r="R693" t="str">
        <f t="shared" si="52"/>
        <v>NULL</v>
      </c>
      <c r="S693">
        <f t="shared" si="53"/>
        <v>24100</v>
      </c>
      <c r="T693" t="str">
        <f t="shared" si="54"/>
        <v>Italy</v>
      </c>
    </row>
    <row r="694" spans="1:20" x14ac:dyDescent="0.2">
      <c r="A694" s="1">
        <v>10940</v>
      </c>
      <c r="B694" s="3" t="s">
        <v>239</v>
      </c>
      <c r="C694" s="3">
        <v>8</v>
      </c>
      <c r="D694" s="4">
        <v>35865</v>
      </c>
      <c r="E694" s="4">
        <v>35893</v>
      </c>
      <c r="F694" s="4">
        <v>35877</v>
      </c>
      <c r="G694" s="3">
        <v>3</v>
      </c>
      <c r="H694" s="3">
        <v>19.77</v>
      </c>
      <c r="I694" s="3" t="s">
        <v>240</v>
      </c>
      <c r="J694" s="3">
        <v>12</v>
      </c>
      <c r="K694" s="3" t="s">
        <v>241</v>
      </c>
      <c r="L694" s="3" t="s">
        <v>242</v>
      </c>
      <c r="M694" s="3" t="s">
        <v>18</v>
      </c>
      <c r="N694" s="3">
        <v>13008</v>
      </c>
      <c r="O694" s="3" t="s">
        <v>19</v>
      </c>
      <c r="P694" t="str">
        <f t="shared" si="51"/>
        <v>12  rue des Bouchers</v>
      </c>
      <c r="Q694" t="str">
        <f t="shared" si="55"/>
        <v>Marseille</v>
      </c>
      <c r="R694" t="str">
        <f t="shared" si="52"/>
        <v>NULL</v>
      </c>
      <c r="S694">
        <f t="shared" si="53"/>
        <v>13008</v>
      </c>
      <c r="T694" t="str">
        <f t="shared" si="54"/>
        <v>France</v>
      </c>
    </row>
    <row r="695" spans="1:20" x14ac:dyDescent="0.2">
      <c r="A695" s="1">
        <v>10941</v>
      </c>
      <c r="B695" s="3" t="s">
        <v>226</v>
      </c>
      <c r="C695" s="3">
        <v>7</v>
      </c>
      <c r="D695" s="4">
        <v>35865</v>
      </c>
      <c r="E695" s="4">
        <v>35893</v>
      </c>
      <c r="F695" s="4">
        <v>35874</v>
      </c>
      <c r="G695" s="3">
        <v>2</v>
      </c>
      <c r="H695" s="3">
        <v>400.81</v>
      </c>
      <c r="I695" s="3" t="s">
        <v>227</v>
      </c>
      <c r="J695" s="3" t="s">
        <v>228</v>
      </c>
      <c r="K695" s="3" t="s">
        <v>229</v>
      </c>
      <c r="L695" s="3" t="s">
        <v>230</v>
      </c>
      <c r="M695" s="3">
        <v>83720</v>
      </c>
      <c r="N695" s="3" t="s">
        <v>86</v>
      </c>
      <c r="O695" s="2"/>
      <c r="P695" t="str">
        <f t="shared" si="51"/>
        <v>187 Suffolk Ln.</v>
      </c>
      <c r="Q695" t="str">
        <f t="shared" si="55"/>
        <v>Boise</v>
      </c>
      <c r="R695" t="str">
        <f t="shared" si="52"/>
        <v>ID</v>
      </c>
      <c r="S695">
        <f t="shared" si="53"/>
        <v>83720</v>
      </c>
      <c r="T695" t="str">
        <f t="shared" si="54"/>
        <v>USA</v>
      </c>
    </row>
    <row r="696" spans="1:20" x14ac:dyDescent="0.2">
      <c r="A696" s="1">
        <v>10942</v>
      </c>
      <c r="B696" s="3" t="s">
        <v>160</v>
      </c>
      <c r="C696" s="3">
        <v>9</v>
      </c>
      <c r="D696" s="4">
        <v>35865</v>
      </c>
      <c r="E696" s="4">
        <v>35893</v>
      </c>
      <c r="F696" s="4">
        <v>35872</v>
      </c>
      <c r="G696" s="3">
        <v>3</v>
      </c>
      <c r="H696" s="3">
        <v>17.95</v>
      </c>
      <c r="I696" s="3" t="s">
        <v>161</v>
      </c>
      <c r="J696" s="3" t="s">
        <v>162</v>
      </c>
      <c r="K696" s="3" t="s">
        <v>163</v>
      </c>
      <c r="L696" s="3" t="s">
        <v>18</v>
      </c>
      <c r="M696" s="3">
        <v>42100</v>
      </c>
      <c r="N696" s="3" t="s">
        <v>129</v>
      </c>
      <c r="O696" s="2"/>
      <c r="P696" t="str">
        <f t="shared" si="51"/>
        <v>Strada Provinciale 124</v>
      </c>
      <c r="Q696" t="str">
        <f t="shared" si="55"/>
        <v>Reggio Emilia</v>
      </c>
      <c r="R696" t="str">
        <f t="shared" si="52"/>
        <v>NULL</v>
      </c>
      <c r="S696">
        <f t="shared" si="53"/>
        <v>42100</v>
      </c>
      <c r="T696" t="str">
        <f t="shared" si="54"/>
        <v>Italy</v>
      </c>
    </row>
    <row r="697" spans="1:20" x14ac:dyDescent="0.2">
      <c r="A697" s="1">
        <v>10943</v>
      </c>
      <c r="B697" s="3" t="s">
        <v>164</v>
      </c>
      <c r="C697" s="3">
        <v>4</v>
      </c>
      <c r="D697" s="4">
        <v>35865</v>
      </c>
      <c r="E697" s="4">
        <v>35893</v>
      </c>
      <c r="F697" s="4">
        <v>35873</v>
      </c>
      <c r="G697" s="3">
        <v>2</v>
      </c>
      <c r="H697" s="3">
        <v>2.17</v>
      </c>
      <c r="I697" s="3" t="s">
        <v>165</v>
      </c>
      <c r="J697" s="3" t="s">
        <v>166</v>
      </c>
      <c r="K697" s="3" t="s">
        <v>167</v>
      </c>
      <c r="L697" s="3" t="s">
        <v>18</v>
      </c>
      <c r="M697" s="3" t="s">
        <v>168</v>
      </c>
      <c r="N697" s="3" t="s">
        <v>169</v>
      </c>
      <c r="O697" s="2"/>
      <c r="P697" t="str">
        <f t="shared" si="51"/>
        <v>Fauntleroy Circus</v>
      </c>
      <c r="Q697" t="str">
        <f t="shared" si="55"/>
        <v>London</v>
      </c>
      <c r="R697" t="str">
        <f t="shared" si="52"/>
        <v>NULL</v>
      </c>
      <c r="S697" t="str">
        <f t="shared" si="53"/>
        <v>EC2 5NT</v>
      </c>
      <c r="T697" t="str">
        <f t="shared" si="54"/>
        <v>UK</v>
      </c>
    </row>
    <row r="698" spans="1:20" x14ac:dyDescent="0.2">
      <c r="A698" s="1">
        <v>10944</v>
      </c>
      <c r="B698" s="3" t="s">
        <v>318</v>
      </c>
      <c r="C698" s="3">
        <v>6</v>
      </c>
      <c r="D698" s="4">
        <v>35866</v>
      </c>
      <c r="E698" s="4">
        <v>35880</v>
      </c>
      <c r="F698" s="4">
        <v>35867</v>
      </c>
      <c r="G698" s="3">
        <v>3</v>
      </c>
      <c r="H698" s="3">
        <v>52.92</v>
      </c>
      <c r="I698" s="3" t="s">
        <v>319</v>
      </c>
      <c r="J698" s="3" t="s">
        <v>320</v>
      </c>
      <c r="K698" s="3" t="s">
        <v>321</v>
      </c>
      <c r="L698" s="3" t="s">
        <v>322</v>
      </c>
      <c r="M698" s="3" t="s">
        <v>323</v>
      </c>
      <c r="N698" s="3" t="s">
        <v>249</v>
      </c>
      <c r="O698" s="2"/>
      <c r="P698" t="str">
        <f t="shared" si="51"/>
        <v>23 Tsawassen Blvd.</v>
      </c>
      <c r="Q698" t="str">
        <f t="shared" si="55"/>
        <v>Tsawassen</v>
      </c>
      <c r="R698" t="str">
        <f t="shared" si="52"/>
        <v>BC</v>
      </c>
      <c r="S698" t="str">
        <f t="shared" si="53"/>
        <v>T2F 8M4</v>
      </c>
      <c r="T698" t="str">
        <f t="shared" si="54"/>
        <v>Canada</v>
      </c>
    </row>
    <row r="699" spans="1:20" x14ac:dyDescent="0.2">
      <c r="A699" s="1">
        <v>10945</v>
      </c>
      <c r="B699" s="3" t="s">
        <v>133</v>
      </c>
      <c r="C699" s="3">
        <v>4</v>
      </c>
      <c r="D699" s="4">
        <v>35866</v>
      </c>
      <c r="E699" s="4">
        <v>35894</v>
      </c>
      <c r="F699" s="4">
        <v>35872</v>
      </c>
      <c r="G699" s="3">
        <v>1</v>
      </c>
      <c r="H699" s="3">
        <v>10.220000000000001</v>
      </c>
      <c r="I699" s="3" t="s">
        <v>134</v>
      </c>
      <c r="J699" s="3" t="s">
        <v>135</v>
      </c>
      <c r="K699" s="3" t="s">
        <v>136</v>
      </c>
      <c r="L699" s="3" t="s">
        <v>18</v>
      </c>
      <c r="M699" s="3">
        <v>4179</v>
      </c>
      <c r="N699" s="3" t="s">
        <v>24</v>
      </c>
      <c r="O699" s="2"/>
      <c r="P699" t="str">
        <f t="shared" si="51"/>
        <v>Heerstr. 22</v>
      </c>
      <c r="Q699" t="str">
        <f t="shared" si="55"/>
        <v>Leipzig</v>
      </c>
      <c r="R699" t="str">
        <f t="shared" si="52"/>
        <v>NULL</v>
      </c>
      <c r="S699">
        <f t="shared" si="53"/>
        <v>4179</v>
      </c>
      <c r="T699" t="str">
        <f t="shared" si="54"/>
        <v>Germany</v>
      </c>
    </row>
    <row r="700" spans="1:20" x14ac:dyDescent="0.2">
      <c r="A700" s="1">
        <v>10946</v>
      </c>
      <c r="B700" s="3" t="s">
        <v>295</v>
      </c>
      <c r="C700" s="3">
        <v>1</v>
      </c>
      <c r="D700" s="4">
        <v>35866</v>
      </c>
      <c r="E700" s="4">
        <v>35894</v>
      </c>
      <c r="F700" s="4">
        <v>35873</v>
      </c>
      <c r="G700" s="3">
        <v>2</v>
      </c>
      <c r="H700" s="3">
        <v>27.2</v>
      </c>
      <c r="I700" s="3" t="s">
        <v>296</v>
      </c>
      <c r="J700" s="3" t="s">
        <v>297</v>
      </c>
      <c r="K700" s="3" t="s">
        <v>298</v>
      </c>
      <c r="L700" s="3" t="s">
        <v>18</v>
      </c>
      <c r="M700" s="3">
        <v>8200</v>
      </c>
      <c r="N700" s="3" t="s">
        <v>257</v>
      </c>
      <c r="O700" s="2"/>
      <c r="P700" t="str">
        <f t="shared" si="51"/>
        <v>Smagsloget 45</v>
      </c>
      <c r="Q700" t="str">
        <f t="shared" si="55"/>
        <v>Århus</v>
      </c>
      <c r="R700" t="str">
        <f t="shared" si="52"/>
        <v>NULL</v>
      </c>
      <c r="S700">
        <f t="shared" si="53"/>
        <v>8200</v>
      </c>
      <c r="T700" t="str">
        <f t="shared" si="54"/>
        <v>Denmark</v>
      </c>
    </row>
    <row r="701" spans="1:20" x14ac:dyDescent="0.2">
      <c r="A701" s="1">
        <v>10947</v>
      </c>
      <c r="B701" s="3" t="s">
        <v>164</v>
      </c>
      <c r="C701" s="3">
        <v>3</v>
      </c>
      <c r="D701" s="4">
        <v>35867</v>
      </c>
      <c r="E701" s="4">
        <v>35895</v>
      </c>
      <c r="F701" s="4">
        <v>35870</v>
      </c>
      <c r="G701" s="3">
        <v>2</v>
      </c>
      <c r="H701" s="3">
        <v>3.26</v>
      </c>
      <c r="I701" s="3" t="s">
        <v>165</v>
      </c>
      <c r="J701" s="3" t="s">
        <v>166</v>
      </c>
      <c r="K701" s="3" t="s">
        <v>167</v>
      </c>
      <c r="L701" s="3" t="s">
        <v>18</v>
      </c>
      <c r="M701" s="3" t="s">
        <v>168</v>
      </c>
      <c r="N701" s="3" t="s">
        <v>169</v>
      </c>
      <c r="O701" s="2"/>
      <c r="P701" t="str">
        <f t="shared" si="51"/>
        <v>Fauntleroy Circus</v>
      </c>
      <c r="Q701" t="str">
        <f t="shared" si="55"/>
        <v>London</v>
      </c>
      <c r="R701" t="str">
        <f t="shared" si="52"/>
        <v>NULL</v>
      </c>
      <c r="S701" t="str">
        <f t="shared" si="53"/>
        <v>EC2 5NT</v>
      </c>
      <c r="T701" t="str">
        <f t="shared" si="54"/>
        <v>UK</v>
      </c>
    </row>
    <row r="702" spans="1:20" x14ac:dyDescent="0.2">
      <c r="A702" s="1">
        <v>10948</v>
      </c>
      <c r="B702" s="3" t="s">
        <v>189</v>
      </c>
      <c r="C702" s="3">
        <v>3</v>
      </c>
      <c r="D702" s="4">
        <v>35867</v>
      </c>
      <c r="E702" s="4">
        <v>35895</v>
      </c>
      <c r="F702" s="4">
        <v>35873</v>
      </c>
      <c r="G702" s="3">
        <v>3</v>
      </c>
      <c r="H702" s="3">
        <v>23.39</v>
      </c>
      <c r="I702" s="3" t="s">
        <v>190</v>
      </c>
      <c r="J702" s="3" t="s">
        <v>191</v>
      </c>
      <c r="K702" s="3">
        <v>33</v>
      </c>
      <c r="L702" s="3" t="s">
        <v>192</v>
      </c>
      <c r="M702" s="3" t="s">
        <v>18</v>
      </c>
      <c r="N702" s="3">
        <v>41101</v>
      </c>
      <c r="O702" s="3" t="s">
        <v>150</v>
      </c>
      <c r="P702" t="str">
        <f t="shared" si="51"/>
        <v>C/ Romero 33</v>
      </c>
      <c r="Q702" t="str">
        <f t="shared" si="55"/>
        <v>Sevilla</v>
      </c>
      <c r="R702" t="str">
        <f t="shared" si="52"/>
        <v>NULL</v>
      </c>
      <c r="S702">
        <f t="shared" si="53"/>
        <v>41101</v>
      </c>
      <c r="T702" t="str">
        <f t="shared" si="54"/>
        <v>Spain</v>
      </c>
    </row>
    <row r="703" spans="1:20" x14ac:dyDescent="0.2">
      <c r="A703" s="1">
        <v>10949</v>
      </c>
      <c r="B703" s="3" t="s">
        <v>318</v>
      </c>
      <c r="C703" s="3">
        <v>2</v>
      </c>
      <c r="D703" s="4">
        <v>35867</v>
      </c>
      <c r="E703" s="4">
        <v>35895</v>
      </c>
      <c r="F703" s="4">
        <v>35871</v>
      </c>
      <c r="G703" s="3">
        <v>3</v>
      </c>
      <c r="H703" s="3">
        <v>74.44</v>
      </c>
      <c r="I703" s="3" t="s">
        <v>319</v>
      </c>
      <c r="J703" s="3" t="s">
        <v>320</v>
      </c>
      <c r="K703" s="3" t="s">
        <v>321</v>
      </c>
      <c r="L703" s="3" t="s">
        <v>322</v>
      </c>
      <c r="M703" s="3" t="s">
        <v>323</v>
      </c>
      <c r="N703" s="3" t="s">
        <v>249</v>
      </c>
      <c r="O703" s="2"/>
      <c r="P703" t="str">
        <f t="shared" si="51"/>
        <v>23 Tsawassen Blvd.</v>
      </c>
      <c r="Q703" t="str">
        <f t="shared" si="55"/>
        <v>Tsawassen</v>
      </c>
      <c r="R703" t="str">
        <f t="shared" si="52"/>
        <v>BC</v>
      </c>
      <c r="S703" t="str">
        <f t="shared" si="53"/>
        <v>T2F 8M4</v>
      </c>
      <c r="T703" t="str">
        <f t="shared" si="54"/>
        <v>Canada</v>
      </c>
    </row>
    <row r="704" spans="1:20" x14ac:dyDescent="0.2">
      <c r="A704" s="1">
        <v>10950</v>
      </c>
      <c r="B704" s="3" t="s">
        <v>125</v>
      </c>
      <c r="C704" s="3">
        <v>1</v>
      </c>
      <c r="D704" s="4">
        <v>35870</v>
      </c>
      <c r="E704" s="4">
        <v>35898</v>
      </c>
      <c r="F704" s="4">
        <v>35877</v>
      </c>
      <c r="G704" s="3">
        <v>2</v>
      </c>
      <c r="H704" s="3">
        <v>2.5</v>
      </c>
      <c r="I704" s="3" t="s">
        <v>126</v>
      </c>
      <c r="J704" s="3" t="s">
        <v>127</v>
      </c>
      <c r="K704" s="3" t="s">
        <v>128</v>
      </c>
      <c r="L704" s="3" t="s">
        <v>18</v>
      </c>
      <c r="M704" s="3">
        <v>24100</v>
      </c>
      <c r="N704" s="3" t="s">
        <v>129</v>
      </c>
      <c r="O704" s="2"/>
      <c r="P704" t="str">
        <f t="shared" si="51"/>
        <v>Via Ludovico il Moro 22</v>
      </c>
      <c r="Q704" t="str">
        <f t="shared" si="55"/>
        <v>Bergamo</v>
      </c>
      <c r="R704" t="str">
        <f t="shared" si="52"/>
        <v>NULL</v>
      </c>
      <c r="S704">
        <f t="shared" si="53"/>
        <v>24100</v>
      </c>
      <c r="T704" t="str">
        <f t="shared" si="54"/>
        <v>Italy</v>
      </c>
    </row>
    <row r="705" spans="1:20" x14ac:dyDescent="0.2">
      <c r="A705" s="1">
        <v>10951</v>
      </c>
      <c r="B705" s="3" t="s">
        <v>47</v>
      </c>
      <c r="C705" s="3">
        <v>9</v>
      </c>
      <c r="D705" s="4">
        <v>35870</v>
      </c>
      <c r="E705" s="4">
        <v>35912</v>
      </c>
      <c r="F705" s="4">
        <v>35892</v>
      </c>
      <c r="G705" s="3">
        <v>2</v>
      </c>
      <c r="H705" s="3">
        <v>30.85</v>
      </c>
      <c r="I705" s="3" t="s">
        <v>48</v>
      </c>
      <c r="J705" s="3" t="s">
        <v>49</v>
      </c>
      <c r="K705" s="3" t="s">
        <v>50</v>
      </c>
      <c r="L705" s="3" t="s">
        <v>18</v>
      </c>
      <c r="M705" s="3">
        <v>1204</v>
      </c>
      <c r="N705" s="3" t="s">
        <v>46</v>
      </c>
      <c r="O705" s="2"/>
      <c r="P705" t="str">
        <f t="shared" si="51"/>
        <v>Starenweg 5</v>
      </c>
      <c r="Q705" t="str">
        <f t="shared" si="55"/>
        <v>Genève</v>
      </c>
      <c r="R705" t="str">
        <f t="shared" si="52"/>
        <v>NULL</v>
      </c>
      <c r="S705">
        <f t="shared" si="53"/>
        <v>1204</v>
      </c>
      <c r="T705" t="str">
        <f t="shared" si="54"/>
        <v>Switzerland</v>
      </c>
    </row>
    <row r="706" spans="1:20" x14ac:dyDescent="0.2">
      <c r="A706" s="1">
        <v>10952</v>
      </c>
      <c r="B706" s="3" t="s">
        <v>401</v>
      </c>
      <c r="C706" s="3">
        <v>1</v>
      </c>
      <c r="D706" s="4">
        <v>35870</v>
      </c>
      <c r="E706" s="4">
        <v>35912</v>
      </c>
      <c r="F706" s="4">
        <v>35878</v>
      </c>
      <c r="G706" s="3">
        <v>1</v>
      </c>
      <c r="H706" s="3">
        <v>40.42</v>
      </c>
      <c r="I706" s="3" t="s">
        <v>408</v>
      </c>
      <c r="J706" s="3" t="s">
        <v>403</v>
      </c>
      <c r="K706" s="3" t="s">
        <v>404</v>
      </c>
      <c r="L706" s="3" t="s">
        <v>18</v>
      </c>
      <c r="M706" s="3">
        <v>12209</v>
      </c>
      <c r="N706" s="3" t="s">
        <v>24</v>
      </c>
      <c r="O706" s="2"/>
      <c r="P706" t="str">
        <f t="shared" ref="P706:P769" si="56">IF(O706&lt;&gt;"",J706&amp;" "&amp;K706,J706)</f>
        <v>Obere Str. 57</v>
      </c>
      <c r="Q706" t="str">
        <f t="shared" si="55"/>
        <v>Berlin</v>
      </c>
      <c r="R706" t="str">
        <f t="shared" si="52"/>
        <v>NULL</v>
      </c>
      <c r="S706">
        <f t="shared" si="53"/>
        <v>12209</v>
      </c>
      <c r="T706" t="str">
        <f t="shared" si="54"/>
        <v>Germany</v>
      </c>
    </row>
    <row r="707" spans="1:20" x14ac:dyDescent="0.2">
      <c r="A707" s="1">
        <v>10953</v>
      </c>
      <c r="B707" s="3" t="s">
        <v>270</v>
      </c>
      <c r="C707" s="3">
        <v>9</v>
      </c>
      <c r="D707" s="4">
        <v>35870</v>
      </c>
      <c r="E707" s="4">
        <v>35884</v>
      </c>
      <c r="F707" s="4">
        <v>35879</v>
      </c>
      <c r="G707" s="3">
        <v>2</v>
      </c>
      <c r="H707" s="3">
        <v>23.72</v>
      </c>
      <c r="I707" s="3" t="s">
        <v>271</v>
      </c>
      <c r="J707" s="3" t="s">
        <v>272</v>
      </c>
      <c r="K707" s="3" t="s">
        <v>273</v>
      </c>
      <c r="L707" s="3" t="s">
        <v>274</v>
      </c>
      <c r="M707" s="3" t="s">
        <v>275</v>
      </c>
      <c r="N707" s="3" t="s">
        <v>169</v>
      </c>
      <c r="O707" s="2"/>
      <c r="P707" t="str">
        <f t="shared" si="56"/>
        <v>Brook Farm Stratford St. Mary</v>
      </c>
      <c r="Q707" t="str">
        <f t="shared" si="55"/>
        <v>Colchester</v>
      </c>
      <c r="R707" t="str">
        <f t="shared" ref="R707:R770" si="57">IF(O707&lt;&gt;"",M707,L707)</f>
        <v>Essex</v>
      </c>
      <c r="S707" t="str">
        <f t="shared" ref="S707:S770" si="58">IF(O707&lt;&gt;"",N707,M707)</f>
        <v>CO7 6JX</v>
      </c>
      <c r="T707" t="str">
        <f t="shared" ref="T707:T770" si="59">IF(O707&lt;&gt;"",O707,N707)</f>
        <v>UK</v>
      </c>
    </row>
    <row r="708" spans="1:20" x14ac:dyDescent="0.2">
      <c r="A708" s="1">
        <v>10954</v>
      </c>
      <c r="B708" s="3" t="s">
        <v>324</v>
      </c>
      <c r="C708" s="3">
        <v>5</v>
      </c>
      <c r="D708" s="4">
        <v>35871</v>
      </c>
      <c r="E708" s="4">
        <v>35913</v>
      </c>
      <c r="F708" s="4">
        <v>35874</v>
      </c>
      <c r="G708" s="3">
        <v>1</v>
      </c>
      <c r="H708" s="3">
        <v>27.91</v>
      </c>
      <c r="I708" s="3" t="s">
        <v>325</v>
      </c>
      <c r="J708" s="3" t="s">
        <v>326</v>
      </c>
      <c r="K708" s="3" t="s">
        <v>327</v>
      </c>
      <c r="L708" s="3" t="s">
        <v>328</v>
      </c>
      <c r="M708" s="3">
        <v>4980</v>
      </c>
      <c r="N708" s="3" t="s">
        <v>62</v>
      </c>
      <c r="O708" s="2"/>
      <c r="P708" t="str">
        <f t="shared" si="56"/>
        <v>Ave. 5 de Mayo Porlamar</v>
      </c>
      <c r="Q708" t="str">
        <f t="shared" si="55"/>
        <v>I. de Margarita</v>
      </c>
      <c r="R708" t="str">
        <f t="shared" si="57"/>
        <v>Nueva Esparta</v>
      </c>
      <c r="S708">
        <f t="shared" si="58"/>
        <v>4980</v>
      </c>
      <c r="T708" t="str">
        <f t="shared" si="59"/>
        <v>Venezuela</v>
      </c>
    </row>
    <row r="709" spans="1:20" x14ac:dyDescent="0.2">
      <c r="A709" s="1">
        <v>10955</v>
      </c>
      <c r="B709" s="3" t="s">
        <v>87</v>
      </c>
      <c r="C709" s="3">
        <v>8</v>
      </c>
      <c r="D709" s="4">
        <v>35871</v>
      </c>
      <c r="E709" s="4">
        <v>35899</v>
      </c>
      <c r="F709" s="4">
        <v>35874</v>
      </c>
      <c r="G709" s="3">
        <v>2</v>
      </c>
      <c r="H709" s="3">
        <v>3.26</v>
      </c>
      <c r="I709" s="3" t="s">
        <v>88</v>
      </c>
      <c r="J709" s="3" t="s">
        <v>89</v>
      </c>
      <c r="K709" s="3" t="s">
        <v>90</v>
      </c>
      <c r="L709" s="3" t="s">
        <v>18</v>
      </c>
      <c r="M709" s="3" t="s">
        <v>91</v>
      </c>
      <c r="N709" s="3" t="s">
        <v>92</v>
      </c>
      <c r="O709" s="2"/>
      <c r="P709" t="str">
        <f t="shared" si="56"/>
        <v>Åkergatan 24</v>
      </c>
      <c r="Q709" t="str">
        <f t="shared" si="55"/>
        <v>Bräcke</v>
      </c>
      <c r="R709" t="str">
        <f t="shared" si="57"/>
        <v>NULL</v>
      </c>
      <c r="S709" t="str">
        <f t="shared" si="58"/>
        <v>S-844 67</v>
      </c>
      <c r="T709" t="str">
        <f t="shared" si="59"/>
        <v>Sweden</v>
      </c>
    </row>
    <row r="710" spans="1:20" x14ac:dyDescent="0.2">
      <c r="A710" s="1">
        <v>10956</v>
      </c>
      <c r="B710" s="3" t="s">
        <v>363</v>
      </c>
      <c r="C710" s="3">
        <v>6</v>
      </c>
      <c r="D710" s="4">
        <v>35871</v>
      </c>
      <c r="E710" s="4">
        <v>35913</v>
      </c>
      <c r="F710" s="4">
        <v>35874</v>
      </c>
      <c r="G710" s="3">
        <v>2</v>
      </c>
      <c r="H710" s="3">
        <v>44.65</v>
      </c>
      <c r="I710" s="3" t="s">
        <v>364</v>
      </c>
      <c r="J710" s="3" t="s">
        <v>365</v>
      </c>
      <c r="K710" s="3" t="s">
        <v>366</v>
      </c>
      <c r="L710" s="3" t="s">
        <v>18</v>
      </c>
      <c r="M710" s="3">
        <v>68306</v>
      </c>
      <c r="N710" s="3" t="s">
        <v>24</v>
      </c>
      <c r="O710" s="2"/>
      <c r="P710" t="str">
        <f t="shared" si="56"/>
        <v>Forsterstr. 57</v>
      </c>
      <c r="Q710" t="str">
        <f t="shared" si="55"/>
        <v>Mannheim</v>
      </c>
      <c r="R710" t="str">
        <f t="shared" si="57"/>
        <v>NULL</v>
      </c>
      <c r="S710">
        <f t="shared" si="58"/>
        <v>68306</v>
      </c>
      <c r="T710" t="str">
        <f t="shared" si="59"/>
        <v>Germany</v>
      </c>
    </row>
    <row r="711" spans="1:20" x14ac:dyDescent="0.2">
      <c r="A711" s="1">
        <v>10957</v>
      </c>
      <c r="B711" s="3" t="s">
        <v>57</v>
      </c>
      <c r="C711" s="3">
        <v>8</v>
      </c>
      <c r="D711" s="4">
        <v>35872</v>
      </c>
      <c r="E711" s="4">
        <v>35900</v>
      </c>
      <c r="F711" s="4">
        <v>35881</v>
      </c>
      <c r="G711" s="3">
        <v>3</v>
      </c>
      <c r="H711" s="3">
        <v>105.36</v>
      </c>
      <c r="I711" s="3" t="s">
        <v>58</v>
      </c>
      <c r="J711" s="3" t="s">
        <v>59</v>
      </c>
      <c r="K711" s="3" t="s">
        <v>60</v>
      </c>
      <c r="L711" s="3" t="s">
        <v>61</v>
      </c>
      <c r="M711" s="3">
        <v>5022</v>
      </c>
      <c r="N711" s="3" t="s">
        <v>62</v>
      </c>
      <c r="O711" s="2"/>
      <c r="P711" t="str">
        <f t="shared" si="56"/>
        <v>Carrera 22 con Ave. Carlos Soublette #8-35</v>
      </c>
      <c r="Q711" t="str">
        <f t="shared" ref="Q711:Q774" si="60">IF(O711&lt;&gt;"",L711,K711)</f>
        <v>San Cristóbal</v>
      </c>
      <c r="R711" t="str">
        <f t="shared" si="57"/>
        <v>Táchira</v>
      </c>
      <c r="S711">
        <f t="shared" si="58"/>
        <v>5022</v>
      </c>
      <c r="T711" t="str">
        <f t="shared" si="59"/>
        <v>Venezuela</v>
      </c>
    </row>
    <row r="712" spans="1:20" x14ac:dyDescent="0.2">
      <c r="A712" s="1">
        <v>10958</v>
      </c>
      <c r="B712" s="3" t="s">
        <v>333</v>
      </c>
      <c r="C712" s="3">
        <v>7</v>
      </c>
      <c r="D712" s="4">
        <v>35872</v>
      </c>
      <c r="E712" s="4">
        <v>35900</v>
      </c>
      <c r="F712" s="4">
        <v>35881</v>
      </c>
      <c r="G712" s="3">
        <v>2</v>
      </c>
      <c r="H712" s="3">
        <v>49.56</v>
      </c>
      <c r="I712" s="3" t="s">
        <v>334</v>
      </c>
      <c r="J712" s="3" t="s">
        <v>335</v>
      </c>
      <c r="K712" s="3" t="s">
        <v>336</v>
      </c>
      <c r="L712" s="3" t="s">
        <v>18</v>
      </c>
      <c r="M712" s="3">
        <v>1010</v>
      </c>
      <c r="N712" s="3" t="s">
        <v>337</v>
      </c>
      <c r="O712" s="2"/>
      <c r="P712" t="str">
        <f t="shared" si="56"/>
        <v>Ing. Gustavo Moncada 8585 Piso 20-A</v>
      </c>
      <c r="Q712" t="str">
        <f t="shared" si="60"/>
        <v>Buenos Aires</v>
      </c>
      <c r="R712" t="str">
        <f t="shared" si="57"/>
        <v>NULL</v>
      </c>
      <c r="S712">
        <f t="shared" si="58"/>
        <v>1010</v>
      </c>
      <c r="T712" t="str">
        <f t="shared" si="59"/>
        <v>Argentina</v>
      </c>
    </row>
    <row r="713" spans="1:20" x14ac:dyDescent="0.2">
      <c r="A713" s="1">
        <v>10959</v>
      </c>
      <c r="B713" s="3" t="s">
        <v>342</v>
      </c>
      <c r="C713" s="3">
        <v>6</v>
      </c>
      <c r="D713" s="4">
        <v>35872</v>
      </c>
      <c r="E713" s="4">
        <v>35914</v>
      </c>
      <c r="F713" s="4">
        <v>35877</v>
      </c>
      <c r="G713" s="3">
        <v>2</v>
      </c>
      <c r="H713" s="3">
        <v>4.9800000000000004</v>
      </c>
      <c r="I713" s="3" t="s">
        <v>343</v>
      </c>
      <c r="J713" s="3" t="s">
        <v>344</v>
      </c>
      <c r="K713" s="3">
        <v>442</v>
      </c>
      <c r="L713" s="3" t="s">
        <v>345</v>
      </c>
      <c r="M713" s="3" t="s">
        <v>55</v>
      </c>
      <c r="N713" s="3" t="s">
        <v>346</v>
      </c>
      <c r="O713" s="3" t="s">
        <v>31</v>
      </c>
      <c r="P713" t="str">
        <f t="shared" si="56"/>
        <v>Av. Brasil 442</v>
      </c>
      <c r="Q713" t="str">
        <f t="shared" si="60"/>
        <v>Campinas</v>
      </c>
      <c r="R713" t="str">
        <f t="shared" si="57"/>
        <v>SP</v>
      </c>
      <c r="S713" t="str">
        <f t="shared" si="58"/>
        <v>04876-786</v>
      </c>
      <c r="T713" t="str">
        <f t="shared" si="59"/>
        <v>Brazil</v>
      </c>
    </row>
    <row r="714" spans="1:20" x14ac:dyDescent="0.2">
      <c r="A714" s="1">
        <v>10960</v>
      </c>
      <c r="B714" s="3" t="s">
        <v>57</v>
      </c>
      <c r="C714" s="3">
        <v>3</v>
      </c>
      <c r="D714" s="4">
        <v>35873</v>
      </c>
      <c r="E714" s="4">
        <v>35887</v>
      </c>
      <c r="F714" s="4">
        <v>35893</v>
      </c>
      <c r="G714" s="3">
        <v>1</v>
      </c>
      <c r="H714" s="3">
        <v>2.08</v>
      </c>
      <c r="I714" s="3" t="s">
        <v>58</v>
      </c>
      <c r="J714" s="3" t="s">
        <v>59</v>
      </c>
      <c r="K714" s="3" t="s">
        <v>60</v>
      </c>
      <c r="L714" s="3" t="s">
        <v>61</v>
      </c>
      <c r="M714" s="3">
        <v>5022</v>
      </c>
      <c r="N714" s="3" t="s">
        <v>62</v>
      </c>
      <c r="O714" s="2"/>
      <c r="P714" t="str">
        <f t="shared" si="56"/>
        <v>Carrera 22 con Ave. Carlos Soublette #8-35</v>
      </c>
      <c r="Q714" t="str">
        <f t="shared" si="60"/>
        <v>San Cristóbal</v>
      </c>
      <c r="R714" t="str">
        <f t="shared" si="57"/>
        <v>Táchira</v>
      </c>
      <c r="S714">
        <f t="shared" si="58"/>
        <v>5022</v>
      </c>
      <c r="T714" t="str">
        <f t="shared" si="59"/>
        <v>Venezuela</v>
      </c>
    </row>
    <row r="715" spans="1:20" x14ac:dyDescent="0.2">
      <c r="A715" s="1">
        <v>10961</v>
      </c>
      <c r="B715" s="3" t="s">
        <v>299</v>
      </c>
      <c r="C715" s="3">
        <v>8</v>
      </c>
      <c r="D715" s="4">
        <v>35873</v>
      </c>
      <c r="E715" s="4">
        <v>35901</v>
      </c>
      <c r="F715" s="4">
        <v>35884</v>
      </c>
      <c r="G715" s="3">
        <v>1</v>
      </c>
      <c r="H715" s="3">
        <v>104.47</v>
      </c>
      <c r="I715" s="3" t="s">
        <v>300</v>
      </c>
      <c r="J715" s="3" t="s">
        <v>301</v>
      </c>
      <c r="K715" s="3">
        <v>891</v>
      </c>
      <c r="L715" s="3" t="s">
        <v>173</v>
      </c>
      <c r="M715" s="3" t="s">
        <v>55</v>
      </c>
      <c r="N715" s="3" t="s">
        <v>302</v>
      </c>
      <c r="O715" s="3" t="s">
        <v>31</v>
      </c>
      <c r="P715" t="str">
        <f t="shared" si="56"/>
        <v>Alameda dos Canàrios 891</v>
      </c>
      <c r="Q715" t="str">
        <f t="shared" si="60"/>
        <v>Sao Paulo</v>
      </c>
      <c r="R715" t="str">
        <f t="shared" si="57"/>
        <v>SP</v>
      </c>
      <c r="S715" t="str">
        <f t="shared" si="58"/>
        <v>05487-020</v>
      </c>
      <c r="T715" t="str">
        <f t="shared" si="59"/>
        <v>Brazil</v>
      </c>
    </row>
    <row r="716" spans="1:20" x14ac:dyDescent="0.2">
      <c r="A716" s="1">
        <v>10962</v>
      </c>
      <c r="B716" s="3" t="s">
        <v>121</v>
      </c>
      <c r="C716" s="3">
        <v>8</v>
      </c>
      <c r="D716" s="4">
        <v>35873</v>
      </c>
      <c r="E716" s="4">
        <v>35901</v>
      </c>
      <c r="F716" s="4">
        <v>35877</v>
      </c>
      <c r="G716" s="3">
        <v>2</v>
      </c>
      <c r="H716" s="3">
        <v>275.79000000000002</v>
      </c>
      <c r="I716" s="3" t="s">
        <v>122</v>
      </c>
      <c r="J716" s="3" t="s">
        <v>123</v>
      </c>
      <c r="K716" s="3" t="s">
        <v>124</v>
      </c>
      <c r="L716" s="3" t="s">
        <v>18</v>
      </c>
      <c r="M716" s="3">
        <v>1307</v>
      </c>
      <c r="N716" s="3" t="s">
        <v>24</v>
      </c>
      <c r="O716" s="2"/>
      <c r="P716" t="str">
        <f t="shared" si="56"/>
        <v>Taucherstraße 10</v>
      </c>
      <c r="Q716" t="str">
        <f t="shared" si="60"/>
        <v>Cunewalde</v>
      </c>
      <c r="R716" t="str">
        <f t="shared" si="57"/>
        <v>NULL</v>
      </c>
      <c r="S716">
        <f t="shared" si="58"/>
        <v>1307</v>
      </c>
      <c r="T716" t="str">
        <f t="shared" si="59"/>
        <v>Germany</v>
      </c>
    </row>
    <row r="717" spans="1:20" x14ac:dyDescent="0.2">
      <c r="A717" s="1">
        <v>10963</v>
      </c>
      <c r="B717" s="3" t="s">
        <v>234</v>
      </c>
      <c r="C717" s="3">
        <v>9</v>
      </c>
      <c r="D717" s="4">
        <v>35873</v>
      </c>
      <c r="E717" s="4">
        <v>35901</v>
      </c>
      <c r="F717" s="4">
        <v>35880</v>
      </c>
      <c r="G717" s="3">
        <v>3</v>
      </c>
      <c r="H717" s="3">
        <v>2.7</v>
      </c>
      <c r="I717" s="3" t="s">
        <v>235</v>
      </c>
      <c r="J717" s="3" t="s">
        <v>236</v>
      </c>
      <c r="K717" s="3" t="s">
        <v>237</v>
      </c>
      <c r="L717" s="3" t="s">
        <v>18</v>
      </c>
      <c r="M717" s="3">
        <v>1675</v>
      </c>
      <c r="N717" s="3" t="s">
        <v>238</v>
      </c>
      <c r="O717" s="2"/>
      <c r="P717" t="str">
        <f t="shared" si="56"/>
        <v>Jardim das rosas n. 32</v>
      </c>
      <c r="Q717" t="str">
        <f t="shared" si="60"/>
        <v>Lisboa</v>
      </c>
      <c r="R717" t="str">
        <f t="shared" si="57"/>
        <v>NULL</v>
      </c>
      <c r="S717">
        <f t="shared" si="58"/>
        <v>1675</v>
      </c>
      <c r="T717" t="str">
        <f t="shared" si="59"/>
        <v>Portugal</v>
      </c>
    </row>
    <row r="718" spans="1:20" x14ac:dyDescent="0.2">
      <c r="A718" s="1">
        <v>10964</v>
      </c>
      <c r="B718" s="3" t="s">
        <v>409</v>
      </c>
      <c r="C718" s="3">
        <v>3</v>
      </c>
      <c r="D718" s="4">
        <v>35874</v>
      </c>
      <c r="E718" s="4">
        <v>35902</v>
      </c>
      <c r="F718" s="4">
        <v>35878</v>
      </c>
      <c r="G718" s="3">
        <v>2</v>
      </c>
      <c r="H718" s="3">
        <v>87.38</v>
      </c>
      <c r="I718" s="3" t="s">
        <v>410</v>
      </c>
      <c r="J718" s="3">
        <v>25</v>
      </c>
      <c r="K718" s="3" t="s">
        <v>411</v>
      </c>
      <c r="L718" s="3" t="s">
        <v>412</v>
      </c>
      <c r="M718" s="3" t="s">
        <v>18</v>
      </c>
      <c r="N718" s="3">
        <v>75016</v>
      </c>
      <c r="O718" s="3" t="s">
        <v>19</v>
      </c>
      <c r="P718" t="str">
        <f t="shared" si="56"/>
        <v>25  rue Lauriston</v>
      </c>
      <c r="Q718" t="str">
        <f t="shared" si="60"/>
        <v>Paris</v>
      </c>
      <c r="R718" t="str">
        <f t="shared" si="57"/>
        <v>NULL</v>
      </c>
      <c r="S718">
        <f t="shared" si="58"/>
        <v>75016</v>
      </c>
      <c r="T718" t="str">
        <f t="shared" si="59"/>
        <v>France</v>
      </c>
    </row>
    <row r="719" spans="1:20" x14ac:dyDescent="0.2">
      <c r="A719" s="1">
        <v>10965</v>
      </c>
      <c r="B719" s="3" t="s">
        <v>193</v>
      </c>
      <c r="C719" s="3">
        <v>6</v>
      </c>
      <c r="D719" s="4">
        <v>35874</v>
      </c>
      <c r="E719" s="4">
        <v>35902</v>
      </c>
      <c r="F719" s="4">
        <v>35884</v>
      </c>
      <c r="G719" s="3">
        <v>3</v>
      </c>
      <c r="H719" s="3">
        <v>144.38</v>
      </c>
      <c r="I719" s="3" t="s">
        <v>194</v>
      </c>
      <c r="J719" s="3" t="s">
        <v>195</v>
      </c>
      <c r="K719" s="3" t="s">
        <v>196</v>
      </c>
      <c r="L719" s="3" t="s">
        <v>197</v>
      </c>
      <c r="M719" s="3">
        <v>99508</v>
      </c>
      <c r="N719" s="3" t="s">
        <v>86</v>
      </c>
      <c r="O719" s="2"/>
      <c r="P719" t="str">
        <f t="shared" si="56"/>
        <v>2743 Bering St.</v>
      </c>
      <c r="Q719" t="str">
        <f t="shared" si="60"/>
        <v>Anchorage</v>
      </c>
      <c r="R719" t="str">
        <f t="shared" si="57"/>
        <v>AK</v>
      </c>
      <c r="S719">
        <f t="shared" si="58"/>
        <v>99508</v>
      </c>
      <c r="T719" t="str">
        <f t="shared" si="59"/>
        <v>USA</v>
      </c>
    </row>
    <row r="720" spans="1:20" x14ac:dyDescent="0.2">
      <c r="A720" s="1">
        <v>10966</v>
      </c>
      <c r="B720" s="3" t="s">
        <v>42</v>
      </c>
      <c r="C720" s="3">
        <v>4</v>
      </c>
      <c r="D720" s="4">
        <v>35874</v>
      </c>
      <c r="E720" s="4">
        <v>35902</v>
      </c>
      <c r="F720" s="4">
        <v>35893</v>
      </c>
      <c r="G720" s="3">
        <v>1</v>
      </c>
      <c r="H720" s="3">
        <v>27.19</v>
      </c>
      <c r="I720" s="3" t="s">
        <v>43</v>
      </c>
      <c r="J720" s="3" t="s">
        <v>44</v>
      </c>
      <c r="K720" s="3" t="s">
        <v>45</v>
      </c>
      <c r="L720" s="3" t="s">
        <v>18</v>
      </c>
      <c r="M720" s="3">
        <v>3012</v>
      </c>
      <c r="N720" s="3" t="s">
        <v>46</v>
      </c>
      <c r="O720" s="2"/>
      <c r="P720" t="str">
        <f t="shared" si="56"/>
        <v>Hauptstr. 31</v>
      </c>
      <c r="Q720" t="str">
        <f t="shared" si="60"/>
        <v>Bern</v>
      </c>
      <c r="R720" t="str">
        <f t="shared" si="57"/>
        <v>NULL</v>
      </c>
      <c r="S720">
        <f t="shared" si="58"/>
        <v>3012</v>
      </c>
      <c r="T720" t="str">
        <f t="shared" si="59"/>
        <v>Switzerland</v>
      </c>
    </row>
    <row r="721" spans="1:20" x14ac:dyDescent="0.2">
      <c r="A721" s="1">
        <v>10967</v>
      </c>
      <c r="B721" s="3" t="s">
        <v>20</v>
      </c>
      <c r="C721" s="3">
        <v>2</v>
      </c>
      <c r="D721" s="4">
        <v>35877</v>
      </c>
      <c r="E721" s="4">
        <v>35905</v>
      </c>
      <c r="F721" s="4">
        <v>35887</v>
      </c>
      <c r="G721" s="3">
        <v>2</v>
      </c>
      <c r="H721" s="3">
        <v>62.22</v>
      </c>
      <c r="I721" s="3" t="s">
        <v>21</v>
      </c>
      <c r="J721" s="3" t="s">
        <v>22</v>
      </c>
      <c r="K721" s="3" t="s">
        <v>23</v>
      </c>
      <c r="L721" s="3" t="s">
        <v>18</v>
      </c>
      <c r="M721" s="3">
        <v>44087</v>
      </c>
      <c r="N721" s="3" t="s">
        <v>24</v>
      </c>
      <c r="O721" s="2"/>
      <c r="P721" t="str">
        <f t="shared" si="56"/>
        <v>Luisenstr. 48</v>
      </c>
      <c r="Q721" t="str">
        <f t="shared" si="60"/>
        <v>Münster</v>
      </c>
      <c r="R721" t="str">
        <f t="shared" si="57"/>
        <v>NULL</v>
      </c>
      <c r="S721">
        <f t="shared" si="58"/>
        <v>44087</v>
      </c>
      <c r="T721" t="str">
        <f t="shared" si="59"/>
        <v>Germany</v>
      </c>
    </row>
    <row r="722" spans="1:20" x14ac:dyDescent="0.2">
      <c r="A722" s="1">
        <v>10968</v>
      </c>
      <c r="B722" s="3" t="s">
        <v>63</v>
      </c>
      <c r="C722" s="3">
        <v>1</v>
      </c>
      <c r="D722" s="4">
        <v>35877</v>
      </c>
      <c r="E722" s="4">
        <v>35905</v>
      </c>
      <c r="F722" s="4">
        <v>35886</v>
      </c>
      <c r="G722" s="3">
        <v>3</v>
      </c>
      <c r="H722" s="3">
        <v>74.599999999999994</v>
      </c>
      <c r="I722" s="3" t="s">
        <v>64</v>
      </c>
      <c r="J722" s="3" t="s">
        <v>65</v>
      </c>
      <c r="K722" s="3" t="s">
        <v>66</v>
      </c>
      <c r="L722" s="3" t="s">
        <v>18</v>
      </c>
      <c r="M722" s="3">
        <v>8010</v>
      </c>
      <c r="N722" s="3" t="s">
        <v>67</v>
      </c>
      <c r="O722" s="2"/>
      <c r="P722" t="str">
        <f t="shared" si="56"/>
        <v>Kirchgasse 6</v>
      </c>
      <c r="Q722" t="str">
        <f t="shared" si="60"/>
        <v>Graz</v>
      </c>
      <c r="R722" t="str">
        <f t="shared" si="57"/>
        <v>NULL</v>
      </c>
      <c r="S722">
        <f t="shared" si="58"/>
        <v>8010</v>
      </c>
      <c r="T722" t="str">
        <f t="shared" si="59"/>
        <v>Austria</v>
      </c>
    </row>
    <row r="723" spans="1:20" x14ac:dyDescent="0.2">
      <c r="A723" s="1">
        <v>10969</v>
      </c>
      <c r="B723" s="3" t="s">
        <v>170</v>
      </c>
      <c r="C723" s="3">
        <v>1</v>
      </c>
      <c r="D723" s="4">
        <v>35877</v>
      </c>
      <c r="E723" s="4">
        <v>35905</v>
      </c>
      <c r="F723" s="4">
        <v>35884</v>
      </c>
      <c r="G723" s="3">
        <v>2</v>
      </c>
      <c r="H723" s="3">
        <v>0.21</v>
      </c>
      <c r="I723" s="3" t="s">
        <v>171</v>
      </c>
      <c r="J723" s="3" t="s">
        <v>172</v>
      </c>
      <c r="K723" s="3">
        <v>23</v>
      </c>
      <c r="L723" s="3" t="s">
        <v>173</v>
      </c>
      <c r="M723" s="3" t="s">
        <v>55</v>
      </c>
      <c r="N723" s="3" t="s">
        <v>174</v>
      </c>
      <c r="O723" s="3" t="s">
        <v>31</v>
      </c>
      <c r="P723" t="str">
        <f t="shared" si="56"/>
        <v>Av. dos Lusíadas 23</v>
      </c>
      <c r="Q723" t="str">
        <f t="shared" si="60"/>
        <v>Sao Paulo</v>
      </c>
      <c r="R723" t="str">
        <f t="shared" si="57"/>
        <v>SP</v>
      </c>
      <c r="S723" t="str">
        <f t="shared" si="58"/>
        <v>05432-043</v>
      </c>
      <c r="T723" t="str">
        <f t="shared" si="59"/>
        <v>Brazil</v>
      </c>
    </row>
    <row r="724" spans="1:20" x14ac:dyDescent="0.2">
      <c r="A724" s="1">
        <v>10970</v>
      </c>
      <c r="B724" s="3" t="s">
        <v>231</v>
      </c>
      <c r="C724" s="3">
        <v>9</v>
      </c>
      <c r="D724" s="4">
        <v>35878</v>
      </c>
      <c r="E724" s="4">
        <v>35892</v>
      </c>
      <c r="F724" s="4">
        <v>35909</v>
      </c>
      <c r="G724" s="3">
        <v>1</v>
      </c>
      <c r="H724" s="3">
        <v>16.16</v>
      </c>
      <c r="I724" s="3" t="s">
        <v>232</v>
      </c>
      <c r="J724" s="3" t="s">
        <v>233</v>
      </c>
      <c r="K724" s="3">
        <v>67</v>
      </c>
      <c r="L724" s="3" t="s">
        <v>149</v>
      </c>
      <c r="M724" s="3" t="s">
        <v>18</v>
      </c>
      <c r="N724" s="3">
        <v>28023</v>
      </c>
      <c r="O724" s="3" t="s">
        <v>150</v>
      </c>
      <c r="P724" t="str">
        <f t="shared" si="56"/>
        <v>C/ Araquil 67</v>
      </c>
      <c r="Q724" t="str">
        <f t="shared" si="60"/>
        <v>Madrid</v>
      </c>
      <c r="R724" t="str">
        <f t="shared" si="57"/>
        <v>NULL</v>
      </c>
      <c r="S724">
        <f t="shared" si="58"/>
        <v>28023</v>
      </c>
      <c r="T724" t="str">
        <f t="shared" si="59"/>
        <v>Spain</v>
      </c>
    </row>
    <row r="725" spans="1:20" x14ac:dyDescent="0.2">
      <c r="A725" s="1">
        <v>10971</v>
      </c>
      <c r="B725" s="3" t="s">
        <v>405</v>
      </c>
      <c r="C725" s="3">
        <v>2</v>
      </c>
      <c r="D725" s="4">
        <v>35878</v>
      </c>
      <c r="E725" s="4">
        <v>35906</v>
      </c>
      <c r="F725" s="4">
        <v>35887</v>
      </c>
      <c r="G725" s="3">
        <v>2</v>
      </c>
      <c r="H725" s="3">
        <v>121.82</v>
      </c>
      <c r="I725" s="3" t="s">
        <v>406</v>
      </c>
      <c r="J725" s="3">
        <v>54</v>
      </c>
      <c r="K725" s="3" t="s">
        <v>407</v>
      </c>
      <c r="L725" s="3" t="s">
        <v>212</v>
      </c>
      <c r="M725" s="3" t="s">
        <v>18</v>
      </c>
      <c r="N725" s="3">
        <v>44000</v>
      </c>
      <c r="O725" s="3" t="s">
        <v>19</v>
      </c>
      <c r="P725" t="str">
        <f t="shared" si="56"/>
        <v>54  rue Royale</v>
      </c>
      <c r="Q725" t="str">
        <f t="shared" si="60"/>
        <v>Nantes</v>
      </c>
      <c r="R725" t="str">
        <f t="shared" si="57"/>
        <v>NULL</v>
      </c>
      <c r="S725">
        <f t="shared" si="58"/>
        <v>44000</v>
      </c>
      <c r="T725" t="str">
        <f t="shared" si="59"/>
        <v>France</v>
      </c>
    </row>
    <row r="726" spans="1:20" x14ac:dyDescent="0.2">
      <c r="A726" s="1">
        <v>10972</v>
      </c>
      <c r="B726" s="3" t="s">
        <v>413</v>
      </c>
      <c r="C726" s="3">
        <v>4</v>
      </c>
      <c r="D726" s="4">
        <v>35878</v>
      </c>
      <c r="E726" s="4">
        <v>35906</v>
      </c>
      <c r="F726" s="4">
        <v>35880</v>
      </c>
      <c r="G726" s="3">
        <v>2</v>
      </c>
      <c r="H726" s="3">
        <v>0.02</v>
      </c>
      <c r="I726" s="3" t="s">
        <v>414</v>
      </c>
      <c r="J726" s="3">
        <v>67</v>
      </c>
      <c r="K726" s="3" t="s">
        <v>415</v>
      </c>
      <c r="L726" s="3" t="s">
        <v>416</v>
      </c>
      <c r="M726" s="3" t="s">
        <v>18</v>
      </c>
      <c r="N726" s="3">
        <v>78000</v>
      </c>
      <c r="O726" s="3" t="s">
        <v>19</v>
      </c>
      <c r="P726" t="str">
        <f t="shared" si="56"/>
        <v>67  avenue de l'Europe</v>
      </c>
      <c r="Q726" t="str">
        <f t="shared" si="60"/>
        <v>Versailles</v>
      </c>
      <c r="R726" t="str">
        <f t="shared" si="57"/>
        <v>NULL</v>
      </c>
      <c r="S726">
        <f t="shared" si="58"/>
        <v>78000</v>
      </c>
      <c r="T726" t="str">
        <f t="shared" si="59"/>
        <v>France</v>
      </c>
    </row>
    <row r="727" spans="1:20" x14ac:dyDescent="0.2">
      <c r="A727" s="1">
        <v>10973</v>
      </c>
      <c r="B727" s="3" t="s">
        <v>413</v>
      </c>
      <c r="C727" s="3">
        <v>6</v>
      </c>
      <c r="D727" s="4">
        <v>35878</v>
      </c>
      <c r="E727" s="4">
        <v>35906</v>
      </c>
      <c r="F727" s="4">
        <v>35881</v>
      </c>
      <c r="G727" s="3">
        <v>2</v>
      </c>
      <c r="H727" s="3">
        <v>15.17</v>
      </c>
      <c r="I727" s="3" t="s">
        <v>414</v>
      </c>
      <c r="J727" s="3">
        <v>67</v>
      </c>
      <c r="K727" s="3" t="s">
        <v>415</v>
      </c>
      <c r="L727" s="3" t="s">
        <v>416</v>
      </c>
      <c r="M727" s="3" t="s">
        <v>18</v>
      </c>
      <c r="N727" s="3">
        <v>78000</v>
      </c>
      <c r="O727" s="3" t="s">
        <v>19</v>
      </c>
      <c r="P727" t="str">
        <f t="shared" si="56"/>
        <v>67  avenue de l'Europe</v>
      </c>
      <c r="Q727" t="str">
        <f t="shared" si="60"/>
        <v>Versailles</v>
      </c>
      <c r="R727" t="str">
        <f t="shared" si="57"/>
        <v>NULL</v>
      </c>
      <c r="S727">
        <f t="shared" si="58"/>
        <v>78000</v>
      </c>
      <c r="T727" t="str">
        <f t="shared" si="59"/>
        <v>France</v>
      </c>
    </row>
    <row r="728" spans="1:20" x14ac:dyDescent="0.2">
      <c r="A728" s="1">
        <v>10974</v>
      </c>
      <c r="B728" s="3" t="s">
        <v>116</v>
      </c>
      <c r="C728" s="3">
        <v>3</v>
      </c>
      <c r="D728" s="4">
        <v>35879</v>
      </c>
      <c r="E728" s="4">
        <v>35893</v>
      </c>
      <c r="F728" s="4">
        <v>35888</v>
      </c>
      <c r="G728" s="3">
        <v>3</v>
      </c>
      <c r="H728" s="3">
        <v>12.96</v>
      </c>
      <c r="I728" s="3" t="s">
        <v>117</v>
      </c>
      <c r="J728" s="3" t="s">
        <v>118</v>
      </c>
      <c r="K728" s="3" t="s">
        <v>119</v>
      </c>
      <c r="L728" s="3" t="s">
        <v>120</v>
      </c>
      <c r="M728" s="3">
        <v>82520</v>
      </c>
      <c r="N728" s="3" t="s">
        <v>86</v>
      </c>
      <c r="O728" s="2"/>
      <c r="P728" t="str">
        <f t="shared" si="56"/>
        <v>P.O. Box 555</v>
      </c>
      <c r="Q728" t="str">
        <f t="shared" si="60"/>
        <v>Lander</v>
      </c>
      <c r="R728" t="str">
        <f t="shared" si="57"/>
        <v>WY</v>
      </c>
      <c r="S728">
        <f t="shared" si="58"/>
        <v>82520</v>
      </c>
      <c r="T728" t="str">
        <f t="shared" si="59"/>
        <v>USA</v>
      </c>
    </row>
    <row r="729" spans="1:20" x14ac:dyDescent="0.2">
      <c r="A729" s="1">
        <v>10975</v>
      </c>
      <c r="B729" s="3" t="s">
        <v>318</v>
      </c>
      <c r="C729" s="3">
        <v>1</v>
      </c>
      <c r="D729" s="4">
        <v>35879</v>
      </c>
      <c r="E729" s="4">
        <v>35907</v>
      </c>
      <c r="F729" s="4">
        <v>35881</v>
      </c>
      <c r="G729" s="3">
        <v>3</v>
      </c>
      <c r="H729" s="3">
        <v>32.270000000000003</v>
      </c>
      <c r="I729" s="3" t="s">
        <v>319</v>
      </c>
      <c r="J729" s="3" t="s">
        <v>320</v>
      </c>
      <c r="K729" s="3" t="s">
        <v>321</v>
      </c>
      <c r="L729" s="3" t="s">
        <v>322</v>
      </c>
      <c r="M729" s="3" t="s">
        <v>323</v>
      </c>
      <c r="N729" s="3" t="s">
        <v>249</v>
      </c>
      <c r="O729" s="2"/>
      <c r="P729" t="str">
        <f t="shared" si="56"/>
        <v>23 Tsawassen Blvd.</v>
      </c>
      <c r="Q729" t="str">
        <f t="shared" si="60"/>
        <v>Tsawassen</v>
      </c>
      <c r="R729" t="str">
        <f t="shared" si="57"/>
        <v>BC</v>
      </c>
      <c r="S729" t="str">
        <f t="shared" si="58"/>
        <v>T2F 8M4</v>
      </c>
      <c r="T729" t="str">
        <f t="shared" si="59"/>
        <v>Canada</v>
      </c>
    </row>
    <row r="730" spans="1:20" x14ac:dyDescent="0.2">
      <c r="A730" s="1">
        <v>10976</v>
      </c>
      <c r="B730" s="3" t="s">
        <v>57</v>
      </c>
      <c r="C730" s="3">
        <v>1</v>
      </c>
      <c r="D730" s="4">
        <v>35879</v>
      </c>
      <c r="E730" s="4">
        <v>35921</v>
      </c>
      <c r="F730" s="4">
        <v>35888</v>
      </c>
      <c r="G730" s="3">
        <v>1</v>
      </c>
      <c r="H730" s="3">
        <v>37.97</v>
      </c>
      <c r="I730" s="3" t="s">
        <v>58</v>
      </c>
      <c r="J730" s="3" t="s">
        <v>59</v>
      </c>
      <c r="K730" s="3" t="s">
        <v>60</v>
      </c>
      <c r="L730" s="3" t="s">
        <v>61</v>
      </c>
      <c r="M730" s="3">
        <v>5022</v>
      </c>
      <c r="N730" s="3" t="s">
        <v>62</v>
      </c>
      <c r="O730" s="2"/>
      <c r="P730" t="str">
        <f t="shared" si="56"/>
        <v>Carrera 22 con Ave. Carlos Soublette #8-35</v>
      </c>
      <c r="Q730" t="str">
        <f t="shared" si="60"/>
        <v>San Cristóbal</v>
      </c>
      <c r="R730" t="str">
        <f t="shared" si="57"/>
        <v>Táchira</v>
      </c>
      <c r="S730">
        <f t="shared" si="58"/>
        <v>5022</v>
      </c>
      <c r="T730" t="str">
        <f t="shared" si="59"/>
        <v>Venezuela</v>
      </c>
    </row>
    <row r="731" spans="1:20" x14ac:dyDescent="0.2">
      <c r="A731" s="1">
        <v>10977</v>
      </c>
      <c r="B731" s="3" t="s">
        <v>87</v>
      </c>
      <c r="C731" s="3">
        <v>8</v>
      </c>
      <c r="D731" s="4">
        <v>35880</v>
      </c>
      <c r="E731" s="4">
        <v>35908</v>
      </c>
      <c r="F731" s="4">
        <v>35895</v>
      </c>
      <c r="G731" s="3">
        <v>3</v>
      </c>
      <c r="H731" s="3">
        <v>208.5</v>
      </c>
      <c r="I731" s="3" t="s">
        <v>88</v>
      </c>
      <c r="J731" s="3" t="s">
        <v>89</v>
      </c>
      <c r="K731" s="3" t="s">
        <v>90</v>
      </c>
      <c r="L731" s="3" t="s">
        <v>18</v>
      </c>
      <c r="M731" s="3" t="s">
        <v>91</v>
      </c>
      <c r="N731" s="3" t="s">
        <v>92</v>
      </c>
      <c r="O731" s="2"/>
      <c r="P731" t="str">
        <f t="shared" si="56"/>
        <v>Åkergatan 24</v>
      </c>
      <c r="Q731" t="str">
        <f t="shared" si="60"/>
        <v>Bräcke</v>
      </c>
      <c r="R731" t="str">
        <f t="shared" si="57"/>
        <v>NULL</v>
      </c>
      <c r="S731" t="str">
        <f t="shared" si="58"/>
        <v>S-844 67</v>
      </c>
      <c r="T731" t="str">
        <f t="shared" si="59"/>
        <v>Sweden</v>
      </c>
    </row>
    <row r="732" spans="1:20" x14ac:dyDescent="0.2">
      <c r="A732" s="1">
        <v>10978</v>
      </c>
      <c r="B732" s="3" t="s">
        <v>378</v>
      </c>
      <c r="C732" s="3">
        <v>9</v>
      </c>
      <c r="D732" s="4">
        <v>35880</v>
      </c>
      <c r="E732" s="4">
        <v>35908</v>
      </c>
      <c r="F732" s="4">
        <v>35908</v>
      </c>
      <c r="G732" s="3">
        <v>2</v>
      </c>
      <c r="H732" s="3">
        <v>32.82</v>
      </c>
      <c r="I732" s="3" t="s">
        <v>379</v>
      </c>
      <c r="J732" s="3" t="s">
        <v>380</v>
      </c>
      <c r="K732" s="3" t="s">
        <v>381</v>
      </c>
      <c r="L732" s="3" t="s">
        <v>18</v>
      </c>
      <c r="M732" s="3" t="s">
        <v>382</v>
      </c>
      <c r="N732" s="3" t="s">
        <v>41</v>
      </c>
      <c r="O732" s="2"/>
      <c r="P732" t="str">
        <f t="shared" si="56"/>
        <v>Rue Joseph-Bens 532</v>
      </c>
      <c r="Q732" t="str">
        <f t="shared" si="60"/>
        <v>Bruxelles</v>
      </c>
      <c r="R732" t="str">
        <f t="shared" si="57"/>
        <v>NULL</v>
      </c>
      <c r="S732" t="str">
        <f t="shared" si="58"/>
        <v>B-1180</v>
      </c>
      <c r="T732" t="str">
        <f t="shared" si="59"/>
        <v>Belgium</v>
      </c>
    </row>
    <row r="733" spans="1:20" x14ac:dyDescent="0.2">
      <c r="A733" s="1">
        <v>10979</v>
      </c>
      <c r="B733" s="3" t="s">
        <v>63</v>
      </c>
      <c r="C733" s="3">
        <v>8</v>
      </c>
      <c r="D733" s="4">
        <v>35880</v>
      </c>
      <c r="E733" s="4">
        <v>35908</v>
      </c>
      <c r="F733" s="4">
        <v>35885</v>
      </c>
      <c r="G733" s="3">
        <v>2</v>
      </c>
      <c r="H733" s="3">
        <v>353.07</v>
      </c>
      <c r="I733" s="3" t="s">
        <v>64</v>
      </c>
      <c r="J733" s="3" t="s">
        <v>65</v>
      </c>
      <c r="K733" s="3" t="s">
        <v>66</v>
      </c>
      <c r="L733" s="3" t="s">
        <v>18</v>
      </c>
      <c r="M733" s="3">
        <v>8010</v>
      </c>
      <c r="N733" s="3" t="s">
        <v>67</v>
      </c>
      <c r="O733" s="2"/>
      <c r="P733" t="str">
        <f t="shared" si="56"/>
        <v>Kirchgasse 6</v>
      </c>
      <c r="Q733" t="str">
        <f t="shared" si="60"/>
        <v>Graz</v>
      </c>
      <c r="R733" t="str">
        <f t="shared" si="57"/>
        <v>NULL</v>
      </c>
      <c r="S733">
        <f t="shared" si="58"/>
        <v>8010</v>
      </c>
      <c r="T733" t="str">
        <f t="shared" si="59"/>
        <v>Austria</v>
      </c>
    </row>
    <row r="734" spans="1:20" x14ac:dyDescent="0.2">
      <c r="A734" s="1">
        <v>10980</v>
      </c>
      <c r="B734" s="3" t="s">
        <v>87</v>
      </c>
      <c r="C734" s="3">
        <v>4</v>
      </c>
      <c r="D734" s="4">
        <v>35881</v>
      </c>
      <c r="E734" s="4">
        <v>35923</v>
      </c>
      <c r="F734" s="4">
        <v>35902</v>
      </c>
      <c r="G734" s="3">
        <v>1</v>
      </c>
      <c r="H734" s="3">
        <v>1.26</v>
      </c>
      <c r="I734" s="3" t="s">
        <v>88</v>
      </c>
      <c r="J734" s="3" t="s">
        <v>89</v>
      </c>
      <c r="K734" s="3" t="s">
        <v>90</v>
      </c>
      <c r="L734" s="3" t="s">
        <v>18</v>
      </c>
      <c r="M734" s="3" t="s">
        <v>91</v>
      </c>
      <c r="N734" s="3" t="s">
        <v>92</v>
      </c>
      <c r="O734" s="2"/>
      <c r="P734" t="str">
        <f t="shared" si="56"/>
        <v>Åkergatan 24</v>
      </c>
      <c r="Q734" t="str">
        <f t="shared" si="60"/>
        <v>Bräcke</v>
      </c>
      <c r="R734" t="str">
        <f t="shared" si="57"/>
        <v>NULL</v>
      </c>
      <c r="S734" t="str">
        <f t="shared" si="58"/>
        <v>S-844 67</v>
      </c>
      <c r="T734" t="str">
        <f t="shared" si="59"/>
        <v>Sweden</v>
      </c>
    </row>
    <row r="735" spans="1:20" x14ac:dyDescent="0.2">
      <c r="A735" s="1">
        <v>10981</v>
      </c>
      <c r="B735" s="3" t="s">
        <v>25</v>
      </c>
      <c r="C735" s="3">
        <v>1</v>
      </c>
      <c r="D735" s="4">
        <v>35881</v>
      </c>
      <c r="E735" s="4">
        <v>35909</v>
      </c>
      <c r="F735" s="4">
        <v>35887</v>
      </c>
      <c r="G735" s="3">
        <v>2</v>
      </c>
      <c r="H735" s="3">
        <v>193.37</v>
      </c>
      <c r="I735" s="3" t="s">
        <v>26</v>
      </c>
      <c r="J735" s="3" t="s">
        <v>27</v>
      </c>
      <c r="K735" s="3">
        <v>67</v>
      </c>
      <c r="L735" s="3" t="s">
        <v>28</v>
      </c>
      <c r="M735" s="3" t="s">
        <v>29</v>
      </c>
      <c r="N735" s="3" t="s">
        <v>30</v>
      </c>
      <c r="O735" s="3" t="s">
        <v>31</v>
      </c>
      <c r="P735" t="str">
        <f t="shared" si="56"/>
        <v>Rua do Paço 67</v>
      </c>
      <c r="Q735" t="str">
        <f t="shared" si="60"/>
        <v>Rio de Janeiro</v>
      </c>
      <c r="R735" t="str">
        <f t="shared" si="57"/>
        <v>RJ</v>
      </c>
      <c r="S735" t="str">
        <f t="shared" si="58"/>
        <v>05454-876</v>
      </c>
      <c r="T735" t="str">
        <f t="shared" si="59"/>
        <v>Brazil</v>
      </c>
    </row>
    <row r="736" spans="1:20" x14ac:dyDescent="0.2">
      <c r="A736" s="1">
        <v>10982</v>
      </c>
      <c r="B736" s="3" t="s">
        <v>318</v>
      </c>
      <c r="C736" s="3">
        <v>2</v>
      </c>
      <c r="D736" s="4">
        <v>35881</v>
      </c>
      <c r="E736" s="4">
        <v>35909</v>
      </c>
      <c r="F736" s="4">
        <v>35893</v>
      </c>
      <c r="G736" s="3">
        <v>1</v>
      </c>
      <c r="H736" s="3">
        <v>14.01</v>
      </c>
      <c r="I736" s="3" t="s">
        <v>319</v>
      </c>
      <c r="J736" s="3" t="s">
        <v>320</v>
      </c>
      <c r="K736" s="3" t="s">
        <v>321</v>
      </c>
      <c r="L736" s="3" t="s">
        <v>322</v>
      </c>
      <c r="M736" s="3" t="s">
        <v>323</v>
      </c>
      <c r="N736" s="3" t="s">
        <v>249</v>
      </c>
      <c r="O736" s="2"/>
      <c r="P736" t="str">
        <f t="shared" si="56"/>
        <v>23 Tsawassen Blvd.</v>
      </c>
      <c r="Q736" t="str">
        <f t="shared" si="60"/>
        <v>Tsawassen</v>
      </c>
      <c r="R736" t="str">
        <f t="shared" si="57"/>
        <v>BC</v>
      </c>
      <c r="S736" t="str">
        <f t="shared" si="58"/>
        <v>T2F 8M4</v>
      </c>
      <c r="T736" t="str">
        <f t="shared" si="59"/>
        <v>Canada</v>
      </c>
    </row>
    <row r="737" spans="1:20" x14ac:dyDescent="0.2">
      <c r="A737" s="1">
        <v>10983</v>
      </c>
      <c r="B737" s="3" t="s">
        <v>226</v>
      </c>
      <c r="C737" s="3">
        <v>2</v>
      </c>
      <c r="D737" s="4">
        <v>35881</v>
      </c>
      <c r="E737" s="4">
        <v>35909</v>
      </c>
      <c r="F737" s="4">
        <v>35891</v>
      </c>
      <c r="G737" s="3">
        <v>2</v>
      </c>
      <c r="H737" s="3">
        <v>657.54</v>
      </c>
      <c r="I737" s="3" t="s">
        <v>227</v>
      </c>
      <c r="J737" s="3" t="s">
        <v>228</v>
      </c>
      <c r="K737" s="3" t="s">
        <v>229</v>
      </c>
      <c r="L737" s="3" t="s">
        <v>230</v>
      </c>
      <c r="M737" s="3">
        <v>83720</v>
      </c>
      <c r="N737" s="3" t="s">
        <v>86</v>
      </c>
      <c r="O737" s="2"/>
      <c r="P737" t="str">
        <f t="shared" si="56"/>
        <v>187 Suffolk Ln.</v>
      </c>
      <c r="Q737" t="str">
        <f t="shared" si="60"/>
        <v>Boise</v>
      </c>
      <c r="R737" t="str">
        <f t="shared" si="57"/>
        <v>ID</v>
      </c>
      <c r="S737">
        <f t="shared" si="58"/>
        <v>83720</v>
      </c>
      <c r="T737" t="str">
        <f t="shared" si="59"/>
        <v>USA</v>
      </c>
    </row>
    <row r="738" spans="1:20" x14ac:dyDescent="0.2">
      <c r="A738" s="1">
        <v>10984</v>
      </c>
      <c r="B738" s="3" t="s">
        <v>226</v>
      </c>
      <c r="C738" s="3">
        <v>1</v>
      </c>
      <c r="D738" s="4">
        <v>35884</v>
      </c>
      <c r="E738" s="4">
        <v>35912</v>
      </c>
      <c r="F738" s="4">
        <v>35888</v>
      </c>
      <c r="G738" s="3">
        <v>3</v>
      </c>
      <c r="H738" s="3">
        <v>211.22</v>
      </c>
      <c r="I738" s="3" t="s">
        <v>227</v>
      </c>
      <c r="J738" s="3" t="s">
        <v>228</v>
      </c>
      <c r="K738" s="3" t="s">
        <v>229</v>
      </c>
      <c r="L738" s="3" t="s">
        <v>230</v>
      </c>
      <c r="M738" s="3">
        <v>83720</v>
      </c>
      <c r="N738" s="3" t="s">
        <v>86</v>
      </c>
      <c r="O738" s="2"/>
      <c r="P738" t="str">
        <f t="shared" si="56"/>
        <v>187 Suffolk Ln.</v>
      </c>
      <c r="Q738" t="str">
        <f t="shared" si="60"/>
        <v>Boise</v>
      </c>
      <c r="R738" t="str">
        <f t="shared" si="57"/>
        <v>ID</v>
      </c>
      <c r="S738">
        <f t="shared" si="58"/>
        <v>83720</v>
      </c>
      <c r="T738" t="str">
        <f t="shared" si="59"/>
        <v>USA</v>
      </c>
    </row>
    <row r="739" spans="1:20" x14ac:dyDescent="0.2">
      <c r="A739" s="1">
        <v>10985</v>
      </c>
      <c r="B739" s="3" t="s">
        <v>179</v>
      </c>
      <c r="C739" s="3">
        <v>2</v>
      </c>
      <c r="D739" s="4">
        <v>35884</v>
      </c>
      <c r="E739" s="4">
        <v>35912</v>
      </c>
      <c r="F739" s="4">
        <v>35887</v>
      </c>
      <c r="G739" s="3">
        <v>1</v>
      </c>
      <c r="H739" s="3">
        <v>91.51</v>
      </c>
      <c r="I739" s="3" t="s">
        <v>180</v>
      </c>
      <c r="J739" s="3" t="s">
        <v>181</v>
      </c>
      <c r="K739" s="3" t="s">
        <v>182</v>
      </c>
      <c r="L739" s="3" t="s">
        <v>183</v>
      </c>
      <c r="M739" s="3" t="s">
        <v>18</v>
      </c>
      <c r="N739" s="3" t="s">
        <v>184</v>
      </c>
      <c r="O739" s="2"/>
      <c r="P739" t="str">
        <f t="shared" si="56"/>
        <v>8 Johnstown Road</v>
      </c>
      <c r="Q739" t="str">
        <f t="shared" si="60"/>
        <v>Cork</v>
      </c>
      <c r="R739" t="str">
        <f t="shared" si="57"/>
        <v>Co. Cork</v>
      </c>
      <c r="S739" t="str">
        <f t="shared" si="58"/>
        <v>NULL</v>
      </c>
      <c r="T739" t="str">
        <f t="shared" si="59"/>
        <v>Ireland</v>
      </c>
    </row>
    <row r="740" spans="1:20" x14ac:dyDescent="0.2">
      <c r="A740" s="1">
        <v>10986</v>
      </c>
      <c r="B740" s="3" t="s">
        <v>333</v>
      </c>
      <c r="C740" s="3">
        <v>8</v>
      </c>
      <c r="D740" s="4">
        <v>35884</v>
      </c>
      <c r="E740" s="4">
        <v>35912</v>
      </c>
      <c r="F740" s="4">
        <v>35906</v>
      </c>
      <c r="G740" s="3">
        <v>2</v>
      </c>
      <c r="H740" s="3">
        <v>217.86</v>
      </c>
      <c r="I740" s="3" t="s">
        <v>334</v>
      </c>
      <c r="J740" s="3" t="s">
        <v>335</v>
      </c>
      <c r="K740" s="3" t="s">
        <v>336</v>
      </c>
      <c r="L740" s="3" t="s">
        <v>18</v>
      </c>
      <c r="M740" s="3">
        <v>1010</v>
      </c>
      <c r="N740" s="3" t="s">
        <v>337</v>
      </c>
      <c r="O740" s="2"/>
      <c r="P740" t="str">
        <f t="shared" si="56"/>
        <v>Ing. Gustavo Moncada 8585 Piso 20-A</v>
      </c>
      <c r="Q740" t="str">
        <f t="shared" si="60"/>
        <v>Buenos Aires</v>
      </c>
      <c r="R740" t="str">
        <f t="shared" si="57"/>
        <v>NULL</v>
      </c>
      <c r="S740">
        <f t="shared" si="58"/>
        <v>1010</v>
      </c>
      <c r="T740" t="str">
        <f t="shared" si="59"/>
        <v>Argentina</v>
      </c>
    </row>
    <row r="741" spans="1:20" x14ac:dyDescent="0.2">
      <c r="A741" s="1">
        <v>10987</v>
      </c>
      <c r="B741" s="3" t="s">
        <v>284</v>
      </c>
      <c r="C741" s="3">
        <v>8</v>
      </c>
      <c r="D741" s="4">
        <v>35885</v>
      </c>
      <c r="E741" s="4">
        <v>35913</v>
      </c>
      <c r="F741" s="4">
        <v>35891</v>
      </c>
      <c r="G741" s="3">
        <v>1</v>
      </c>
      <c r="H741" s="3">
        <v>185.48</v>
      </c>
      <c r="I741" s="3" t="s">
        <v>285</v>
      </c>
      <c r="J741" s="3" t="s">
        <v>286</v>
      </c>
      <c r="K741" s="3" t="s">
        <v>167</v>
      </c>
      <c r="L741" s="3" t="s">
        <v>18</v>
      </c>
      <c r="M741" s="3" t="s">
        <v>287</v>
      </c>
      <c r="N741" s="3" t="s">
        <v>169</v>
      </c>
      <c r="O741" s="2"/>
      <c r="P741" t="str">
        <f t="shared" si="56"/>
        <v>35 King George</v>
      </c>
      <c r="Q741" t="str">
        <f t="shared" si="60"/>
        <v>London</v>
      </c>
      <c r="R741" t="str">
        <f t="shared" si="57"/>
        <v>NULL</v>
      </c>
      <c r="S741" t="str">
        <f t="shared" si="58"/>
        <v>WX3 6FW</v>
      </c>
      <c r="T741" t="str">
        <f t="shared" si="59"/>
        <v>UK</v>
      </c>
    </row>
    <row r="742" spans="1:20" x14ac:dyDescent="0.2">
      <c r="A742" s="1">
        <v>10988</v>
      </c>
      <c r="B742" s="3" t="s">
        <v>81</v>
      </c>
      <c r="C742" s="3">
        <v>3</v>
      </c>
      <c r="D742" s="4">
        <v>35885</v>
      </c>
      <c r="E742" s="4">
        <v>35913</v>
      </c>
      <c r="F742" s="4">
        <v>35895</v>
      </c>
      <c r="G742" s="3">
        <v>2</v>
      </c>
      <c r="H742" s="3">
        <v>61.14</v>
      </c>
      <c r="I742" s="3" t="s">
        <v>82</v>
      </c>
      <c r="J742" s="3" t="s">
        <v>83</v>
      </c>
      <c r="K742" s="3" t="s">
        <v>84</v>
      </c>
      <c r="L742" s="3" t="s">
        <v>85</v>
      </c>
      <c r="M742" s="3">
        <v>87110</v>
      </c>
      <c r="N742" s="3" t="s">
        <v>86</v>
      </c>
      <c r="O742" s="2"/>
      <c r="P742" t="str">
        <f t="shared" si="56"/>
        <v>2817 Milton Dr.</v>
      </c>
      <c r="Q742" t="str">
        <f t="shared" si="60"/>
        <v>Albuquerque</v>
      </c>
      <c r="R742" t="str">
        <f t="shared" si="57"/>
        <v>NM</v>
      </c>
      <c r="S742">
        <f t="shared" si="58"/>
        <v>87110</v>
      </c>
      <c r="T742" t="str">
        <f t="shared" si="59"/>
        <v>USA</v>
      </c>
    </row>
    <row r="743" spans="1:20" x14ac:dyDescent="0.2">
      <c r="A743" s="1">
        <v>10989</v>
      </c>
      <c r="B743" s="3" t="s">
        <v>77</v>
      </c>
      <c r="C743" s="3">
        <v>2</v>
      </c>
      <c r="D743" s="4">
        <v>35885</v>
      </c>
      <c r="E743" s="4">
        <v>35913</v>
      </c>
      <c r="F743" s="4">
        <v>35887</v>
      </c>
      <c r="G743" s="3">
        <v>1</v>
      </c>
      <c r="H743" s="3">
        <v>34.76</v>
      </c>
      <c r="I743" s="3" t="s">
        <v>78</v>
      </c>
      <c r="J743" s="3" t="s">
        <v>79</v>
      </c>
      <c r="K743" s="3">
        <v>12</v>
      </c>
      <c r="L743" s="3" t="s">
        <v>28</v>
      </c>
      <c r="M743" s="3" t="s">
        <v>29</v>
      </c>
      <c r="N743" s="3" t="s">
        <v>80</v>
      </c>
      <c r="O743" s="3" t="s">
        <v>31</v>
      </c>
      <c r="P743" t="str">
        <f t="shared" si="56"/>
        <v>Rua da Panificadora 12</v>
      </c>
      <c r="Q743" t="str">
        <f t="shared" si="60"/>
        <v>Rio de Janeiro</v>
      </c>
      <c r="R743" t="str">
        <f t="shared" si="57"/>
        <v>RJ</v>
      </c>
      <c r="S743" t="str">
        <f t="shared" si="58"/>
        <v>02389-673</v>
      </c>
      <c r="T743" t="str">
        <f t="shared" si="59"/>
        <v>Brazil</v>
      </c>
    </row>
    <row r="744" spans="1:20" x14ac:dyDescent="0.2">
      <c r="A744" s="1">
        <v>10990</v>
      </c>
      <c r="B744" s="3" t="s">
        <v>63</v>
      </c>
      <c r="C744" s="3">
        <v>2</v>
      </c>
      <c r="D744" s="4">
        <v>35886</v>
      </c>
      <c r="E744" s="4">
        <v>35928</v>
      </c>
      <c r="F744" s="4">
        <v>35892</v>
      </c>
      <c r="G744" s="3">
        <v>3</v>
      </c>
      <c r="H744" s="3">
        <v>117.61</v>
      </c>
      <c r="I744" s="3" t="s">
        <v>64</v>
      </c>
      <c r="J744" s="3" t="s">
        <v>65</v>
      </c>
      <c r="K744" s="3" t="s">
        <v>66</v>
      </c>
      <c r="L744" s="3" t="s">
        <v>18</v>
      </c>
      <c r="M744" s="3">
        <v>8010</v>
      </c>
      <c r="N744" s="3" t="s">
        <v>67</v>
      </c>
      <c r="O744" s="2"/>
      <c r="P744" t="str">
        <f t="shared" si="56"/>
        <v>Kirchgasse 6</v>
      </c>
      <c r="Q744" t="str">
        <f t="shared" si="60"/>
        <v>Graz</v>
      </c>
      <c r="R744" t="str">
        <f t="shared" si="57"/>
        <v>NULL</v>
      </c>
      <c r="S744">
        <f t="shared" si="58"/>
        <v>8010</v>
      </c>
      <c r="T744" t="str">
        <f t="shared" si="59"/>
        <v>Austria</v>
      </c>
    </row>
    <row r="745" spans="1:20" x14ac:dyDescent="0.2">
      <c r="A745" s="1">
        <v>10991</v>
      </c>
      <c r="B745" s="3" t="s">
        <v>121</v>
      </c>
      <c r="C745" s="3">
        <v>1</v>
      </c>
      <c r="D745" s="4">
        <v>35886</v>
      </c>
      <c r="E745" s="4">
        <v>35914</v>
      </c>
      <c r="F745" s="4">
        <v>35892</v>
      </c>
      <c r="G745" s="3">
        <v>1</v>
      </c>
      <c r="H745" s="3">
        <v>38.51</v>
      </c>
      <c r="I745" s="3" t="s">
        <v>122</v>
      </c>
      <c r="J745" s="3" t="s">
        <v>123</v>
      </c>
      <c r="K745" s="3" t="s">
        <v>124</v>
      </c>
      <c r="L745" s="3" t="s">
        <v>18</v>
      </c>
      <c r="M745" s="3">
        <v>1307</v>
      </c>
      <c r="N745" s="3" t="s">
        <v>24</v>
      </c>
      <c r="O745" s="2"/>
      <c r="P745" t="str">
        <f t="shared" si="56"/>
        <v>Taucherstraße 10</v>
      </c>
      <c r="Q745" t="str">
        <f t="shared" si="60"/>
        <v>Cunewalde</v>
      </c>
      <c r="R745" t="str">
        <f t="shared" si="57"/>
        <v>NULL</v>
      </c>
      <c r="S745">
        <f t="shared" si="58"/>
        <v>1307</v>
      </c>
      <c r="T745" t="str">
        <f t="shared" si="59"/>
        <v>Germany</v>
      </c>
    </row>
    <row r="746" spans="1:20" x14ac:dyDescent="0.2">
      <c r="A746" s="1">
        <v>10992</v>
      </c>
      <c r="B746" s="3" t="s">
        <v>206</v>
      </c>
      <c r="C746" s="3">
        <v>1</v>
      </c>
      <c r="D746" s="4">
        <v>35886</v>
      </c>
      <c r="E746" s="4">
        <v>35914</v>
      </c>
      <c r="F746" s="4">
        <v>35888</v>
      </c>
      <c r="G746" s="3">
        <v>3</v>
      </c>
      <c r="H746" s="3">
        <v>4.2699999999999996</v>
      </c>
      <c r="I746" s="3" t="s">
        <v>207</v>
      </c>
      <c r="J746" s="3" t="s">
        <v>208</v>
      </c>
      <c r="K746" s="3" t="s">
        <v>201</v>
      </c>
      <c r="L746" s="3" t="s">
        <v>202</v>
      </c>
      <c r="M746" s="3">
        <v>97201</v>
      </c>
      <c r="N746" s="3" t="s">
        <v>86</v>
      </c>
      <c r="O746" s="2"/>
      <c r="P746" t="str">
        <f t="shared" si="56"/>
        <v>89 Jefferson Way Suite 2</v>
      </c>
      <c r="Q746" t="str">
        <f t="shared" si="60"/>
        <v>Portland</v>
      </c>
      <c r="R746" t="str">
        <f t="shared" si="57"/>
        <v>OR</v>
      </c>
      <c r="S746">
        <f t="shared" si="58"/>
        <v>97201</v>
      </c>
      <c r="T746" t="str">
        <f t="shared" si="59"/>
        <v>USA</v>
      </c>
    </row>
    <row r="747" spans="1:20" x14ac:dyDescent="0.2">
      <c r="A747" s="1">
        <v>10993</v>
      </c>
      <c r="B747" s="3" t="s">
        <v>87</v>
      </c>
      <c r="C747" s="3">
        <v>7</v>
      </c>
      <c r="D747" s="4">
        <v>35886</v>
      </c>
      <c r="E747" s="4">
        <v>35914</v>
      </c>
      <c r="F747" s="4">
        <v>35895</v>
      </c>
      <c r="G747" s="3">
        <v>3</v>
      </c>
      <c r="H747" s="3">
        <v>8.81</v>
      </c>
      <c r="I747" s="3" t="s">
        <v>88</v>
      </c>
      <c r="J747" s="3" t="s">
        <v>89</v>
      </c>
      <c r="K747" s="3" t="s">
        <v>90</v>
      </c>
      <c r="L747" s="3" t="s">
        <v>18</v>
      </c>
      <c r="M747" s="3" t="s">
        <v>91</v>
      </c>
      <c r="N747" s="3" t="s">
        <v>92</v>
      </c>
      <c r="O747" s="2"/>
      <c r="P747" t="str">
        <f t="shared" si="56"/>
        <v>Åkergatan 24</v>
      </c>
      <c r="Q747" t="str">
        <f t="shared" si="60"/>
        <v>Bräcke</v>
      </c>
      <c r="R747" t="str">
        <f t="shared" si="57"/>
        <v>NULL</v>
      </c>
      <c r="S747" t="str">
        <f t="shared" si="58"/>
        <v>S-844 67</v>
      </c>
      <c r="T747" t="str">
        <f t="shared" si="59"/>
        <v>Sweden</v>
      </c>
    </row>
    <row r="748" spans="1:20" x14ac:dyDescent="0.2">
      <c r="A748" s="1">
        <v>10994</v>
      </c>
      <c r="B748" s="3" t="s">
        <v>295</v>
      </c>
      <c r="C748" s="3">
        <v>2</v>
      </c>
      <c r="D748" s="4">
        <v>35887</v>
      </c>
      <c r="E748" s="4">
        <v>35901</v>
      </c>
      <c r="F748" s="4">
        <v>35894</v>
      </c>
      <c r="G748" s="3">
        <v>3</v>
      </c>
      <c r="H748" s="3">
        <v>65.53</v>
      </c>
      <c r="I748" s="3" t="s">
        <v>296</v>
      </c>
      <c r="J748" s="3" t="s">
        <v>297</v>
      </c>
      <c r="K748" s="3" t="s">
        <v>298</v>
      </c>
      <c r="L748" s="3" t="s">
        <v>18</v>
      </c>
      <c r="M748" s="3">
        <v>8200</v>
      </c>
      <c r="N748" s="3" t="s">
        <v>257</v>
      </c>
      <c r="O748" s="2"/>
      <c r="P748" t="str">
        <f t="shared" si="56"/>
        <v>Smagsloget 45</v>
      </c>
      <c r="Q748" t="str">
        <f t="shared" si="60"/>
        <v>Århus</v>
      </c>
      <c r="R748" t="str">
        <f t="shared" si="57"/>
        <v>NULL</v>
      </c>
      <c r="S748">
        <f t="shared" si="58"/>
        <v>8200</v>
      </c>
      <c r="T748" t="str">
        <f t="shared" si="59"/>
        <v>Denmark</v>
      </c>
    </row>
    <row r="749" spans="1:20" x14ac:dyDescent="0.2">
      <c r="A749" s="1">
        <v>10995</v>
      </c>
      <c r="B749" s="3" t="s">
        <v>219</v>
      </c>
      <c r="C749" s="3">
        <v>1</v>
      </c>
      <c r="D749" s="4">
        <v>35887</v>
      </c>
      <c r="E749" s="4">
        <v>35915</v>
      </c>
      <c r="F749" s="4">
        <v>35891</v>
      </c>
      <c r="G749" s="3">
        <v>3</v>
      </c>
      <c r="H749" s="3">
        <v>46</v>
      </c>
      <c r="I749" s="3" t="s">
        <v>220</v>
      </c>
      <c r="J749" s="3" t="s">
        <v>221</v>
      </c>
      <c r="K749" s="3" t="s">
        <v>71</v>
      </c>
      <c r="L749" s="3" t="s">
        <v>18</v>
      </c>
      <c r="M749" s="3">
        <v>5033</v>
      </c>
      <c r="N749" s="3" t="s">
        <v>72</v>
      </c>
      <c r="O749" s="2"/>
      <c r="P749" t="str">
        <f t="shared" si="56"/>
        <v>Calle Dr. Jorge Cash 321</v>
      </c>
      <c r="Q749" t="str">
        <f t="shared" si="60"/>
        <v>México D.F.</v>
      </c>
      <c r="R749" t="str">
        <f t="shared" si="57"/>
        <v>NULL</v>
      </c>
      <c r="S749">
        <f t="shared" si="58"/>
        <v>5033</v>
      </c>
      <c r="T749" t="str">
        <f t="shared" si="59"/>
        <v>Mexico</v>
      </c>
    </row>
    <row r="750" spans="1:20" x14ac:dyDescent="0.2">
      <c r="A750" s="1">
        <v>10996</v>
      </c>
      <c r="B750" s="3" t="s">
        <v>121</v>
      </c>
      <c r="C750" s="3">
        <v>4</v>
      </c>
      <c r="D750" s="4">
        <v>35887</v>
      </c>
      <c r="E750" s="4">
        <v>35915</v>
      </c>
      <c r="F750" s="4">
        <v>35895</v>
      </c>
      <c r="G750" s="3">
        <v>2</v>
      </c>
      <c r="H750" s="3">
        <v>1.1200000000000001</v>
      </c>
      <c r="I750" s="3" t="s">
        <v>122</v>
      </c>
      <c r="J750" s="3" t="s">
        <v>123</v>
      </c>
      <c r="K750" s="3" t="s">
        <v>124</v>
      </c>
      <c r="L750" s="3" t="s">
        <v>18</v>
      </c>
      <c r="M750" s="3">
        <v>1307</v>
      </c>
      <c r="N750" s="3" t="s">
        <v>24</v>
      </c>
      <c r="O750" s="2"/>
      <c r="P750" t="str">
        <f t="shared" si="56"/>
        <v>Taucherstraße 10</v>
      </c>
      <c r="Q750" t="str">
        <f t="shared" si="60"/>
        <v>Cunewalde</v>
      </c>
      <c r="R750" t="str">
        <f t="shared" si="57"/>
        <v>NULL</v>
      </c>
      <c r="S750">
        <f t="shared" si="58"/>
        <v>1307</v>
      </c>
      <c r="T750" t="str">
        <f t="shared" si="59"/>
        <v>Germany</v>
      </c>
    </row>
    <row r="751" spans="1:20" x14ac:dyDescent="0.2">
      <c r="A751" s="1">
        <v>10997</v>
      </c>
      <c r="B751" s="3" t="s">
        <v>151</v>
      </c>
      <c r="C751" s="3">
        <v>8</v>
      </c>
      <c r="D751" s="4">
        <v>35888</v>
      </c>
      <c r="E751" s="4">
        <v>35930</v>
      </c>
      <c r="F751" s="4">
        <v>35898</v>
      </c>
      <c r="G751" s="3">
        <v>2</v>
      </c>
      <c r="H751" s="3">
        <v>73.91</v>
      </c>
      <c r="I751" s="3" t="s">
        <v>152</v>
      </c>
      <c r="J751" s="3" t="s">
        <v>153</v>
      </c>
      <c r="K751" s="3" t="s">
        <v>154</v>
      </c>
      <c r="L751" s="3" t="s">
        <v>155</v>
      </c>
      <c r="M751" s="3">
        <v>3508</v>
      </c>
      <c r="N751" s="3" t="s">
        <v>62</v>
      </c>
      <c r="O751" s="2"/>
      <c r="P751" t="str">
        <f t="shared" si="56"/>
        <v>Carrera 52 con Ave. Bolívar #65-98 Llano Largo</v>
      </c>
      <c r="Q751" t="str">
        <f t="shared" si="60"/>
        <v>Barquisimeto</v>
      </c>
      <c r="R751" t="str">
        <f t="shared" si="57"/>
        <v>Lara</v>
      </c>
      <c r="S751">
        <f t="shared" si="58"/>
        <v>3508</v>
      </c>
      <c r="T751" t="str">
        <f t="shared" si="59"/>
        <v>Venezuela</v>
      </c>
    </row>
    <row r="752" spans="1:20" x14ac:dyDescent="0.2">
      <c r="A752" s="1">
        <v>10998</v>
      </c>
      <c r="B752" s="3" t="s">
        <v>303</v>
      </c>
      <c r="C752" s="3">
        <v>8</v>
      </c>
      <c r="D752" s="4">
        <v>35888</v>
      </c>
      <c r="E752" s="4">
        <v>35902</v>
      </c>
      <c r="F752" s="4">
        <v>35902</v>
      </c>
      <c r="G752" s="3">
        <v>2</v>
      </c>
      <c r="H752" s="3">
        <v>20.309999999999999</v>
      </c>
      <c r="I752" s="3" t="s">
        <v>304</v>
      </c>
      <c r="J752" s="3" t="s">
        <v>305</v>
      </c>
      <c r="K752" s="3" t="s">
        <v>306</v>
      </c>
      <c r="L752" s="3" t="s">
        <v>18</v>
      </c>
      <c r="M752" s="3" t="s">
        <v>307</v>
      </c>
      <c r="N752" s="3" t="s">
        <v>308</v>
      </c>
      <c r="O752" s="2"/>
      <c r="P752" t="str">
        <f t="shared" si="56"/>
        <v>ul. Filtrowa 68</v>
      </c>
      <c r="Q752" t="str">
        <f t="shared" si="60"/>
        <v>Warszawa</v>
      </c>
      <c r="R752" t="str">
        <f t="shared" si="57"/>
        <v>NULL</v>
      </c>
      <c r="S752" t="str">
        <f t="shared" si="58"/>
        <v>01-012</v>
      </c>
      <c r="T752" t="str">
        <f t="shared" si="59"/>
        <v>Poland</v>
      </c>
    </row>
    <row r="753" spans="1:20" x14ac:dyDescent="0.2">
      <c r="A753" s="1">
        <v>10999</v>
      </c>
      <c r="B753" s="3" t="s">
        <v>73</v>
      </c>
      <c r="C753" s="3">
        <v>6</v>
      </c>
      <c r="D753" s="4">
        <v>35888</v>
      </c>
      <c r="E753" s="4">
        <v>35916</v>
      </c>
      <c r="F753" s="4">
        <v>35895</v>
      </c>
      <c r="G753" s="3">
        <v>2</v>
      </c>
      <c r="H753" s="3">
        <v>96.35</v>
      </c>
      <c r="I753" s="3" t="s">
        <v>74</v>
      </c>
      <c r="J753" s="3" t="s">
        <v>75</v>
      </c>
      <c r="K753" s="3" t="s">
        <v>76</v>
      </c>
      <c r="L753" s="3" t="s">
        <v>18</v>
      </c>
      <c r="M753" s="3">
        <v>50739</v>
      </c>
      <c r="N753" s="3" t="s">
        <v>24</v>
      </c>
      <c r="O753" s="2"/>
      <c r="P753" t="str">
        <f t="shared" si="56"/>
        <v>Mehrheimerstr. 369</v>
      </c>
      <c r="Q753" t="str">
        <f t="shared" si="60"/>
        <v>Köln</v>
      </c>
      <c r="R753" t="str">
        <f t="shared" si="57"/>
        <v>NULL</v>
      </c>
      <c r="S753">
        <f t="shared" si="58"/>
        <v>50739</v>
      </c>
      <c r="T753" t="str">
        <f t="shared" si="59"/>
        <v>Germany</v>
      </c>
    </row>
    <row r="754" spans="1:20" x14ac:dyDescent="0.2">
      <c r="A754" s="1">
        <v>11000</v>
      </c>
      <c r="B754" s="3" t="s">
        <v>81</v>
      </c>
      <c r="C754" s="3">
        <v>2</v>
      </c>
      <c r="D754" s="4">
        <v>35891</v>
      </c>
      <c r="E754" s="4">
        <v>35919</v>
      </c>
      <c r="F754" s="4">
        <v>35899</v>
      </c>
      <c r="G754" s="3">
        <v>3</v>
      </c>
      <c r="H754" s="3">
        <v>55.12</v>
      </c>
      <c r="I754" s="3" t="s">
        <v>82</v>
      </c>
      <c r="J754" s="3" t="s">
        <v>83</v>
      </c>
      <c r="K754" s="3" t="s">
        <v>84</v>
      </c>
      <c r="L754" s="3" t="s">
        <v>85</v>
      </c>
      <c r="M754" s="3">
        <v>87110</v>
      </c>
      <c r="N754" s="3" t="s">
        <v>86</v>
      </c>
      <c r="O754" s="2"/>
      <c r="P754" t="str">
        <f t="shared" si="56"/>
        <v>2817 Milton Dr.</v>
      </c>
      <c r="Q754" t="str">
        <f t="shared" si="60"/>
        <v>Albuquerque</v>
      </c>
      <c r="R754" t="str">
        <f t="shared" si="57"/>
        <v>NM</v>
      </c>
      <c r="S754">
        <f t="shared" si="58"/>
        <v>87110</v>
      </c>
      <c r="T754" t="str">
        <f t="shared" si="59"/>
        <v>USA</v>
      </c>
    </row>
    <row r="755" spans="1:20" x14ac:dyDescent="0.2">
      <c r="A755" s="1">
        <v>11001</v>
      </c>
      <c r="B755" s="3" t="s">
        <v>87</v>
      </c>
      <c r="C755" s="3">
        <v>2</v>
      </c>
      <c r="D755" s="4">
        <v>35891</v>
      </c>
      <c r="E755" s="4">
        <v>35919</v>
      </c>
      <c r="F755" s="4">
        <v>35899</v>
      </c>
      <c r="G755" s="3">
        <v>2</v>
      </c>
      <c r="H755" s="3">
        <v>197.3</v>
      </c>
      <c r="I755" s="3" t="s">
        <v>88</v>
      </c>
      <c r="J755" s="3" t="s">
        <v>89</v>
      </c>
      <c r="K755" s="3" t="s">
        <v>90</v>
      </c>
      <c r="L755" s="3" t="s">
        <v>18</v>
      </c>
      <c r="M755" s="3" t="s">
        <v>91</v>
      </c>
      <c r="N755" s="3" t="s">
        <v>92</v>
      </c>
      <c r="O755" s="2"/>
      <c r="P755" t="str">
        <f t="shared" si="56"/>
        <v>Åkergatan 24</v>
      </c>
      <c r="Q755" t="str">
        <f t="shared" si="60"/>
        <v>Bräcke</v>
      </c>
      <c r="R755" t="str">
        <f t="shared" si="57"/>
        <v>NULL</v>
      </c>
      <c r="S755" t="str">
        <f t="shared" si="58"/>
        <v>S-844 67</v>
      </c>
      <c r="T755" t="str">
        <f t="shared" si="59"/>
        <v>Sweden</v>
      </c>
    </row>
    <row r="756" spans="1:20" x14ac:dyDescent="0.2">
      <c r="A756" s="1">
        <v>11002</v>
      </c>
      <c r="B756" s="3" t="s">
        <v>226</v>
      </c>
      <c r="C756" s="3">
        <v>4</v>
      </c>
      <c r="D756" s="4">
        <v>35891</v>
      </c>
      <c r="E756" s="4">
        <v>35919</v>
      </c>
      <c r="F756" s="4">
        <v>35901</v>
      </c>
      <c r="G756" s="3">
        <v>1</v>
      </c>
      <c r="H756" s="3">
        <v>141.16</v>
      </c>
      <c r="I756" s="3" t="s">
        <v>227</v>
      </c>
      <c r="J756" s="3" t="s">
        <v>228</v>
      </c>
      <c r="K756" s="3" t="s">
        <v>229</v>
      </c>
      <c r="L756" s="3" t="s">
        <v>230</v>
      </c>
      <c r="M756" s="3">
        <v>83720</v>
      </c>
      <c r="N756" s="3" t="s">
        <v>86</v>
      </c>
      <c r="O756" s="2"/>
      <c r="P756" t="str">
        <f t="shared" si="56"/>
        <v>187 Suffolk Ln.</v>
      </c>
      <c r="Q756" t="str">
        <f t="shared" si="60"/>
        <v>Boise</v>
      </c>
      <c r="R756" t="str">
        <f t="shared" si="57"/>
        <v>ID</v>
      </c>
      <c r="S756">
        <f t="shared" si="58"/>
        <v>83720</v>
      </c>
      <c r="T756" t="str">
        <f t="shared" si="59"/>
        <v>USA</v>
      </c>
    </row>
    <row r="757" spans="1:20" x14ac:dyDescent="0.2">
      <c r="A757" s="1">
        <v>11003</v>
      </c>
      <c r="B757" s="3" t="s">
        <v>396</v>
      </c>
      <c r="C757" s="3">
        <v>3</v>
      </c>
      <c r="D757" s="4">
        <v>35891</v>
      </c>
      <c r="E757" s="4">
        <v>35919</v>
      </c>
      <c r="F757" s="4">
        <v>35893</v>
      </c>
      <c r="G757" s="3">
        <v>3</v>
      </c>
      <c r="H757" s="3">
        <v>14.91</v>
      </c>
      <c r="I757" s="3" t="s">
        <v>397</v>
      </c>
      <c r="J757" s="3" t="s">
        <v>398</v>
      </c>
      <c r="K757" s="3" t="s">
        <v>399</v>
      </c>
      <c r="L757" s="3" t="s">
        <v>400</v>
      </c>
      <c r="M757" s="3">
        <v>59801</v>
      </c>
      <c r="N757" s="3" t="s">
        <v>86</v>
      </c>
      <c r="O757" s="2"/>
      <c r="P757" t="str">
        <f t="shared" si="56"/>
        <v>55 Grizzly Peak Rd.</v>
      </c>
      <c r="Q757" t="str">
        <f t="shared" si="60"/>
        <v>Butte</v>
      </c>
      <c r="R757" t="str">
        <f t="shared" si="57"/>
        <v>MT</v>
      </c>
      <c r="S757">
        <f t="shared" si="58"/>
        <v>59801</v>
      </c>
      <c r="T757" t="str">
        <f t="shared" si="59"/>
        <v>USA</v>
      </c>
    </row>
    <row r="758" spans="1:20" x14ac:dyDescent="0.2">
      <c r="A758" s="1">
        <v>11004</v>
      </c>
      <c r="B758" s="3" t="s">
        <v>378</v>
      </c>
      <c r="C758" s="3">
        <v>3</v>
      </c>
      <c r="D758" s="4">
        <v>35892</v>
      </c>
      <c r="E758" s="4">
        <v>35920</v>
      </c>
      <c r="F758" s="4">
        <v>35905</v>
      </c>
      <c r="G758" s="3">
        <v>1</v>
      </c>
      <c r="H758" s="3">
        <v>44.84</v>
      </c>
      <c r="I758" s="3" t="s">
        <v>379</v>
      </c>
      <c r="J758" s="3" t="s">
        <v>380</v>
      </c>
      <c r="K758" s="3" t="s">
        <v>381</v>
      </c>
      <c r="L758" s="3" t="s">
        <v>18</v>
      </c>
      <c r="M758" s="3" t="s">
        <v>382</v>
      </c>
      <c r="N758" s="3" t="s">
        <v>41</v>
      </c>
      <c r="O758" s="2"/>
      <c r="P758" t="str">
        <f t="shared" si="56"/>
        <v>Rue Joseph-Bens 532</v>
      </c>
      <c r="Q758" t="str">
        <f t="shared" si="60"/>
        <v>Bruxelles</v>
      </c>
      <c r="R758" t="str">
        <f t="shared" si="57"/>
        <v>NULL</v>
      </c>
      <c r="S758" t="str">
        <f t="shared" si="58"/>
        <v>B-1180</v>
      </c>
      <c r="T758" t="str">
        <f t="shared" si="59"/>
        <v>Belgium</v>
      </c>
    </row>
    <row r="759" spans="1:20" x14ac:dyDescent="0.2">
      <c r="A759" s="1">
        <v>11005</v>
      </c>
      <c r="B759" s="3" t="s">
        <v>392</v>
      </c>
      <c r="C759" s="3">
        <v>2</v>
      </c>
      <c r="D759" s="4">
        <v>35892</v>
      </c>
      <c r="E759" s="4">
        <v>35920</v>
      </c>
      <c r="F759" s="4">
        <v>35895</v>
      </c>
      <c r="G759" s="3">
        <v>1</v>
      </c>
      <c r="H759" s="3">
        <v>0.75</v>
      </c>
      <c r="I759" s="3" t="s">
        <v>393</v>
      </c>
      <c r="J759" s="3" t="s">
        <v>394</v>
      </c>
      <c r="K759" s="3" t="s">
        <v>395</v>
      </c>
      <c r="L759" s="3" t="s">
        <v>18</v>
      </c>
      <c r="M759" s="3">
        <v>21240</v>
      </c>
      <c r="N759" s="3" t="s">
        <v>101</v>
      </c>
      <c r="O759" s="2"/>
      <c r="P759" t="str">
        <f t="shared" si="56"/>
        <v>Keskuskatu 45</v>
      </c>
      <c r="Q759" t="str">
        <f t="shared" si="60"/>
        <v>Helsinki</v>
      </c>
      <c r="R759" t="str">
        <f t="shared" si="57"/>
        <v>NULL</v>
      </c>
      <c r="S759">
        <f t="shared" si="58"/>
        <v>21240</v>
      </c>
      <c r="T759" t="str">
        <f t="shared" si="59"/>
        <v>Finland</v>
      </c>
    </row>
    <row r="760" spans="1:20" x14ac:dyDescent="0.2">
      <c r="A760" s="1">
        <v>11006</v>
      </c>
      <c r="B760" s="3" t="s">
        <v>374</v>
      </c>
      <c r="C760" s="3">
        <v>3</v>
      </c>
      <c r="D760" s="4">
        <v>35892</v>
      </c>
      <c r="E760" s="4">
        <v>35920</v>
      </c>
      <c r="F760" s="4">
        <v>35900</v>
      </c>
      <c r="G760" s="3">
        <v>2</v>
      </c>
      <c r="H760" s="3">
        <v>25.19</v>
      </c>
      <c r="I760" s="3" t="s">
        <v>375</v>
      </c>
      <c r="J760" s="3" t="s">
        <v>376</v>
      </c>
      <c r="K760" s="3" t="s">
        <v>377</v>
      </c>
      <c r="L760" s="3" t="s">
        <v>202</v>
      </c>
      <c r="M760" s="3">
        <v>97403</v>
      </c>
      <c r="N760" s="3" t="s">
        <v>86</v>
      </c>
      <c r="O760" s="2"/>
      <c r="P760" t="str">
        <f t="shared" si="56"/>
        <v>2732 Baker Blvd.</v>
      </c>
      <c r="Q760" t="str">
        <f t="shared" si="60"/>
        <v>Eugene</v>
      </c>
      <c r="R760" t="str">
        <f t="shared" si="57"/>
        <v>OR</v>
      </c>
      <c r="S760">
        <f t="shared" si="58"/>
        <v>97403</v>
      </c>
      <c r="T760" t="str">
        <f t="shared" si="59"/>
        <v>USA</v>
      </c>
    </row>
    <row r="761" spans="1:20" x14ac:dyDescent="0.2">
      <c r="A761" s="1">
        <v>11007</v>
      </c>
      <c r="B761" s="3" t="s">
        <v>250</v>
      </c>
      <c r="C761" s="3">
        <v>8</v>
      </c>
      <c r="D761" s="4">
        <v>35893</v>
      </c>
      <c r="E761" s="4">
        <v>35921</v>
      </c>
      <c r="F761" s="4">
        <v>35898</v>
      </c>
      <c r="G761" s="3">
        <v>2</v>
      </c>
      <c r="H761" s="3">
        <v>202.24</v>
      </c>
      <c r="I761" s="3" t="s">
        <v>251</v>
      </c>
      <c r="J761" s="3" t="s">
        <v>252</v>
      </c>
      <c r="K761" s="3" t="s">
        <v>237</v>
      </c>
      <c r="L761" s="3" t="s">
        <v>18</v>
      </c>
      <c r="M761" s="3">
        <v>1756</v>
      </c>
      <c r="N761" s="3" t="s">
        <v>238</v>
      </c>
      <c r="O761" s="2"/>
      <c r="P761" t="str">
        <f t="shared" si="56"/>
        <v>Estrada da saúde n. 58</v>
      </c>
      <c r="Q761" t="str">
        <f t="shared" si="60"/>
        <v>Lisboa</v>
      </c>
      <c r="R761" t="str">
        <f t="shared" si="57"/>
        <v>NULL</v>
      </c>
      <c r="S761">
        <f t="shared" si="58"/>
        <v>1756</v>
      </c>
      <c r="T761" t="str">
        <f t="shared" si="59"/>
        <v>Portugal</v>
      </c>
    </row>
    <row r="762" spans="1:20" x14ac:dyDescent="0.2">
      <c r="A762" s="1">
        <v>11008</v>
      </c>
      <c r="B762" s="3" t="s">
        <v>63</v>
      </c>
      <c r="C762" s="3">
        <v>7</v>
      </c>
      <c r="D762" s="4">
        <v>35893</v>
      </c>
      <c r="E762" s="4">
        <v>35921</v>
      </c>
      <c r="F762" s="3" t="s">
        <v>18</v>
      </c>
      <c r="G762" s="3">
        <v>3</v>
      </c>
      <c r="H762" s="3">
        <v>79.459999999999994</v>
      </c>
      <c r="I762" s="3" t="s">
        <v>64</v>
      </c>
      <c r="J762" s="3" t="s">
        <v>65</v>
      </c>
      <c r="K762" s="3" t="s">
        <v>66</v>
      </c>
      <c r="L762" s="3" t="s">
        <v>18</v>
      </c>
      <c r="M762" s="3">
        <v>8010</v>
      </c>
      <c r="N762" s="3" t="s">
        <v>67</v>
      </c>
      <c r="O762" s="2"/>
      <c r="P762" t="str">
        <f t="shared" si="56"/>
        <v>Kirchgasse 6</v>
      </c>
      <c r="Q762" t="str">
        <f t="shared" si="60"/>
        <v>Graz</v>
      </c>
      <c r="R762" t="str">
        <f t="shared" si="57"/>
        <v>NULL</v>
      </c>
      <c r="S762">
        <f t="shared" si="58"/>
        <v>8010</v>
      </c>
      <c r="T762" t="str">
        <f t="shared" si="59"/>
        <v>Austria</v>
      </c>
    </row>
    <row r="763" spans="1:20" x14ac:dyDescent="0.2">
      <c r="A763" s="1">
        <v>11009</v>
      </c>
      <c r="B763" s="3" t="s">
        <v>189</v>
      </c>
      <c r="C763" s="3">
        <v>2</v>
      </c>
      <c r="D763" s="4">
        <v>35893</v>
      </c>
      <c r="E763" s="4">
        <v>35921</v>
      </c>
      <c r="F763" s="4">
        <v>35895</v>
      </c>
      <c r="G763" s="3">
        <v>1</v>
      </c>
      <c r="H763" s="3">
        <v>59.11</v>
      </c>
      <c r="I763" s="3" t="s">
        <v>190</v>
      </c>
      <c r="J763" s="3" t="s">
        <v>191</v>
      </c>
      <c r="K763" s="3">
        <v>33</v>
      </c>
      <c r="L763" s="3" t="s">
        <v>192</v>
      </c>
      <c r="M763" s="3" t="s">
        <v>18</v>
      </c>
      <c r="N763" s="3">
        <v>41101</v>
      </c>
      <c r="O763" s="3" t="s">
        <v>150</v>
      </c>
      <c r="P763" t="str">
        <f t="shared" si="56"/>
        <v>C/ Romero 33</v>
      </c>
      <c r="Q763" t="str">
        <f t="shared" si="60"/>
        <v>Sevilla</v>
      </c>
      <c r="R763" t="str">
        <f t="shared" si="57"/>
        <v>NULL</v>
      </c>
      <c r="S763">
        <f t="shared" si="58"/>
        <v>41101</v>
      </c>
      <c r="T763" t="str">
        <f t="shared" si="59"/>
        <v>Spain</v>
      </c>
    </row>
    <row r="764" spans="1:20" x14ac:dyDescent="0.2">
      <c r="A764" s="1">
        <v>11010</v>
      </c>
      <c r="B764" s="3" t="s">
        <v>160</v>
      </c>
      <c r="C764" s="3">
        <v>2</v>
      </c>
      <c r="D764" s="4">
        <v>35894</v>
      </c>
      <c r="E764" s="4">
        <v>35922</v>
      </c>
      <c r="F764" s="4">
        <v>35906</v>
      </c>
      <c r="G764" s="3">
        <v>2</v>
      </c>
      <c r="H764" s="3">
        <v>28.71</v>
      </c>
      <c r="I764" s="3" t="s">
        <v>161</v>
      </c>
      <c r="J764" s="3" t="s">
        <v>162</v>
      </c>
      <c r="K764" s="3" t="s">
        <v>163</v>
      </c>
      <c r="L764" s="3" t="s">
        <v>18</v>
      </c>
      <c r="M764" s="3">
        <v>42100</v>
      </c>
      <c r="N764" s="3" t="s">
        <v>129</v>
      </c>
      <c r="O764" s="2"/>
      <c r="P764" t="str">
        <f t="shared" si="56"/>
        <v>Strada Provinciale 124</v>
      </c>
      <c r="Q764" t="str">
        <f t="shared" si="60"/>
        <v>Reggio Emilia</v>
      </c>
      <c r="R764" t="str">
        <f t="shared" si="57"/>
        <v>NULL</v>
      </c>
      <c r="S764">
        <f t="shared" si="58"/>
        <v>42100</v>
      </c>
      <c r="T764" t="str">
        <f t="shared" si="59"/>
        <v>Italy</v>
      </c>
    </row>
    <row r="765" spans="1:20" x14ac:dyDescent="0.2">
      <c r="A765" s="1">
        <v>11011</v>
      </c>
      <c r="B765" s="3" t="s">
        <v>401</v>
      </c>
      <c r="C765" s="3">
        <v>3</v>
      </c>
      <c r="D765" s="4">
        <v>35894</v>
      </c>
      <c r="E765" s="4">
        <v>35922</v>
      </c>
      <c r="F765" s="4">
        <v>35898</v>
      </c>
      <c r="G765" s="3">
        <v>1</v>
      </c>
      <c r="H765" s="3">
        <v>1.21</v>
      </c>
      <c r="I765" s="3" t="s">
        <v>408</v>
      </c>
      <c r="J765" s="3" t="s">
        <v>403</v>
      </c>
      <c r="K765" s="3" t="s">
        <v>404</v>
      </c>
      <c r="L765" s="3" t="s">
        <v>18</v>
      </c>
      <c r="M765" s="3">
        <v>12209</v>
      </c>
      <c r="N765" s="3" t="s">
        <v>24</v>
      </c>
      <c r="O765" s="2"/>
      <c r="P765" t="str">
        <f t="shared" si="56"/>
        <v>Obere Str. 57</v>
      </c>
      <c r="Q765" t="str">
        <f t="shared" si="60"/>
        <v>Berlin</v>
      </c>
      <c r="R765" t="str">
        <f t="shared" si="57"/>
        <v>NULL</v>
      </c>
      <c r="S765">
        <f t="shared" si="58"/>
        <v>12209</v>
      </c>
      <c r="T765" t="str">
        <f t="shared" si="59"/>
        <v>Germany</v>
      </c>
    </row>
    <row r="766" spans="1:20" x14ac:dyDescent="0.2">
      <c r="A766" s="1">
        <v>11012</v>
      </c>
      <c r="B766" s="3" t="s">
        <v>102</v>
      </c>
      <c r="C766" s="3">
        <v>1</v>
      </c>
      <c r="D766" s="4">
        <v>35894</v>
      </c>
      <c r="E766" s="4">
        <v>35908</v>
      </c>
      <c r="F766" s="4">
        <v>35902</v>
      </c>
      <c r="G766" s="3">
        <v>3</v>
      </c>
      <c r="H766" s="3">
        <v>242.95</v>
      </c>
      <c r="I766" s="3" t="s">
        <v>103</v>
      </c>
      <c r="J766" s="3" t="s">
        <v>104</v>
      </c>
      <c r="K766" s="3" t="s">
        <v>105</v>
      </c>
      <c r="L766" s="3" t="s">
        <v>18</v>
      </c>
      <c r="M766" s="3">
        <v>80805</v>
      </c>
      <c r="N766" s="3" t="s">
        <v>24</v>
      </c>
      <c r="O766" s="2"/>
      <c r="P766" t="str">
        <f t="shared" si="56"/>
        <v>Berliner Platz 43</v>
      </c>
      <c r="Q766" t="str">
        <f t="shared" si="60"/>
        <v>München</v>
      </c>
      <c r="R766" t="str">
        <f t="shared" si="57"/>
        <v>NULL</v>
      </c>
      <c r="S766">
        <f t="shared" si="58"/>
        <v>80805</v>
      </c>
      <c r="T766" t="str">
        <f t="shared" si="59"/>
        <v>Germany</v>
      </c>
    </row>
    <row r="767" spans="1:20" x14ac:dyDescent="0.2">
      <c r="A767" s="1">
        <v>11013</v>
      </c>
      <c r="B767" s="3" t="s">
        <v>146</v>
      </c>
      <c r="C767" s="3">
        <v>2</v>
      </c>
      <c r="D767" s="4">
        <v>35894</v>
      </c>
      <c r="E767" s="4">
        <v>35922</v>
      </c>
      <c r="F767" s="4">
        <v>35895</v>
      </c>
      <c r="G767" s="3">
        <v>1</v>
      </c>
      <c r="H767" s="3">
        <v>32.99</v>
      </c>
      <c r="I767" s="3" t="s">
        <v>147</v>
      </c>
      <c r="J767" s="3" t="s">
        <v>148</v>
      </c>
      <c r="K767" s="3">
        <v>1</v>
      </c>
      <c r="L767" s="3" t="s">
        <v>149</v>
      </c>
      <c r="M767" s="3" t="s">
        <v>18</v>
      </c>
      <c r="N767" s="3">
        <v>28001</v>
      </c>
      <c r="O767" s="3" t="s">
        <v>150</v>
      </c>
      <c r="P767" t="str">
        <f t="shared" si="56"/>
        <v>Gran Vía 1</v>
      </c>
      <c r="Q767" t="str">
        <f t="shared" si="60"/>
        <v>Madrid</v>
      </c>
      <c r="R767" t="str">
        <f t="shared" si="57"/>
        <v>NULL</v>
      </c>
      <c r="S767">
        <f t="shared" si="58"/>
        <v>28001</v>
      </c>
      <c r="T767" t="str">
        <f t="shared" si="59"/>
        <v>Spain</v>
      </c>
    </row>
    <row r="768" spans="1:20" x14ac:dyDescent="0.2">
      <c r="A768" s="1">
        <v>11014</v>
      </c>
      <c r="B768" s="3" t="s">
        <v>324</v>
      </c>
      <c r="C768" s="3">
        <v>2</v>
      </c>
      <c r="D768" s="4">
        <v>35895</v>
      </c>
      <c r="E768" s="4">
        <v>35923</v>
      </c>
      <c r="F768" s="4">
        <v>35900</v>
      </c>
      <c r="G768" s="3">
        <v>3</v>
      </c>
      <c r="H768" s="3">
        <v>23.6</v>
      </c>
      <c r="I768" s="3" t="s">
        <v>325</v>
      </c>
      <c r="J768" s="3" t="s">
        <v>326</v>
      </c>
      <c r="K768" s="3" t="s">
        <v>327</v>
      </c>
      <c r="L768" s="3" t="s">
        <v>328</v>
      </c>
      <c r="M768" s="3">
        <v>4980</v>
      </c>
      <c r="N768" s="3" t="s">
        <v>62</v>
      </c>
      <c r="O768" s="2"/>
      <c r="P768" t="str">
        <f t="shared" si="56"/>
        <v>Ave. 5 de Mayo Porlamar</v>
      </c>
      <c r="Q768" t="str">
        <f t="shared" si="60"/>
        <v>I. de Margarita</v>
      </c>
      <c r="R768" t="str">
        <f t="shared" si="57"/>
        <v>Nueva Esparta</v>
      </c>
      <c r="S768">
        <f t="shared" si="58"/>
        <v>4980</v>
      </c>
      <c r="T768" t="str">
        <f t="shared" si="59"/>
        <v>Venezuela</v>
      </c>
    </row>
    <row r="769" spans="1:20" x14ac:dyDescent="0.2">
      <c r="A769" s="1">
        <v>11015</v>
      </c>
      <c r="B769" s="3" t="s">
        <v>313</v>
      </c>
      <c r="C769" s="3">
        <v>2</v>
      </c>
      <c r="D769" s="4">
        <v>35895</v>
      </c>
      <c r="E769" s="4">
        <v>35909</v>
      </c>
      <c r="F769" s="4">
        <v>35905</v>
      </c>
      <c r="G769" s="3">
        <v>2</v>
      </c>
      <c r="H769" s="3">
        <v>4.62</v>
      </c>
      <c r="I769" s="3" t="s">
        <v>314</v>
      </c>
      <c r="J769" s="3" t="s">
        <v>315</v>
      </c>
      <c r="K769" s="3" t="s">
        <v>316</v>
      </c>
      <c r="L769" s="3" t="s">
        <v>18</v>
      </c>
      <c r="M769" s="3">
        <v>4110</v>
      </c>
      <c r="N769" s="3" t="s">
        <v>317</v>
      </c>
      <c r="O769" s="2"/>
      <c r="P769" t="str">
        <f t="shared" si="56"/>
        <v>Erling Skakkes gate 78</v>
      </c>
      <c r="Q769" t="str">
        <f t="shared" si="60"/>
        <v>Stavern</v>
      </c>
      <c r="R769" t="str">
        <f t="shared" si="57"/>
        <v>NULL</v>
      </c>
      <c r="S769">
        <f t="shared" si="58"/>
        <v>4110</v>
      </c>
      <c r="T769" t="str">
        <f t="shared" si="59"/>
        <v>Norway</v>
      </c>
    </row>
    <row r="770" spans="1:20" x14ac:dyDescent="0.2">
      <c r="A770" s="1">
        <v>11016</v>
      </c>
      <c r="B770" s="3" t="s">
        <v>270</v>
      </c>
      <c r="C770" s="3">
        <v>9</v>
      </c>
      <c r="D770" s="4">
        <v>35895</v>
      </c>
      <c r="E770" s="4">
        <v>35923</v>
      </c>
      <c r="F770" s="4">
        <v>35898</v>
      </c>
      <c r="G770" s="3">
        <v>2</v>
      </c>
      <c r="H770" s="3">
        <v>33.799999999999997</v>
      </c>
      <c r="I770" s="3" t="s">
        <v>271</v>
      </c>
      <c r="J770" s="3" t="s">
        <v>272</v>
      </c>
      <c r="K770" s="3" t="s">
        <v>273</v>
      </c>
      <c r="L770" s="3" t="s">
        <v>274</v>
      </c>
      <c r="M770" s="3" t="s">
        <v>275</v>
      </c>
      <c r="N770" s="3" t="s">
        <v>169</v>
      </c>
      <c r="O770" s="2"/>
      <c r="P770" t="str">
        <f t="shared" ref="P770:P831" si="61">IF(O770&lt;&gt;"",J770&amp;" "&amp;K770,J770)</f>
        <v>Brook Farm Stratford St. Mary</v>
      </c>
      <c r="Q770" t="str">
        <f t="shared" si="60"/>
        <v>Colchester</v>
      </c>
      <c r="R770" t="str">
        <f t="shared" si="57"/>
        <v>Essex</v>
      </c>
      <c r="S770" t="str">
        <f t="shared" si="58"/>
        <v>CO7 6JX</v>
      </c>
      <c r="T770" t="str">
        <f t="shared" si="59"/>
        <v>UK</v>
      </c>
    </row>
    <row r="771" spans="1:20" x14ac:dyDescent="0.2">
      <c r="A771" s="1">
        <v>11017</v>
      </c>
      <c r="B771" s="3" t="s">
        <v>63</v>
      </c>
      <c r="C771" s="3">
        <v>9</v>
      </c>
      <c r="D771" s="4">
        <v>35898</v>
      </c>
      <c r="E771" s="4">
        <v>35926</v>
      </c>
      <c r="F771" s="4">
        <v>35905</v>
      </c>
      <c r="G771" s="3">
        <v>2</v>
      </c>
      <c r="H771" s="3">
        <v>754.26</v>
      </c>
      <c r="I771" s="3" t="s">
        <v>64</v>
      </c>
      <c r="J771" s="3" t="s">
        <v>65</v>
      </c>
      <c r="K771" s="3" t="s">
        <v>66</v>
      </c>
      <c r="L771" s="3" t="s">
        <v>18</v>
      </c>
      <c r="M771" s="3">
        <v>8010</v>
      </c>
      <c r="N771" s="3" t="s">
        <v>67</v>
      </c>
      <c r="O771" s="2"/>
      <c r="P771" t="str">
        <f t="shared" si="61"/>
        <v>Kirchgasse 6</v>
      </c>
      <c r="Q771" t="str">
        <f t="shared" si="60"/>
        <v>Graz</v>
      </c>
      <c r="R771" t="str">
        <f t="shared" ref="R771:R831" si="62">IF(O771&lt;&gt;"",M771,L771)</f>
        <v>NULL</v>
      </c>
      <c r="S771">
        <f t="shared" ref="S771:S831" si="63">IF(O771&lt;&gt;"",N771,M771)</f>
        <v>8010</v>
      </c>
      <c r="T771" t="str">
        <f t="shared" ref="T771:T831" si="64">IF(O771&lt;&gt;"",O771,N771)</f>
        <v>Austria</v>
      </c>
    </row>
    <row r="772" spans="1:20" x14ac:dyDescent="0.2">
      <c r="A772" s="1">
        <v>11018</v>
      </c>
      <c r="B772" s="3" t="s">
        <v>198</v>
      </c>
      <c r="C772" s="3">
        <v>4</v>
      </c>
      <c r="D772" s="4">
        <v>35898</v>
      </c>
      <c r="E772" s="4">
        <v>35926</v>
      </c>
      <c r="F772" s="4">
        <v>35901</v>
      </c>
      <c r="G772" s="3">
        <v>2</v>
      </c>
      <c r="H772" s="3">
        <v>11.65</v>
      </c>
      <c r="I772" s="3" t="s">
        <v>199</v>
      </c>
      <c r="J772" s="3" t="s">
        <v>200</v>
      </c>
      <c r="K772" s="3" t="s">
        <v>201</v>
      </c>
      <c r="L772" s="3" t="s">
        <v>202</v>
      </c>
      <c r="M772" s="3">
        <v>97219</v>
      </c>
      <c r="N772" s="3" t="s">
        <v>86</v>
      </c>
      <c r="O772" s="2"/>
      <c r="P772" t="str">
        <f t="shared" si="61"/>
        <v>89 Chiaroscuro Rd.</v>
      </c>
      <c r="Q772" t="str">
        <f t="shared" si="60"/>
        <v>Portland</v>
      </c>
      <c r="R772" t="str">
        <f t="shared" si="62"/>
        <v>OR</v>
      </c>
      <c r="S772">
        <f t="shared" si="63"/>
        <v>97219</v>
      </c>
      <c r="T772" t="str">
        <f t="shared" si="64"/>
        <v>USA</v>
      </c>
    </row>
    <row r="773" spans="1:20" x14ac:dyDescent="0.2">
      <c r="A773" s="1">
        <v>11019</v>
      </c>
      <c r="B773" s="3" t="s">
        <v>351</v>
      </c>
      <c r="C773" s="3">
        <v>6</v>
      </c>
      <c r="D773" s="4">
        <v>35898</v>
      </c>
      <c r="E773" s="4">
        <v>35926</v>
      </c>
      <c r="F773" s="3" t="s">
        <v>18</v>
      </c>
      <c r="G773" s="3">
        <v>3</v>
      </c>
      <c r="H773" s="3">
        <v>3.17</v>
      </c>
      <c r="I773" s="3" t="s">
        <v>352</v>
      </c>
      <c r="J773" s="3" t="s">
        <v>353</v>
      </c>
      <c r="K773" s="3" t="s">
        <v>336</v>
      </c>
      <c r="L773" s="3" t="s">
        <v>18</v>
      </c>
      <c r="M773" s="3">
        <v>1010</v>
      </c>
      <c r="N773" s="3" t="s">
        <v>337</v>
      </c>
      <c r="O773" s="2"/>
      <c r="P773" t="str">
        <f t="shared" si="61"/>
        <v>Av. del Libertador 900</v>
      </c>
      <c r="Q773" t="str">
        <f t="shared" si="60"/>
        <v>Buenos Aires</v>
      </c>
      <c r="R773" t="str">
        <f t="shared" si="62"/>
        <v>NULL</v>
      </c>
      <c r="S773">
        <f t="shared" si="63"/>
        <v>1010</v>
      </c>
      <c r="T773" t="str">
        <f t="shared" si="64"/>
        <v>Argentina</v>
      </c>
    </row>
    <row r="774" spans="1:20" x14ac:dyDescent="0.2">
      <c r="A774" s="1">
        <v>11020</v>
      </c>
      <c r="B774" s="3" t="s">
        <v>73</v>
      </c>
      <c r="C774" s="3">
        <v>2</v>
      </c>
      <c r="D774" s="4">
        <v>35899</v>
      </c>
      <c r="E774" s="4">
        <v>35927</v>
      </c>
      <c r="F774" s="4">
        <v>35901</v>
      </c>
      <c r="G774" s="3">
        <v>2</v>
      </c>
      <c r="H774" s="3">
        <v>43.3</v>
      </c>
      <c r="I774" s="3" t="s">
        <v>74</v>
      </c>
      <c r="J774" s="3" t="s">
        <v>75</v>
      </c>
      <c r="K774" s="3" t="s">
        <v>76</v>
      </c>
      <c r="L774" s="3" t="s">
        <v>18</v>
      </c>
      <c r="M774" s="3">
        <v>50739</v>
      </c>
      <c r="N774" s="3" t="s">
        <v>24</v>
      </c>
      <c r="O774" s="2"/>
      <c r="P774" t="str">
        <f t="shared" si="61"/>
        <v>Mehrheimerstr. 369</v>
      </c>
      <c r="Q774" t="str">
        <f t="shared" si="60"/>
        <v>Köln</v>
      </c>
      <c r="R774" t="str">
        <f t="shared" si="62"/>
        <v>NULL</v>
      </c>
      <c r="S774">
        <f t="shared" si="63"/>
        <v>50739</v>
      </c>
      <c r="T774" t="str">
        <f t="shared" si="64"/>
        <v>Germany</v>
      </c>
    </row>
    <row r="775" spans="1:20" x14ac:dyDescent="0.2">
      <c r="A775" s="1">
        <v>11021</v>
      </c>
      <c r="B775" s="3" t="s">
        <v>121</v>
      </c>
      <c r="C775" s="3">
        <v>3</v>
      </c>
      <c r="D775" s="4">
        <v>35899</v>
      </c>
      <c r="E775" s="4">
        <v>35927</v>
      </c>
      <c r="F775" s="4">
        <v>35906</v>
      </c>
      <c r="G775" s="3">
        <v>1</v>
      </c>
      <c r="H775" s="3">
        <v>297.18</v>
      </c>
      <c r="I775" s="3" t="s">
        <v>122</v>
      </c>
      <c r="J775" s="3" t="s">
        <v>123</v>
      </c>
      <c r="K775" s="3" t="s">
        <v>124</v>
      </c>
      <c r="L775" s="3" t="s">
        <v>18</v>
      </c>
      <c r="M775" s="3">
        <v>1307</v>
      </c>
      <c r="N775" s="3" t="s">
        <v>24</v>
      </c>
      <c r="O775" s="2"/>
      <c r="P775" t="str">
        <f t="shared" si="61"/>
        <v>Taucherstraße 10</v>
      </c>
      <c r="Q775" t="str">
        <f t="shared" ref="Q775:Q831" si="65">IF(O775&lt;&gt;"",L775,K775)</f>
        <v>Cunewalde</v>
      </c>
      <c r="R775" t="str">
        <f t="shared" si="62"/>
        <v>NULL</v>
      </c>
      <c r="S775">
        <f t="shared" si="63"/>
        <v>1307</v>
      </c>
      <c r="T775" t="str">
        <f t="shared" si="64"/>
        <v>Germany</v>
      </c>
    </row>
    <row r="776" spans="1:20" x14ac:dyDescent="0.2">
      <c r="A776" s="1">
        <v>11022</v>
      </c>
      <c r="B776" s="3" t="s">
        <v>25</v>
      </c>
      <c r="C776" s="3">
        <v>9</v>
      </c>
      <c r="D776" s="4">
        <v>35899</v>
      </c>
      <c r="E776" s="4">
        <v>35927</v>
      </c>
      <c r="F776" s="4">
        <v>35919</v>
      </c>
      <c r="G776" s="3">
        <v>2</v>
      </c>
      <c r="H776" s="3">
        <v>6.27</v>
      </c>
      <c r="I776" s="3" t="s">
        <v>26</v>
      </c>
      <c r="J776" s="3" t="s">
        <v>27</v>
      </c>
      <c r="K776" s="3">
        <v>67</v>
      </c>
      <c r="L776" s="3" t="s">
        <v>28</v>
      </c>
      <c r="M776" s="3" t="s">
        <v>29</v>
      </c>
      <c r="N776" s="3" t="s">
        <v>30</v>
      </c>
      <c r="O776" s="3" t="s">
        <v>31</v>
      </c>
      <c r="P776" t="str">
        <f t="shared" si="61"/>
        <v>Rua do Paço 67</v>
      </c>
      <c r="Q776" t="str">
        <f t="shared" si="65"/>
        <v>Rio de Janeiro</v>
      </c>
      <c r="R776" t="str">
        <f t="shared" si="62"/>
        <v>RJ</v>
      </c>
      <c r="S776" t="str">
        <f t="shared" si="63"/>
        <v>05454-876</v>
      </c>
      <c r="T776" t="str">
        <f t="shared" si="64"/>
        <v>Brazil</v>
      </c>
    </row>
    <row r="777" spans="1:20" x14ac:dyDescent="0.2">
      <c r="A777" s="1">
        <v>11023</v>
      </c>
      <c r="B777" s="3" t="s">
        <v>164</v>
      </c>
      <c r="C777" s="3">
        <v>1</v>
      </c>
      <c r="D777" s="4">
        <v>35899</v>
      </c>
      <c r="E777" s="4">
        <v>35913</v>
      </c>
      <c r="F777" s="4">
        <v>35909</v>
      </c>
      <c r="G777" s="3">
        <v>2</v>
      </c>
      <c r="H777" s="3">
        <v>123.83</v>
      </c>
      <c r="I777" s="3" t="s">
        <v>165</v>
      </c>
      <c r="J777" s="3" t="s">
        <v>166</v>
      </c>
      <c r="K777" s="3" t="s">
        <v>167</v>
      </c>
      <c r="L777" s="3" t="s">
        <v>18</v>
      </c>
      <c r="M777" s="3" t="s">
        <v>168</v>
      </c>
      <c r="N777" s="3" t="s">
        <v>169</v>
      </c>
      <c r="O777" s="2"/>
      <c r="P777" t="str">
        <f t="shared" si="61"/>
        <v>Fauntleroy Circus</v>
      </c>
      <c r="Q777" t="str">
        <f t="shared" si="65"/>
        <v>London</v>
      </c>
      <c r="R777" t="str">
        <f t="shared" si="62"/>
        <v>NULL</v>
      </c>
      <c r="S777" t="str">
        <f t="shared" si="63"/>
        <v>EC2 5NT</v>
      </c>
      <c r="T777" t="str">
        <f t="shared" si="64"/>
        <v>UK</v>
      </c>
    </row>
    <row r="778" spans="1:20" x14ac:dyDescent="0.2">
      <c r="A778" s="1">
        <v>11024</v>
      </c>
      <c r="B778" s="3" t="s">
        <v>284</v>
      </c>
      <c r="C778" s="3">
        <v>4</v>
      </c>
      <c r="D778" s="4">
        <v>35900</v>
      </c>
      <c r="E778" s="4">
        <v>35928</v>
      </c>
      <c r="F778" s="4">
        <v>35905</v>
      </c>
      <c r="G778" s="3">
        <v>1</v>
      </c>
      <c r="H778" s="3">
        <v>74.36</v>
      </c>
      <c r="I778" s="3" t="s">
        <v>285</v>
      </c>
      <c r="J778" s="3" t="s">
        <v>286</v>
      </c>
      <c r="K778" s="3" t="s">
        <v>167</v>
      </c>
      <c r="L778" s="3" t="s">
        <v>18</v>
      </c>
      <c r="M778" s="3" t="s">
        <v>287</v>
      </c>
      <c r="N778" s="3" t="s">
        <v>169</v>
      </c>
      <c r="O778" s="2"/>
      <c r="P778" t="str">
        <f t="shared" si="61"/>
        <v>35 King George</v>
      </c>
      <c r="Q778" t="str">
        <f t="shared" si="65"/>
        <v>London</v>
      </c>
      <c r="R778" t="str">
        <f t="shared" si="62"/>
        <v>NULL</v>
      </c>
      <c r="S778" t="str">
        <f t="shared" si="63"/>
        <v>WX3 6FW</v>
      </c>
      <c r="T778" t="str">
        <f t="shared" si="64"/>
        <v>UK</v>
      </c>
    </row>
    <row r="779" spans="1:20" x14ac:dyDescent="0.2">
      <c r="A779" s="1">
        <v>11025</v>
      </c>
      <c r="B779" s="3" t="s">
        <v>97</v>
      </c>
      <c r="C779" s="3">
        <v>6</v>
      </c>
      <c r="D779" s="4">
        <v>35900</v>
      </c>
      <c r="E779" s="4">
        <v>35928</v>
      </c>
      <c r="F779" s="4">
        <v>35909</v>
      </c>
      <c r="G779" s="3">
        <v>3</v>
      </c>
      <c r="H779" s="3">
        <v>29.17</v>
      </c>
      <c r="I779" s="3" t="s">
        <v>98</v>
      </c>
      <c r="J779" s="3" t="s">
        <v>99</v>
      </c>
      <c r="K779" s="3" t="s">
        <v>100</v>
      </c>
      <c r="L779" s="3" t="s">
        <v>18</v>
      </c>
      <c r="M779" s="3">
        <v>90110</v>
      </c>
      <c r="N779" s="3" t="s">
        <v>101</v>
      </c>
      <c r="O779" s="2"/>
      <c r="P779" t="str">
        <f t="shared" si="61"/>
        <v>Torikatu 38</v>
      </c>
      <c r="Q779" t="str">
        <f t="shared" si="65"/>
        <v>Oulu</v>
      </c>
      <c r="R779" t="str">
        <f t="shared" si="62"/>
        <v>NULL</v>
      </c>
      <c r="S779">
        <f t="shared" si="63"/>
        <v>90110</v>
      </c>
      <c r="T779" t="str">
        <f t="shared" si="64"/>
        <v>Finland</v>
      </c>
    </row>
    <row r="780" spans="1:20" x14ac:dyDescent="0.2">
      <c r="A780" s="1">
        <v>11026</v>
      </c>
      <c r="B780" s="3" t="s">
        <v>338</v>
      </c>
      <c r="C780" s="3">
        <v>4</v>
      </c>
      <c r="D780" s="4">
        <v>35900</v>
      </c>
      <c r="E780" s="4">
        <v>35928</v>
      </c>
      <c r="F780" s="4">
        <v>35913</v>
      </c>
      <c r="G780" s="3">
        <v>1</v>
      </c>
      <c r="H780" s="3">
        <v>47.09</v>
      </c>
      <c r="I780" s="3" t="s">
        <v>339</v>
      </c>
      <c r="J780" s="3" t="s">
        <v>340</v>
      </c>
      <c r="K780" s="3" t="s">
        <v>341</v>
      </c>
      <c r="L780" s="3" t="s">
        <v>18</v>
      </c>
      <c r="M780" s="3">
        <v>10100</v>
      </c>
      <c r="N780" s="3" t="s">
        <v>129</v>
      </c>
      <c r="O780" s="2"/>
      <c r="P780" t="str">
        <f t="shared" si="61"/>
        <v>Via Monte Bianco 34</v>
      </c>
      <c r="Q780" t="str">
        <f t="shared" si="65"/>
        <v>Torino</v>
      </c>
      <c r="R780" t="str">
        <f t="shared" si="62"/>
        <v>NULL</v>
      </c>
      <c r="S780">
        <f t="shared" si="63"/>
        <v>10100</v>
      </c>
      <c r="T780" t="str">
        <f t="shared" si="64"/>
        <v>Italy</v>
      </c>
    </row>
    <row r="781" spans="1:20" x14ac:dyDescent="0.2">
      <c r="A781" s="1">
        <v>11027</v>
      </c>
      <c r="B781" s="3" t="s">
        <v>318</v>
      </c>
      <c r="C781" s="3">
        <v>1</v>
      </c>
      <c r="D781" s="4">
        <v>35901</v>
      </c>
      <c r="E781" s="4">
        <v>35929</v>
      </c>
      <c r="F781" s="4">
        <v>35905</v>
      </c>
      <c r="G781" s="3">
        <v>1</v>
      </c>
      <c r="H781" s="3">
        <v>52.52</v>
      </c>
      <c r="I781" s="3" t="s">
        <v>319</v>
      </c>
      <c r="J781" s="3" t="s">
        <v>320</v>
      </c>
      <c r="K781" s="3" t="s">
        <v>321</v>
      </c>
      <c r="L781" s="3" t="s">
        <v>322</v>
      </c>
      <c r="M781" s="3" t="s">
        <v>323</v>
      </c>
      <c r="N781" s="3" t="s">
        <v>249</v>
      </c>
      <c r="O781" s="2"/>
      <c r="P781" t="str">
        <f t="shared" si="61"/>
        <v>23 Tsawassen Blvd.</v>
      </c>
      <c r="Q781" t="str">
        <f t="shared" si="65"/>
        <v>Tsawassen</v>
      </c>
      <c r="R781" t="str">
        <f t="shared" si="62"/>
        <v>BC</v>
      </c>
      <c r="S781" t="str">
        <f t="shared" si="63"/>
        <v>T2F 8M4</v>
      </c>
      <c r="T781" t="str">
        <f t="shared" si="64"/>
        <v>Canada</v>
      </c>
    </row>
    <row r="782" spans="1:20" x14ac:dyDescent="0.2">
      <c r="A782" s="1">
        <v>11028</v>
      </c>
      <c r="B782" s="3" t="s">
        <v>222</v>
      </c>
      <c r="C782" s="3">
        <v>2</v>
      </c>
      <c r="D782" s="4">
        <v>35901</v>
      </c>
      <c r="E782" s="4">
        <v>35929</v>
      </c>
      <c r="F782" s="4">
        <v>35907</v>
      </c>
      <c r="G782" s="3">
        <v>1</v>
      </c>
      <c r="H782" s="3">
        <v>29.59</v>
      </c>
      <c r="I782" s="3" t="s">
        <v>223</v>
      </c>
      <c r="J782" s="3" t="s">
        <v>224</v>
      </c>
      <c r="K782" s="3" t="s">
        <v>225</v>
      </c>
      <c r="L782" s="3" t="s">
        <v>18</v>
      </c>
      <c r="M782" s="3">
        <v>14776</v>
      </c>
      <c r="N782" s="3" t="s">
        <v>24</v>
      </c>
      <c r="O782" s="2"/>
      <c r="P782" t="str">
        <f t="shared" si="61"/>
        <v>Maubelstr. 90</v>
      </c>
      <c r="Q782" t="str">
        <f t="shared" si="65"/>
        <v>Brandenburg</v>
      </c>
      <c r="R782" t="str">
        <f t="shared" si="62"/>
        <v>NULL</v>
      </c>
      <c r="S782">
        <f t="shared" si="63"/>
        <v>14776</v>
      </c>
      <c r="T782" t="str">
        <f t="shared" si="64"/>
        <v>Germany</v>
      </c>
    </row>
    <row r="783" spans="1:20" x14ac:dyDescent="0.2">
      <c r="A783" s="1">
        <v>11029</v>
      </c>
      <c r="B783" s="3" t="s">
        <v>42</v>
      </c>
      <c r="C783" s="3">
        <v>4</v>
      </c>
      <c r="D783" s="4">
        <v>35901</v>
      </c>
      <c r="E783" s="4">
        <v>35929</v>
      </c>
      <c r="F783" s="4">
        <v>35912</v>
      </c>
      <c r="G783" s="3">
        <v>1</v>
      </c>
      <c r="H783" s="3">
        <v>47.84</v>
      </c>
      <c r="I783" s="3" t="s">
        <v>43</v>
      </c>
      <c r="J783" s="3" t="s">
        <v>44</v>
      </c>
      <c r="K783" s="3" t="s">
        <v>45</v>
      </c>
      <c r="L783" s="3" t="s">
        <v>18</v>
      </c>
      <c r="M783" s="3">
        <v>3012</v>
      </c>
      <c r="N783" s="3" t="s">
        <v>46</v>
      </c>
      <c r="O783" s="2"/>
      <c r="P783" t="str">
        <f t="shared" si="61"/>
        <v>Hauptstr. 31</v>
      </c>
      <c r="Q783" t="str">
        <f t="shared" si="65"/>
        <v>Bern</v>
      </c>
      <c r="R783" t="str">
        <f t="shared" si="62"/>
        <v>NULL</v>
      </c>
      <c r="S783">
        <f t="shared" si="63"/>
        <v>3012</v>
      </c>
      <c r="T783" t="str">
        <f t="shared" si="64"/>
        <v>Switzerland</v>
      </c>
    </row>
    <row r="784" spans="1:20" x14ac:dyDescent="0.2">
      <c r="A784" s="1">
        <v>11030</v>
      </c>
      <c r="B784" s="3" t="s">
        <v>226</v>
      </c>
      <c r="C784" s="3">
        <v>7</v>
      </c>
      <c r="D784" s="4">
        <v>35902</v>
      </c>
      <c r="E784" s="4">
        <v>35930</v>
      </c>
      <c r="F784" s="4">
        <v>35912</v>
      </c>
      <c r="G784" s="3">
        <v>2</v>
      </c>
      <c r="H784" s="3">
        <v>830.75</v>
      </c>
      <c r="I784" s="3" t="s">
        <v>227</v>
      </c>
      <c r="J784" s="3" t="s">
        <v>228</v>
      </c>
      <c r="K784" s="3" t="s">
        <v>229</v>
      </c>
      <c r="L784" s="3" t="s">
        <v>230</v>
      </c>
      <c r="M784" s="3">
        <v>83720</v>
      </c>
      <c r="N784" s="3" t="s">
        <v>86</v>
      </c>
      <c r="O784" s="2"/>
      <c r="P784" t="str">
        <f t="shared" si="61"/>
        <v>187 Suffolk Ln.</v>
      </c>
      <c r="Q784" t="str">
        <f t="shared" si="65"/>
        <v>Boise</v>
      </c>
      <c r="R784" t="str">
        <f t="shared" si="62"/>
        <v>ID</v>
      </c>
      <c r="S784">
        <f t="shared" si="63"/>
        <v>83720</v>
      </c>
      <c r="T784" t="str">
        <f t="shared" si="64"/>
        <v>USA</v>
      </c>
    </row>
    <row r="785" spans="1:20" x14ac:dyDescent="0.2">
      <c r="A785" s="1">
        <v>11031</v>
      </c>
      <c r="B785" s="3" t="s">
        <v>226</v>
      </c>
      <c r="C785" s="3">
        <v>6</v>
      </c>
      <c r="D785" s="4">
        <v>35902</v>
      </c>
      <c r="E785" s="4">
        <v>35930</v>
      </c>
      <c r="F785" s="4">
        <v>35909</v>
      </c>
      <c r="G785" s="3">
        <v>2</v>
      </c>
      <c r="H785" s="3">
        <v>227.22</v>
      </c>
      <c r="I785" s="3" t="s">
        <v>227</v>
      </c>
      <c r="J785" s="3" t="s">
        <v>228</v>
      </c>
      <c r="K785" s="3" t="s">
        <v>229</v>
      </c>
      <c r="L785" s="3" t="s">
        <v>230</v>
      </c>
      <c r="M785" s="3">
        <v>83720</v>
      </c>
      <c r="N785" s="3" t="s">
        <v>86</v>
      </c>
      <c r="O785" s="2"/>
      <c r="P785" t="str">
        <f t="shared" si="61"/>
        <v>187 Suffolk Ln.</v>
      </c>
      <c r="Q785" t="str">
        <f t="shared" si="65"/>
        <v>Boise</v>
      </c>
      <c r="R785" t="str">
        <f t="shared" si="62"/>
        <v>ID</v>
      </c>
      <c r="S785">
        <f t="shared" si="63"/>
        <v>83720</v>
      </c>
      <c r="T785" t="str">
        <f t="shared" si="64"/>
        <v>USA</v>
      </c>
    </row>
    <row r="786" spans="1:20" x14ac:dyDescent="0.2">
      <c r="A786" s="1">
        <v>11032</v>
      </c>
      <c r="B786" s="3" t="s">
        <v>111</v>
      </c>
      <c r="C786" s="3">
        <v>2</v>
      </c>
      <c r="D786" s="4">
        <v>35902</v>
      </c>
      <c r="E786" s="4">
        <v>35930</v>
      </c>
      <c r="F786" s="4">
        <v>35908</v>
      </c>
      <c r="G786" s="3">
        <v>3</v>
      </c>
      <c r="H786" s="3">
        <v>606.19000000000005</v>
      </c>
      <c r="I786" s="3" t="s">
        <v>112</v>
      </c>
      <c r="J786" s="3" t="s">
        <v>113</v>
      </c>
      <c r="K786" s="3" t="s">
        <v>114</v>
      </c>
      <c r="L786" s="3" t="s">
        <v>115</v>
      </c>
      <c r="M786" s="3">
        <v>98124</v>
      </c>
      <c r="N786" s="3" t="s">
        <v>86</v>
      </c>
      <c r="O786" s="2"/>
      <c r="P786" t="str">
        <f t="shared" si="61"/>
        <v>1029 - 12th Ave. S.</v>
      </c>
      <c r="Q786" t="str">
        <f t="shared" si="65"/>
        <v>Seattle</v>
      </c>
      <c r="R786" t="str">
        <f t="shared" si="62"/>
        <v>WA</v>
      </c>
      <c r="S786">
        <f t="shared" si="63"/>
        <v>98124</v>
      </c>
      <c r="T786" t="str">
        <f t="shared" si="64"/>
        <v>USA</v>
      </c>
    </row>
    <row r="787" spans="1:20" x14ac:dyDescent="0.2">
      <c r="A787" s="1">
        <v>11033</v>
      </c>
      <c r="B787" s="3" t="s">
        <v>47</v>
      </c>
      <c r="C787" s="3">
        <v>7</v>
      </c>
      <c r="D787" s="4">
        <v>35902</v>
      </c>
      <c r="E787" s="4">
        <v>35930</v>
      </c>
      <c r="F787" s="4">
        <v>35908</v>
      </c>
      <c r="G787" s="3">
        <v>3</v>
      </c>
      <c r="H787" s="3">
        <v>84.74</v>
      </c>
      <c r="I787" s="3" t="s">
        <v>48</v>
      </c>
      <c r="J787" s="3" t="s">
        <v>49</v>
      </c>
      <c r="K787" s="3" t="s">
        <v>50</v>
      </c>
      <c r="L787" s="3" t="s">
        <v>18</v>
      </c>
      <c r="M787" s="3">
        <v>1204</v>
      </c>
      <c r="N787" s="3" t="s">
        <v>46</v>
      </c>
      <c r="O787" s="2"/>
      <c r="P787" t="str">
        <f t="shared" si="61"/>
        <v>Starenweg 5</v>
      </c>
      <c r="Q787" t="str">
        <f t="shared" si="65"/>
        <v>Genève</v>
      </c>
      <c r="R787" t="str">
        <f t="shared" si="62"/>
        <v>NULL</v>
      </c>
      <c r="S787">
        <f t="shared" si="63"/>
        <v>1204</v>
      </c>
      <c r="T787" t="str">
        <f t="shared" si="64"/>
        <v>Switzerland</v>
      </c>
    </row>
    <row r="788" spans="1:20" x14ac:dyDescent="0.2">
      <c r="A788" s="1">
        <v>11034</v>
      </c>
      <c r="B788" s="3" t="s">
        <v>193</v>
      </c>
      <c r="C788" s="3">
        <v>8</v>
      </c>
      <c r="D788" s="4">
        <v>35905</v>
      </c>
      <c r="E788" s="4">
        <v>35947</v>
      </c>
      <c r="F788" s="4">
        <v>35912</v>
      </c>
      <c r="G788" s="3">
        <v>1</v>
      </c>
      <c r="H788" s="3">
        <v>40.32</v>
      </c>
      <c r="I788" s="3" t="s">
        <v>194</v>
      </c>
      <c r="J788" s="3" t="s">
        <v>195</v>
      </c>
      <c r="K788" s="3" t="s">
        <v>196</v>
      </c>
      <c r="L788" s="3" t="s">
        <v>197</v>
      </c>
      <c r="M788" s="3">
        <v>99508</v>
      </c>
      <c r="N788" s="3" t="s">
        <v>86</v>
      </c>
      <c r="O788" s="2"/>
      <c r="P788" t="str">
        <f t="shared" si="61"/>
        <v>2743 Bering St.</v>
      </c>
      <c r="Q788" t="str">
        <f t="shared" si="65"/>
        <v>Anchorage</v>
      </c>
      <c r="R788" t="str">
        <f t="shared" si="62"/>
        <v>AK</v>
      </c>
      <c r="S788">
        <f t="shared" si="63"/>
        <v>99508</v>
      </c>
      <c r="T788" t="str">
        <f t="shared" si="64"/>
        <v>USA</v>
      </c>
    </row>
    <row r="789" spans="1:20" x14ac:dyDescent="0.2">
      <c r="A789" s="1">
        <v>11035</v>
      </c>
      <c r="B789" s="3" t="s">
        <v>36</v>
      </c>
      <c r="C789" s="3">
        <v>2</v>
      </c>
      <c r="D789" s="4">
        <v>35905</v>
      </c>
      <c r="E789" s="4">
        <v>35933</v>
      </c>
      <c r="F789" s="4">
        <v>35909</v>
      </c>
      <c r="G789" s="3">
        <v>2</v>
      </c>
      <c r="H789" s="3">
        <v>0.17</v>
      </c>
      <c r="I789" s="3" t="s">
        <v>37</v>
      </c>
      <c r="J789" s="3" t="s">
        <v>38</v>
      </c>
      <c r="K789" s="3">
        <v>255</v>
      </c>
      <c r="L789" s="3" t="s">
        <v>39</v>
      </c>
      <c r="M789" s="3" t="s">
        <v>18</v>
      </c>
      <c r="N789" s="3" t="s">
        <v>40</v>
      </c>
      <c r="O789" s="3" t="s">
        <v>41</v>
      </c>
      <c r="P789" t="str">
        <f t="shared" si="61"/>
        <v>Boulevard Tirou 255</v>
      </c>
      <c r="Q789" t="str">
        <f t="shared" si="65"/>
        <v>Charleroi</v>
      </c>
      <c r="R789" t="str">
        <f t="shared" si="62"/>
        <v>NULL</v>
      </c>
      <c r="S789" t="str">
        <f t="shared" si="63"/>
        <v>B-6000</v>
      </c>
      <c r="T789" t="str">
        <f t="shared" si="64"/>
        <v>Belgium</v>
      </c>
    </row>
    <row r="790" spans="1:20" x14ac:dyDescent="0.2">
      <c r="A790" s="1">
        <v>11036</v>
      </c>
      <c r="B790" s="3" t="s">
        <v>280</v>
      </c>
      <c r="C790" s="3">
        <v>8</v>
      </c>
      <c r="D790" s="4">
        <v>35905</v>
      </c>
      <c r="E790" s="4">
        <v>35933</v>
      </c>
      <c r="F790" s="4">
        <v>35907</v>
      </c>
      <c r="G790" s="3">
        <v>3</v>
      </c>
      <c r="H790" s="3">
        <v>149.47</v>
      </c>
      <c r="I790" s="3" t="s">
        <v>281</v>
      </c>
      <c r="J790" s="3" t="s">
        <v>282</v>
      </c>
      <c r="K790" s="3" t="s">
        <v>283</v>
      </c>
      <c r="L790" s="3" t="s">
        <v>18</v>
      </c>
      <c r="M790" s="3">
        <v>52066</v>
      </c>
      <c r="N790" s="3" t="s">
        <v>24</v>
      </c>
      <c r="O790" s="2"/>
      <c r="P790" t="str">
        <f t="shared" si="61"/>
        <v>Walserweg 21</v>
      </c>
      <c r="Q790" t="str">
        <f t="shared" si="65"/>
        <v>Aachen</v>
      </c>
      <c r="R790" t="str">
        <f t="shared" si="62"/>
        <v>NULL</v>
      </c>
      <c r="S790">
        <f t="shared" si="63"/>
        <v>52066</v>
      </c>
      <c r="T790" t="str">
        <f t="shared" si="64"/>
        <v>Germany</v>
      </c>
    </row>
    <row r="791" spans="1:20" x14ac:dyDescent="0.2">
      <c r="A791" s="1">
        <v>11037</v>
      </c>
      <c r="B791" s="3" t="s">
        <v>189</v>
      </c>
      <c r="C791" s="3">
        <v>7</v>
      </c>
      <c r="D791" s="4">
        <v>35906</v>
      </c>
      <c r="E791" s="4">
        <v>35934</v>
      </c>
      <c r="F791" s="4">
        <v>35912</v>
      </c>
      <c r="G791" s="3">
        <v>1</v>
      </c>
      <c r="H791" s="3">
        <v>3.2</v>
      </c>
      <c r="I791" s="3" t="s">
        <v>190</v>
      </c>
      <c r="J791" s="3" t="s">
        <v>191</v>
      </c>
      <c r="K791" s="3">
        <v>33</v>
      </c>
      <c r="L791" s="3" t="s">
        <v>192</v>
      </c>
      <c r="M791" s="3" t="s">
        <v>18</v>
      </c>
      <c r="N791" s="3">
        <v>41101</v>
      </c>
      <c r="O791" s="3" t="s">
        <v>150</v>
      </c>
      <c r="P791" t="str">
        <f t="shared" si="61"/>
        <v>C/ Romero 33</v>
      </c>
      <c r="Q791" t="str">
        <f t="shared" si="65"/>
        <v>Sevilla</v>
      </c>
      <c r="R791" t="str">
        <f t="shared" si="62"/>
        <v>NULL</v>
      </c>
      <c r="S791">
        <f t="shared" si="63"/>
        <v>41101</v>
      </c>
      <c r="T791" t="str">
        <f t="shared" si="64"/>
        <v>Spain</v>
      </c>
    </row>
    <row r="792" spans="1:20" x14ac:dyDescent="0.2">
      <c r="A792" s="1">
        <v>11038</v>
      </c>
      <c r="B792" s="3" t="s">
        <v>36</v>
      </c>
      <c r="C792" s="3">
        <v>1</v>
      </c>
      <c r="D792" s="4">
        <v>35906</v>
      </c>
      <c r="E792" s="4">
        <v>35934</v>
      </c>
      <c r="F792" s="4">
        <v>35915</v>
      </c>
      <c r="G792" s="3">
        <v>2</v>
      </c>
      <c r="H792" s="3">
        <v>29.59</v>
      </c>
      <c r="I792" s="3" t="s">
        <v>37</v>
      </c>
      <c r="J792" s="3" t="s">
        <v>38</v>
      </c>
      <c r="K792" s="3">
        <v>255</v>
      </c>
      <c r="L792" s="3" t="s">
        <v>39</v>
      </c>
      <c r="M792" s="3" t="s">
        <v>18</v>
      </c>
      <c r="N792" s="3" t="s">
        <v>40</v>
      </c>
      <c r="O792" s="3" t="s">
        <v>41</v>
      </c>
      <c r="P792" t="str">
        <f t="shared" si="61"/>
        <v>Boulevard Tirou 255</v>
      </c>
      <c r="Q792" t="str">
        <f t="shared" si="65"/>
        <v>Charleroi</v>
      </c>
      <c r="R792" t="str">
        <f t="shared" si="62"/>
        <v>NULL</v>
      </c>
      <c r="S792" t="str">
        <f t="shared" si="63"/>
        <v>B-6000</v>
      </c>
      <c r="T792" t="str">
        <f t="shared" si="64"/>
        <v>Belgium</v>
      </c>
    </row>
    <row r="793" spans="1:20" x14ac:dyDescent="0.2">
      <c r="A793" s="1">
        <v>11039</v>
      </c>
      <c r="B793" s="3" t="s">
        <v>324</v>
      </c>
      <c r="C793" s="3">
        <v>1</v>
      </c>
      <c r="D793" s="4">
        <v>35906</v>
      </c>
      <c r="E793" s="4">
        <v>35934</v>
      </c>
      <c r="F793" s="3" t="s">
        <v>18</v>
      </c>
      <c r="G793" s="3">
        <v>2</v>
      </c>
      <c r="H793" s="3">
        <v>65</v>
      </c>
      <c r="I793" s="3" t="s">
        <v>325</v>
      </c>
      <c r="J793" s="3" t="s">
        <v>326</v>
      </c>
      <c r="K793" s="3" t="s">
        <v>327</v>
      </c>
      <c r="L793" s="3" t="s">
        <v>328</v>
      </c>
      <c r="M793" s="3">
        <v>4980</v>
      </c>
      <c r="N793" s="3" t="s">
        <v>62</v>
      </c>
      <c r="O793" s="2"/>
      <c r="P793" t="str">
        <f t="shared" si="61"/>
        <v>Ave. 5 de Mayo Porlamar</v>
      </c>
      <c r="Q793" t="str">
        <f t="shared" si="65"/>
        <v>I. de Margarita</v>
      </c>
      <c r="R793" t="str">
        <f t="shared" si="62"/>
        <v>Nueva Esparta</v>
      </c>
      <c r="S793">
        <f t="shared" si="63"/>
        <v>4980</v>
      </c>
      <c r="T793" t="str">
        <f t="shared" si="64"/>
        <v>Venezuela</v>
      </c>
    </row>
    <row r="794" spans="1:20" x14ac:dyDescent="0.2">
      <c r="A794" s="1">
        <v>11040</v>
      </c>
      <c r="B794" s="3" t="s">
        <v>374</v>
      </c>
      <c r="C794" s="3">
        <v>4</v>
      </c>
      <c r="D794" s="4">
        <v>35907</v>
      </c>
      <c r="E794" s="4">
        <v>35935</v>
      </c>
      <c r="F794" s="3" t="s">
        <v>18</v>
      </c>
      <c r="G794" s="3">
        <v>3</v>
      </c>
      <c r="H794" s="3">
        <v>18.84</v>
      </c>
      <c r="I794" s="3" t="s">
        <v>375</v>
      </c>
      <c r="J794" s="3" t="s">
        <v>376</v>
      </c>
      <c r="K794" s="3" t="s">
        <v>377</v>
      </c>
      <c r="L794" s="3" t="s">
        <v>202</v>
      </c>
      <c r="M794" s="3">
        <v>97403</v>
      </c>
      <c r="N794" s="3" t="s">
        <v>86</v>
      </c>
      <c r="O794" s="2"/>
      <c r="P794" t="str">
        <f t="shared" si="61"/>
        <v>2732 Baker Blvd.</v>
      </c>
      <c r="Q794" t="str">
        <f t="shared" si="65"/>
        <v>Eugene</v>
      </c>
      <c r="R794" t="str">
        <f t="shared" si="62"/>
        <v>OR</v>
      </c>
      <c r="S794">
        <f t="shared" si="63"/>
        <v>97403</v>
      </c>
      <c r="T794" t="str">
        <f t="shared" si="64"/>
        <v>USA</v>
      </c>
    </row>
    <row r="795" spans="1:20" x14ac:dyDescent="0.2">
      <c r="A795" s="1">
        <v>11041</v>
      </c>
      <c r="B795" s="3" t="s">
        <v>42</v>
      </c>
      <c r="C795" s="3">
        <v>3</v>
      </c>
      <c r="D795" s="4">
        <v>35907</v>
      </c>
      <c r="E795" s="4">
        <v>35935</v>
      </c>
      <c r="F795" s="4">
        <v>35913</v>
      </c>
      <c r="G795" s="3">
        <v>2</v>
      </c>
      <c r="H795" s="3">
        <v>48.22</v>
      </c>
      <c r="I795" s="3" t="s">
        <v>43</v>
      </c>
      <c r="J795" s="3" t="s">
        <v>44</v>
      </c>
      <c r="K795" s="3" t="s">
        <v>45</v>
      </c>
      <c r="L795" s="3" t="s">
        <v>18</v>
      </c>
      <c r="M795" s="3">
        <v>3012</v>
      </c>
      <c r="N795" s="3" t="s">
        <v>46</v>
      </c>
      <c r="O795" s="2"/>
      <c r="P795" t="str">
        <f t="shared" si="61"/>
        <v>Hauptstr. 31</v>
      </c>
      <c r="Q795" t="str">
        <f t="shared" si="65"/>
        <v>Bern</v>
      </c>
      <c r="R795" t="str">
        <f t="shared" si="62"/>
        <v>NULL</v>
      </c>
      <c r="S795">
        <f t="shared" si="63"/>
        <v>3012</v>
      </c>
      <c r="T795" t="str">
        <f t="shared" si="64"/>
        <v>Switzerland</v>
      </c>
    </row>
    <row r="796" spans="1:20" x14ac:dyDescent="0.2">
      <c r="A796" s="1">
        <v>11042</v>
      </c>
      <c r="B796" s="3" t="s">
        <v>170</v>
      </c>
      <c r="C796" s="3">
        <v>2</v>
      </c>
      <c r="D796" s="4">
        <v>35907</v>
      </c>
      <c r="E796" s="4">
        <v>35921</v>
      </c>
      <c r="F796" s="4">
        <v>35916</v>
      </c>
      <c r="G796" s="3">
        <v>1</v>
      </c>
      <c r="H796" s="3">
        <v>29.99</v>
      </c>
      <c r="I796" s="3" t="s">
        <v>171</v>
      </c>
      <c r="J796" s="3" t="s">
        <v>172</v>
      </c>
      <c r="K796" s="3">
        <v>23</v>
      </c>
      <c r="L796" s="3" t="s">
        <v>173</v>
      </c>
      <c r="M796" s="3" t="s">
        <v>55</v>
      </c>
      <c r="N796" s="3" t="s">
        <v>174</v>
      </c>
      <c r="O796" s="3" t="s">
        <v>31</v>
      </c>
      <c r="P796" t="str">
        <f t="shared" si="61"/>
        <v>Av. dos Lusíadas 23</v>
      </c>
      <c r="Q796" t="str">
        <f t="shared" si="65"/>
        <v>Sao Paulo</v>
      </c>
      <c r="R796" t="str">
        <f t="shared" si="62"/>
        <v>SP</v>
      </c>
      <c r="S796" t="str">
        <f t="shared" si="63"/>
        <v>05432-043</v>
      </c>
      <c r="T796" t="str">
        <f t="shared" si="64"/>
        <v>Brazil</v>
      </c>
    </row>
    <row r="797" spans="1:20" x14ac:dyDescent="0.2">
      <c r="A797" s="1">
        <v>11043</v>
      </c>
      <c r="B797" s="3" t="s">
        <v>409</v>
      </c>
      <c r="C797" s="3">
        <v>5</v>
      </c>
      <c r="D797" s="4">
        <v>35907</v>
      </c>
      <c r="E797" s="4">
        <v>35935</v>
      </c>
      <c r="F797" s="4">
        <v>35914</v>
      </c>
      <c r="G797" s="3">
        <v>2</v>
      </c>
      <c r="H797" s="3">
        <v>8.8000000000000007</v>
      </c>
      <c r="I797" s="3" t="s">
        <v>410</v>
      </c>
      <c r="J797" s="3">
        <v>25</v>
      </c>
      <c r="K797" s="3" t="s">
        <v>411</v>
      </c>
      <c r="L797" s="3" t="s">
        <v>412</v>
      </c>
      <c r="M797" s="3" t="s">
        <v>18</v>
      </c>
      <c r="N797" s="3">
        <v>75016</v>
      </c>
      <c r="O797" s="3" t="s">
        <v>19</v>
      </c>
      <c r="P797" t="str">
        <f t="shared" si="61"/>
        <v>25  rue Lauriston</v>
      </c>
      <c r="Q797" t="str">
        <f t="shared" si="65"/>
        <v>Paris</v>
      </c>
      <c r="R797" t="str">
        <f t="shared" si="62"/>
        <v>NULL</v>
      </c>
      <c r="S797">
        <f t="shared" si="63"/>
        <v>75016</v>
      </c>
      <c r="T797" t="str">
        <f t="shared" si="64"/>
        <v>France</v>
      </c>
    </row>
    <row r="798" spans="1:20" x14ac:dyDescent="0.2">
      <c r="A798" s="1">
        <v>11044</v>
      </c>
      <c r="B798" s="3" t="s">
        <v>303</v>
      </c>
      <c r="C798" s="3">
        <v>4</v>
      </c>
      <c r="D798" s="4">
        <v>35908</v>
      </c>
      <c r="E798" s="4">
        <v>35936</v>
      </c>
      <c r="F798" s="4">
        <v>35916</v>
      </c>
      <c r="G798" s="3">
        <v>1</v>
      </c>
      <c r="H798" s="3">
        <v>8.7200000000000006</v>
      </c>
      <c r="I798" s="3" t="s">
        <v>304</v>
      </c>
      <c r="J798" s="3" t="s">
        <v>305</v>
      </c>
      <c r="K798" s="3" t="s">
        <v>306</v>
      </c>
      <c r="L798" s="3" t="s">
        <v>18</v>
      </c>
      <c r="M798" s="3" t="s">
        <v>307</v>
      </c>
      <c r="N798" s="3" t="s">
        <v>308</v>
      </c>
      <c r="O798" s="2"/>
      <c r="P798" t="str">
        <f t="shared" si="61"/>
        <v>ul. Filtrowa 68</v>
      </c>
      <c r="Q798" t="str">
        <f t="shared" si="65"/>
        <v>Warszawa</v>
      </c>
      <c r="R798" t="str">
        <f t="shared" si="62"/>
        <v>NULL</v>
      </c>
      <c r="S798" t="str">
        <f t="shared" si="63"/>
        <v>01-012</v>
      </c>
      <c r="T798" t="str">
        <f t="shared" si="64"/>
        <v>Poland</v>
      </c>
    </row>
    <row r="799" spans="1:20" x14ac:dyDescent="0.2">
      <c r="A799" s="1">
        <v>11045</v>
      </c>
      <c r="B799" s="3" t="s">
        <v>318</v>
      </c>
      <c r="C799" s="3">
        <v>6</v>
      </c>
      <c r="D799" s="4">
        <v>35908</v>
      </c>
      <c r="E799" s="4">
        <v>35936</v>
      </c>
      <c r="F799" s="3" t="s">
        <v>18</v>
      </c>
      <c r="G799" s="3">
        <v>2</v>
      </c>
      <c r="H799" s="3">
        <v>70.58</v>
      </c>
      <c r="I799" s="3" t="s">
        <v>319</v>
      </c>
      <c r="J799" s="3" t="s">
        <v>320</v>
      </c>
      <c r="K799" s="3" t="s">
        <v>321</v>
      </c>
      <c r="L799" s="3" t="s">
        <v>322</v>
      </c>
      <c r="M799" s="3" t="s">
        <v>323</v>
      </c>
      <c r="N799" s="3" t="s">
        <v>249</v>
      </c>
      <c r="O799" s="2"/>
      <c r="P799" t="str">
        <f t="shared" si="61"/>
        <v>23 Tsawassen Blvd.</v>
      </c>
      <c r="Q799" t="str">
        <f t="shared" si="65"/>
        <v>Tsawassen</v>
      </c>
      <c r="R799" t="str">
        <f t="shared" si="62"/>
        <v>BC</v>
      </c>
      <c r="S799" t="str">
        <f t="shared" si="63"/>
        <v>T2F 8M4</v>
      </c>
      <c r="T799" t="str">
        <f t="shared" si="64"/>
        <v>Canada</v>
      </c>
    </row>
    <row r="800" spans="1:20" x14ac:dyDescent="0.2">
      <c r="A800" s="1">
        <v>11046</v>
      </c>
      <c r="B800" s="3" t="s">
        <v>185</v>
      </c>
      <c r="C800" s="3">
        <v>8</v>
      </c>
      <c r="D800" s="4">
        <v>35908</v>
      </c>
      <c r="E800" s="4">
        <v>35936</v>
      </c>
      <c r="F800" s="4">
        <v>35909</v>
      </c>
      <c r="G800" s="3">
        <v>2</v>
      </c>
      <c r="H800" s="3">
        <v>71.64</v>
      </c>
      <c r="I800" s="3" t="s">
        <v>186</v>
      </c>
      <c r="J800" s="3" t="s">
        <v>187</v>
      </c>
      <c r="K800" s="3" t="s">
        <v>188</v>
      </c>
      <c r="L800" s="3" t="s">
        <v>18</v>
      </c>
      <c r="M800" s="3">
        <v>70563</v>
      </c>
      <c r="N800" s="3" t="s">
        <v>24</v>
      </c>
      <c r="O800" s="2"/>
      <c r="P800" t="str">
        <f t="shared" si="61"/>
        <v>Adenauerallee 900</v>
      </c>
      <c r="Q800" t="str">
        <f t="shared" si="65"/>
        <v>Stuttgart</v>
      </c>
      <c r="R800" t="str">
        <f t="shared" si="62"/>
        <v>NULL</v>
      </c>
      <c r="S800">
        <f t="shared" si="63"/>
        <v>70563</v>
      </c>
      <c r="T800" t="str">
        <f t="shared" si="64"/>
        <v>Germany</v>
      </c>
    </row>
    <row r="801" spans="1:20" x14ac:dyDescent="0.2">
      <c r="A801" s="1">
        <v>11047</v>
      </c>
      <c r="B801" s="3" t="s">
        <v>284</v>
      </c>
      <c r="C801" s="3">
        <v>7</v>
      </c>
      <c r="D801" s="4">
        <v>35909</v>
      </c>
      <c r="E801" s="4">
        <v>35937</v>
      </c>
      <c r="F801" s="4">
        <v>35916</v>
      </c>
      <c r="G801" s="3">
        <v>3</v>
      </c>
      <c r="H801" s="3">
        <v>46.62</v>
      </c>
      <c r="I801" s="3" t="s">
        <v>285</v>
      </c>
      <c r="J801" s="3" t="s">
        <v>286</v>
      </c>
      <c r="K801" s="3" t="s">
        <v>167</v>
      </c>
      <c r="L801" s="3" t="s">
        <v>18</v>
      </c>
      <c r="M801" s="3" t="s">
        <v>287</v>
      </c>
      <c r="N801" s="3" t="s">
        <v>169</v>
      </c>
      <c r="O801" s="2"/>
      <c r="P801" t="str">
        <f t="shared" si="61"/>
        <v>35 King George</v>
      </c>
      <c r="Q801" t="str">
        <f t="shared" si="65"/>
        <v>London</v>
      </c>
      <c r="R801" t="str">
        <f t="shared" si="62"/>
        <v>NULL</v>
      </c>
      <c r="S801" t="str">
        <f t="shared" si="63"/>
        <v>WX3 6FW</v>
      </c>
      <c r="T801" t="str">
        <f t="shared" si="64"/>
        <v>UK</v>
      </c>
    </row>
    <row r="802" spans="1:20" x14ac:dyDescent="0.2">
      <c r="A802" s="1">
        <v>11048</v>
      </c>
      <c r="B802" s="3" t="s">
        <v>318</v>
      </c>
      <c r="C802" s="3">
        <v>7</v>
      </c>
      <c r="D802" s="4">
        <v>35909</v>
      </c>
      <c r="E802" s="4">
        <v>35937</v>
      </c>
      <c r="F802" s="4">
        <v>35915</v>
      </c>
      <c r="G802" s="3">
        <v>3</v>
      </c>
      <c r="H802" s="3">
        <v>24.12</v>
      </c>
      <c r="I802" s="3" t="s">
        <v>319</v>
      </c>
      <c r="J802" s="3" t="s">
        <v>320</v>
      </c>
      <c r="K802" s="3" t="s">
        <v>321</v>
      </c>
      <c r="L802" s="3" t="s">
        <v>322</v>
      </c>
      <c r="M802" s="3" t="s">
        <v>323</v>
      </c>
      <c r="N802" s="3" t="s">
        <v>249</v>
      </c>
      <c r="O802" s="2"/>
      <c r="P802" t="str">
        <f t="shared" si="61"/>
        <v>23 Tsawassen Blvd.</v>
      </c>
      <c r="Q802" t="str">
        <f t="shared" si="65"/>
        <v>Tsawassen</v>
      </c>
      <c r="R802" t="str">
        <f t="shared" si="62"/>
        <v>BC</v>
      </c>
      <c r="S802" t="str">
        <f t="shared" si="63"/>
        <v>T2F 8M4</v>
      </c>
      <c r="T802" t="str">
        <f t="shared" si="64"/>
        <v>Canada</v>
      </c>
    </row>
    <row r="803" spans="1:20" x14ac:dyDescent="0.2">
      <c r="A803" s="1">
        <v>11049</v>
      </c>
      <c r="B803" s="3" t="s">
        <v>342</v>
      </c>
      <c r="C803" s="3">
        <v>3</v>
      </c>
      <c r="D803" s="4">
        <v>35909</v>
      </c>
      <c r="E803" s="4">
        <v>35937</v>
      </c>
      <c r="F803" s="4">
        <v>35919</v>
      </c>
      <c r="G803" s="3">
        <v>1</v>
      </c>
      <c r="H803" s="3">
        <v>8.34</v>
      </c>
      <c r="I803" s="3" t="s">
        <v>343</v>
      </c>
      <c r="J803" s="3" t="s">
        <v>344</v>
      </c>
      <c r="K803" s="3">
        <v>442</v>
      </c>
      <c r="L803" s="3" t="s">
        <v>345</v>
      </c>
      <c r="M803" s="3" t="s">
        <v>55</v>
      </c>
      <c r="N803" s="3" t="s">
        <v>346</v>
      </c>
      <c r="O803" s="3" t="s">
        <v>31</v>
      </c>
      <c r="P803" t="str">
        <f t="shared" si="61"/>
        <v>Av. Brasil 442</v>
      </c>
      <c r="Q803" t="str">
        <f t="shared" si="65"/>
        <v>Campinas</v>
      </c>
      <c r="R803" t="str">
        <f t="shared" si="62"/>
        <v>SP</v>
      </c>
      <c r="S803" t="str">
        <f t="shared" si="63"/>
        <v>04876-786</v>
      </c>
      <c r="T803" t="str">
        <f t="shared" si="64"/>
        <v>Brazil</v>
      </c>
    </row>
    <row r="804" spans="1:20" x14ac:dyDescent="0.2">
      <c r="A804" s="1">
        <v>11050</v>
      </c>
      <c r="B804" s="3" t="s">
        <v>87</v>
      </c>
      <c r="C804" s="3">
        <v>8</v>
      </c>
      <c r="D804" s="4">
        <v>35912</v>
      </c>
      <c r="E804" s="4">
        <v>35940</v>
      </c>
      <c r="F804" s="4">
        <v>35920</v>
      </c>
      <c r="G804" s="3">
        <v>2</v>
      </c>
      <c r="H804" s="3">
        <v>59.41</v>
      </c>
      <c r="I804" s="3" t="s">
        <v>88</v>
      </c>
      <c r="J804" s="3" t="s">
        <v>89</v>
      </c>
      <c r="K804" s="3" t="s">
        <v>90</v>
      </c>
      <c r="L804" s="3" t="s">
        <v>18</v>
      </c>
      <c r="M804" s="3" t="s">
        <v>91</v>
      </c>
      <c r="N804" s="3" t="s">
        <v>92</v>
      </c>
      <c r="O804" s="2"/>
      <c r="P804" t="str">
        <f t="shared" si="61"/>
        <v>Åkergatan 24</v>
      </c>
      <c r="Q804" t="str">
        <f t="shared" si="65"/>
        <v>Bräcke</v>
      </c>
      <c r="R804" t="str">
        <f t="shared" si="62"/>
        <v>NULL</v>
      </c>
      <c r="S804" t="str">
        <f t="shared" si="63"/>
        <v>S-844 67</v>
      </c>
      <c r="T804" t="str">
        <f t="shared" si="64"/>
        <v>Sweden</v>
      </c>
    </row>
    <row r="805" spans="1:20" x14ac:dyDescent="0.2">
      <c r="A805" s="1">
        <v>11051</v>
      </c>
      <c r="B805" s="3" t="s">
        <v>262</v>
      </c>
      <c r="C805" s="3">
        <v>7</v>
      </c>
      <c r="D805" s="4">
        <v>35912</v>
      </c>
      <c r="E805" s="4">
        <v>35940</v>
      </c>
      <c r="F805" s="3" t="s">
        <v>18</v>
      </c>
      <c r="G805" s="3">
        <v>3</v>
      </c>
      <c r="H805" s="3">
        <v>2.79</v>
      </c>
      <c r="I805" s="3" t="s">
        <v>263</v>
      </c>
      <c r="J805" s="3" t="s">
        <v>264</v>
      </c>
      <c r="K805" s="3" t="s">
        <v>265</v>
      </c>
      <c r="L805" s="3" t="s">
        <v>18</v>
      </c>
      <c r="M805" s="3">
        <v>31000</v>
      </c>
      <c r="N805" s="3" t="s">
        <v>19</v>
      </c>
      <c r="O805" s="2"/>
      <c r="P805" t="str">
        <f t="shared" si="61"/>
        <v>1 rue Alsace-Lorraine</v>
      </c>
      <c r="Q805" t="str">
        <f t="shared" si="65"/>
        <v>Toulouse</v>
      </c>
      <c r="R805" t="str">
        <f t="shared" si="62"/>
        <v>NULL</v>
      </c>
      <c r="S805">
        <f t="shared" si="63"/>
        <v>31000</v>
      </c>
      <c r="T805" t="str">
        <f t="shared" si="64"/>
        <v>France</v>
      </c>
    </row>
    <row r="806" spans="1:20" x14ac:dyDescent="0.2">
      <c r="A806" s="1">
        <v>11052</v>
      </c>
      <c r="B806" s="3" t="s">
        <v>25</v>
      </c>
      <c r="C806" s="3">
        <v>3</v>
      </c>
      <c r="D806" s="4">
        <v>35912</v>
      </c>
      <c r="E806" s="4">
        <v>35940</v>
      </c>
      <c r="F806" s="4">
        <v>35916</v>
      </c>
      <c r="G806" s="3">
        <v>1</v>
      </c>
      <c r="H806" s="3">
        <v>67.260000000000005</v>
      </c>
      <c r="I806" s="3" t="s">
        <v>26</v>
      </c>
      <c r="J806" s="3" t="s">
        <v>27</v>
      </c>
      <c r="K806" s="3">
        <v>67</v>
      </c>
      <c r="L806" s="3" t="s">
        <v>28</v>
      </c>
      <c r="M806" s="3" t="s">
        <v>29</v>
      </c>
      <c r="N806" s="3" t="s">
        <v>30</v>
      </c>
      <c r="O806" s="3" t="s">
        <v>31</v>
      </c>
      <c r="P806" t="str">
        <f t="shared" si="61"/>
        <v>Rua do Paço 67</v>
      </c>
      <c r="Q806" t="str">
        <f t="shared" si="65"/>
        <v>Rio de Janeiro</v>
      </c>
      <c r="R806" t="str">
        <f t="shared" si="62"/>
        <v>RJ</v>
      </c>
      <c r="S806" t="str">
        <f t="shared" si="63"/>
        <v>05454-876</v>
      </c>
      <c r="T806" t="str">
        <f t="shared" si="64"/>
        <v>Brazil</v>
      </c>
    </row>
    <row r="807" spans="1:20" x14ac:dyDescent="0.2">
      <c r="A807" s="1">
        <v>11053</v>
      </c>
      <c r="B807" s="3" t="s">
        <v>266</v>
      </c>
      <c r="C807" s="3">
        <v>2</v>
      </c>
      <c r="D807" s="4">
        <v>35912</v>
      </c>
      <c r="E807" s="4">
        <v>35940</v>
      </c>
      <c r="F807" s="4">
        <v>35914</v>
      </c>
      <c r="G807" s="3">
        <v>2</v>
      </c>
      <c r="H807" s="3">
        <v>53.05</v>
      </c>
      <c r="I807" s="3" t="s">
        <v>267</v>
      </c>
      <c r="J807" s="3" t="s">
        <v>268</v>
      </c>
      <c r="K807" s="3" t="s">
        <v>269</v>
      </c>
      <c r="L807" s="3" t="s">
        <v>18</v>
      </c>
      <c r="M807" s="3">
        <v>5020</v>
      </c>
      <c r="N807" s="3" t="s">
        <v>67</v>
      </c>
      <c r="O807" s="2"/>
      <c r="P807" t="str">
        <f t="shared" si="61"/>
        <v>Geislweg 14</v>
      </c>
      <c r="Q807" t="str">
        <f t="shared" si="65"/>
        <v>Salzburg</v>
      </c>
      <c r="R807" t="str">
        <f t="shared" si="62"/>
        <v>NULL</v>
      </c>
      <c r="S807">
        <f t="shared" si="63"/>
        <v>5020</v>
      </c>
      <c r="T807" t="str">
        <f t="shared" si="64"/>
        <v>Austria</v>
      </c>
    </row>
    <row r="808" spans="1:20" x14ac:dyDescent="0.2">
      <c r="A808" s="1">
        <v>11054</v>
      </c>
      <c r="B808" s="3" t="s">
        <v>371</v>
      </c>
      <c r="C808" s="3">
        <v>8</v>
      </c>
      <c r="D808" s="4">
        <v>35913</v>
      </c>
      <c r="E808" s="4">
        <v>35941</v>
      </c>
      <c r="F808" s="3" t="s">
        <v>18</v>
      </c>
      <c r="G808" s="3">
        <v>1</v>
      </c>
      <c r="H808" s="3">
        <v>0.33</v>
      </c>
      <c r="I808" s="3" t="s">
        <v>372</v>
      </c>
      <c r="J808" s="3" t="s">
        <v>373</v>
      </c>
      <c r="K808" s="3" t="s">
        <v>336</v>
      </c>
      <c r="L808" s="3" t="s">
        <v>18</v>
      </c>
      <c r="M808" s="3">
        <v>1010</v>
      </c>
      <c r="N808" s="3" t="s">
        <v>337</v>
      </c>
      <c r="O808" s="2"/>
      <c r="P808" t="str">
        <f t="shared" si="61"/>
        <v>Cerrito 333</v>
      </c>
      <c r="Q808" t="str">
        <f t="shared" si="65"/>
        <v>Buenos Aires</v>
      </c>
      <c r="R808" t="str">
        <f t="shared" si="62"/>
        <v>NULL</v>
      </c>
      <c r="S808">
        <f t="shared" si="63"/>
        <v>1010</v>
      </c>
      <c r="T808" t="str">
        <f t="shared" si="64"/>
        <v>Argentina</v>
      </c>
    </row>
    <row r="809" spans="1:20" x14ac:dyDescent="0.2">
      <c r="A809" s="1">
        <v>11055</v>
      </c>
      <c r="B809" s="3" t="s">
        <v>57</v>
      </c>
      <c r="C809" s="3">
        <v>7</v>
      </c>
      <c r="D809" s="4">
        <v>35913</v>
      </c>
      <c r="E809" s="4">
        <v>35941</v>
      </c>
      <c r="F809" s="4">
        <v>35920</v>
      </c>
      <c r="G809" s="3">
        <v>2</v>
      </c>
      <c r="H809" s="3">
        <v>120.92</v>
      </c>
      <c r="I809" s="3" t="s">
        <v>58</v>
      </c>
      <c r="J809" s="3" t="s">
        <v>59</v>
      </c>
      <c r="K809" s="3" t="s">
        <v>60</v>
      </c>
      <c r="L809" s="3" t="s">
        <v>61</v>
      </c>
      <c r="M809" s="3">
        <v>5022</v>
      </c>
      <c r="N809" s="3" t="s">
        <v>62</v>
      </c>
      <c r="O809" s="2"/>
      <c r="P809" t="str">
        <f t="shared" si="61"/>
        <v>Carrera 22 con Ave. Carlos Soublette #8-35</v>
      </c>
      <c r="Q809" t="str">
        <f t="shared" si="65"/>
        <v>San Cristóbal</v>
      </c>
      <c r="R809" t="str">
        <f t="shared" si="62"/>
        <v>Táchira</v>
      </c>
      <c r="S809">
        <f t="shared" si="63"/>
        <v>5022</v>
      </c>
      <c r="T809" t="str">
        <f t="shared" si="64"/>
        <v>Venezuela</v>
      </c>
    </row>
    <row r="810" spans="1:20" x14ac:dyDescent="0.2">
      <c r="A810" s="1">
        <v>11056</v>
      </c>
      <c r="B810" s="3" t="s">
        <v>284</v>
      </c>
      <c r="C810" s="3">
        <v>8</v>
      </c>
      <c r="D810" s="4">
        <v>35913</v>
      </c>
      <c r="E810" s="4">
        <v>35927</v>
      </c>
      <c r="F810" s="4">
        <v>35916</v>
      </c>
      <c r="G810" s="3">
        <v>2</v>
      </c>
      <c r="H810" s="3">
        <v>278.95999999999998</v>
      </c>
      <c r="I810" s="3" t="s">
        <v>285</v>
      </c>
      <c r="J810" s="3" t="s">
        <v>286</v>
      </c>
      <c r="K810" s="3" t="s">
        <v>167</v>
      </c>
      <c r="L810" s="3" t="s">
        <v>18</v>
      </c>
      <c r="M810" s="3" t="s">
        <v>287</v>
      </c>
      <c r="N810" s="3" t="s">
        <v>169</v>
      </c>
      <c r="O810" s="2"/>
      <c r="P810" t="str">
        <f t="shared" si="61"/>
        <v>35 King George</v>
      </c>
      <c r="Q810" t="str">
        <f t="shared" si="65"/>
        <v>London</v>
      </c>
      <c r="R810" t="str">
        <f t="shared" si="62"/>
        <v>NULL</v>
      </c>
      <c r="S810" t="str">
        <f t="shared" si="63"/>
        <v>WX3 6FW</v>
      </c>
      <c r="T810" t="str">
        <f t="shared" si="64"/>
        <v>UK</v>
      </c>
    </row>
    <row r="811" spans="1:20" x14ac:dyDescent="0.2">
      <c r="A811" s="1">
        <v>11057</v>
      </c>
      <c r="B811" s="3" t="s">
        <v>367</v>
      </c>
      <c r="C811" s="3">
        <v>3</v>
      </c>
      <c r="D811" s="4">
        <v>35914</v>
      </c>
      <c r="E811" s="4">
        <v>35942</v>
      </c>
      <c r="F811" s="4">
        <v>35916</v>
      </c>
      <c r="G811" s="3">
        <v>3</v>
      </c>
      <c r="H811" s="3">
        <v>4.13</v>
      </c>
      <c r="I811" s="3" t="s">
        <v>368</v>
      </c>
      <c r="J811" s="3" t="s">
        <v>369</v>
      </c>
      <c r="K811" s="3" t="s">
        <v>167</v>
      </c>
      <c r="L811" s="3" t="s">
        <v>18</v>
      </c>
      <c r="M811" s="3" t="s">
        <v>370</v>
      </c>
      <c r="N811" s="3" t="s">
        <v>169</v>
      </c>
      <c r="O811" s="2"/>
      <c r="P811" t="str">
        <f t="shared" si="61"/>
        <v>South House 300 Queensbridge</v>
      </c>
      <c r="Q811" t="str">
        <f t="shared" si="65"/>
        <v>London</v>
      </c>
      <c r="R811" t="str">
        <f t="shared" si="62"/>
        <v>NULL</v>
      </c>
      <c r="S811" t="str">
        <f t="shared" si="63"/>
        <v>SW7 1RZ</v>
      </c>
      <c r="T811" t="str">
        <f t="shared" si="64"/>
        <v>UK</v>
      </c>
    </row>
    <row r="812" spans="1:20" x14ac:dyDescent="0.2">
      <c r="A812" s="1">
        <v>11058</v>
      </c>
      <c r="B812" s="3" t="s">
        <v>363</v>
      </c>
      <c r="C812" s="3">
        <v>9</v>
      </c>
      <c r="D812" s="4">
        <v>35914</v>
      </c>
      <c r="E812" s="4">
        <v>35942</v>
      </c>
      <c r="F812" s="3" t="s">
        <v>18</v>
      </c>
      <c r="G812" s="3">
        <v>3</v>
      </c>
      <c r="H812" s="3">
        <v>31.14</v>
      </c>
      <c r="I812" s="3" t="s">
        <v>364</v>
      </c>
      <c r="J812" s="3" t="s">
        <v>365</v>
      </c>
      <c r="K812" s="3" t="s">
        <v>366</v>
      </c>
      <c r="L812" s="3" t="s">
        <v>18</v>
      </c>
      <c r="M812" s="3">
        <v>68306</v>
      </c>
      <c r="N812" s="3" t="s">
        <v>24</v>
      </c>
      <c r="O812" s="2"/>
      <c r="P812" t="str">
        <f t="shared" si="61"/>
        <v>Forsterstr. 57</v>
      </c>
      <c r="Q812" t="str">
        <f t="shared" si="65"/>
        <v>Mannheim</v>
      </c>
      <c r="R812" t="str">
        <f t="shared" si="62"/>
        <v>NULL</v>
      </c>
      <c r="S812">
        <f t="shared" si="63"/>
        <v>68306</v>
      </c>
      <c r="T812" t="str">
        <f t="shared" si="64"/>
        <v>Germany</v>
      </c>
    </row>
    <row r="813" spans="1:20" x14ac:dyDescent="0.2">
      <c r="A813" s="1">
        <v>11059</v>
      </c>
      <c r="B813" s="3" t="s">
        <v>156</v>
      </c>
      <c r="C813" s="3">
        <v>2</v>
      </c>
      <c r="D813" s="4">
        <v>35914</v>
      </c>
      <c r="E813" s="4">
        <v>35956</v>
      </c>
      <c r="F813" s="3" t="s">
        <v>18</v>
      </c>
      <c r="G813" s="3">
        <v>2</v>
      </c>
      <c r="H813" s="3">
        <v>85.8</v>
      </c>
      <c r="I813" s="3" t="s">
        <v>157</v>
      </c>
      <c r="J813" s="3" t="s">
        <v>158</v>
      </c>
      <c r="K813" s="3">
        <v>267</v>
      </c>
      <c r="L813" s="3" t="s">
        <v>28</v>
      </c>
      <c r="M813" s="3" t="s">
        <v>29</v>
      </c>
      <c r="N813" s="3" t="s">
        <v>159</v>
      </c>
      <c r="O813" s="3" t="s">
        <v>31</v>
      </c>
      <c r="P813" t="str">
        <f t="shared" si="61"/>
        <v>Av. Copacabana 267</v>
      </c>
      <c r="Q813" t="str">
        <f t="shared" si="65"/>
        <v>Rio de Janeiro</v>
      </c>
      <c r="R813" t="str">
        <f t="shared" si="62"/>
        <v>RJ</v>
      </c>
      <c r="S813" t="str">
        <f t="shared" si="63"/>
        <v>02389-890</v>
      </c>
      <c r="T813" t="str">
        <f t="shared" si="64"/>
        <v>Brazil</v>
      </c>
    </row>
    <row r="814" spans="1:20" x14ac:dyDescent="0.2">
      <c r="A814" s="1">
        <v>11060</v>
      </c>
      <c r="B814" s="3" t="s">
        <v>338</v>
      </c>
      <c r="C814" s="3">
        <v>2</v>
      </c>
      <c r="D814" s="4">
        <v>35915</v>
      </c>
      <c r="E814" s="4">
        <v>35943</v>
      </c>
      <c r="F814" s="4">
        <v>35919</v>
      </c>
      <c r="G814" s="3">
        <v>2</v>
      </c>
      <c r="H814" s="3">
        <v>10.98</v>
      </c>
      <c r="I814" s="3" t="s">
        <v>339</v>
      </c>
      <c r="J814" s="3" t="s">
        <v>340</v>
      </c>
      <c r="K814" s="3" t="s">
        <v>341</v>
      </c>
      <c r="L814" s="3" t="s">
        <v>18</v>
      </c>
      <c r="M814" s="3">
        <v>10100</v>
      </c>
      <c r="N814" s="3" t="s">
        <v>129</v>
      </c>
      <c r="O814" s="2"/>
      <c r="P814" t="str">
        <f t="shared" si="61"/>
        <v>Via Monte Bianco 34</v>
      </c>
      <c r="Q814" t="str">
        <f t="shared" si="65"/>
        <v>Torino</v>
      </c>
      <c r="R814" t="str">
        <f t="shared" si="62"/>
        <v>NULL</v>
      </c>
      <c r="S814">
        <f t="shared" si="63"/>
        <v>10100</v>
      </c>
      <c r="T814" t="str">
        <f t="shared" si="64"/>
        <v>Italy</v>
      </c>
    </row>
    <row r="815" spans="1:20" x14ac:dyDescent="0.2">
      <c r="A815" s="1">
        <v>11061</v>
      </c>
      <c r="B815" s="3" t="s">
        <v>374</v>
      </c>
      <c r="C815" s="3">
        <v>4</v>
      </c>
      <c r="D815" s="4">
        <v>35915</v>
      </c>
      <c r="E815" s="4">
        <v>35957</v>
      </c>
      <c r="F815" s="3" t="s">
        <v>18</v>
      </c>
      <c r="G815" s="3">
        <v>3</v>
      </c>
      <c r="H815" s="3">
        <v>14.01</v>
      </c>
      <c r="I815" s="3" t="s">
        <v>375</v>
      </c>
      <c r="J815" s="3" t="s">
        <v>376</v>
      </c>
      <c r="K815" s="3" t="s">
        <v>377</v>
      </c>
      <c r="L815" s="3" t="s">
        <v>202</v>
      </c>
      <c r="M815" s="3">
        <v>97403</v>
      </c>
      <c r="N815" s="3" t="s">
        <v>86</v>
      </c>
      <c r="O815" s="2"/>
      <c r="P815" t="str">
        <f t="shared" si="61"/>
        <v>2732 Baker Blvd.</v>
      </c>
      <c r="Q815" t="str">
        <f t="shared" si="65"/>
        <v>Eugene</v>
      </c>
      <c r="R815" t="str">
        <f t="shared" si="62"/>
        <v>OR</v>
      </c>
      <c r="S815">
        <f t="shared" si="63"/>
        <v>97403</v>
      </c>
      <c r="T815" t="str">
        <f t="shared" si="64"/>
        <v>USA</v>
      </c>
    </row>
    <row r="816" spans="1:20" x14ac:dyDescent="0.2">
      <c r="A816" s="1">
        <v>11062</v>
      </c>
      <c r="B816" s="3" t="s">
        <v>160</v>
      </c>
      <c r="C816" s="3">
        <v>4</v>
      </c>
      <c r="D816" s="4">
        <v>35915</v>
      </c>
      <c r="E816" s="4">
        <v>35943</v>
      </c>
      <c r="F816" s="3" t="s">
        <v>18</v>
      </c>
      <c r="G816" s="3">
        <v>2</v>
      </c>
      <c r="H816" s="3">
        <v>29.93</v>
      </c>
      <c r="I816" s="3" t="s">
        <v>161</v>
      </c>
      <c r="J816" s="3" t="s">
        <v>162</v>
      </c>
      <c r="K816" s="3" t="s">
        <v>163</v>
      </c>
      <c r="L816" s="3" t="s">
        <v>18</v>
      </c>
      <c r="M816" s="3">
        <v>42100</v>
      </c>
      <c r="N816" s="3" t="s">
        <v>129</v>
      </c>
      <c r="O816" s="2"/>
      <c r="P816" t="str">
        <f t="shared" si="61"/>
        <v>Strada Provinciale 124</v>
      </c>
      <c r="Q816" t="str">
        <f t="shared" si="65"/>
        <v>Reggio Emilia</v>
      </c>
      <c r="R816" t="str">
        <f t="shared" si="62"/>
        <v>NULL</v>
      </c>
      <c r="S816">
        <f t="shared" si="63"/>
        <v>42100</v>
      </c>
      <c r="T816" t="str">
        <f t="shared" si="64"/>
        <v>Italy</v>
      </c>
    </row>
    <row r="817" spans="1:20" x14ac:dyDescent="0.2">
      <c r="A817" s="1">
        <v>11063</v>
      </c>
      <c r="B817" s="3" t="s">
        <v>179</v>
      </c>
      <c r="C817" s="3">
        <v>3</v>
      </c>
      <c r="D817" s="4">
        <v>35915</v>
      </c>
      <c r="E817" s="4">
        <v>35943</v>
      </c>
      <c r="F817" s="4">
        <v>35921</v>
      </c>
      <c r="G817" s="3">
        <v>2</v>
      </c>
      <c r="H817" s="3">
        <v>81.73</v>
      </c>
      <c r="I817" s="3" t="s">
        <v>180</v>
      </c>
      <c r="J817" s="3" t="s">
        <v>181</v>
      </c>
      <c r="K817" s="3" t="s">
        <v>182</v>
      </c>
      <c r="L817" s="3" t="s">
        <v>183</v>
      </c>
      <c r="M817" s="3" t="s">
        <v>18</v>
      </c>
      <c r="N817" s="3" t="s">
        <v>184</v>
      </c>
      <c r="O817" s="2"/>
      <c r="P817" t="str">
        <f t="shared" si="61"/>
        <v>8 Johnstown Road</v>
      </c>
      <c r="Q817" t="str">
        <f t="shared" si="65"/>
        <v>Cork</v>
      </c>
      <c r="R817" t="str">
        <f t="shared" si="62"/>
        <v>Co. Cork</v>
      </c>
      <c r="S817" t="str">
        <f t="shared" si="63"/>
        <v>NULL</v>
      </c>
      <c r="T817" t="str">
        <f t="shared" si="64"/>
        <v>Ireland</v>
      </c>
    </row>
    <row r="818" spans="1:20" x14ac:dyDescent="0.2">
      <c r="A818" s="1">
        <v>11064</v>
      </c>
      <c r="B818" s="3" t="s">
        <v>226</v>
      </c>
      <c r="C818" s="3">
        <v>1</v>
      </c>
      <c r="D818" s="4">
        <v>35916</v>
      </c>
      <c r="E818" s="4">
        <v>35944</v>
      </c>
      <c r="F818" s="4">
        <v>35919</v>
      </c>
      <c r="G818" s="3">
        <v>1</v>
      </c>
      <c r="H818" s="3">
        <v>30.09</v>
      </c>
      <c r="I818" s="3" t="s">
        <v>227</v>
      </c>
      <c r="J818" s="3" t="s">
        <v>228</v>
      </c>
      <c r="K818" s="3" t="s">
        <v>229</v>
      </c>
      <c r="L818" s="3" t="s">
        <v>230</v>
      </c>
      <c r="M818" s="3">
        <v>83720</v>
      </c>
      <c r="N818" s="3" t="s">
        <v>86</v>
      </c>
      <c r="O818" s="2"/>
      <c r="P818" t="str">
        <f t="shared" si="61"/>
        <v>187 Suffolk Ln.</v>
      </c>
      <c r="Q818" t="str">
        <f t="shared" si="65"/>
        <v>Boise</v>
      </c>
      <c r="R818" t="str">
        <f t="shared" si="62"/>
        <v>ID</v>
      </c>
      <c r="S818">
        <f t="shared" si="63"/>
        <v>83720</v>
      </c>
      <c r="T818" t="str">
        <f t="shared" si="64"/>
        <v>USA</v>
      </c>
    </row>
    <row r="819" spans="1:20" x14ac:dyDescent="0.2">
      <c r="A819" s="1">
        <v>11065</v>
      </c>
      <c r="B819" s="3" t="s">
        <v>151</v>
      </c>
      <c r="C819" s="3">
        <v>8</v>
      </c>
      <c r="D819" s="4">
        <v>35916</v>
      </c>
      <c r="E819" s="4">
        <v>35944</v>
      </c>
      <c r="F819" s="3" t="s">
        <v>18</v>
      </c>
      <c r="G819" s="3">
        <v>1</v>
      </c>
      <c r="H819" s="3">
        <v>12.91</v>
      </c>
      <c r="I819" s="3" t="s">
        <v>152</v>
      </c>
      <c r="J819" s="3" t="s">
        <v>153</v>
      </c>
      <c r="K819" s="3" t="s">
        <v>154</v>
      </c>
      <c r="L819" s="3" t="s">
        <v>155</v>
      </c>
      <c r="M819" s="3">
        <v>3508</v>
      </c>
      <c r="N819" s="3" t="s">
        <v>62</v>
      </c>
      <c r="O819" s="2"/>
      <c r="P819" t="str">
        <f t="shared" si="61"/>
        <v>Carrera 52 con Ave. Bolívar #65-98 Llano Largo</v>
      </c>
      <c r="Q819" t="str">
        <f t="shared" si="65"/>
        <v>Barquisimeto</v>
      </c>
      <c r="R819" t="str">
        <f t="shared" si="62"/>
        <v>Lara</v>
      </c>
      <c r="S819">
        <f t="shared" si="63"/>
        <v>3508</v>
      </c>
      <c r="T819" t="str">
        <f t="shared" si="64"/>
        <v>Venezuela</v>
      </c>
    </row>
    <row r="820" spans="1:20" x14ac:dyDescent="0.2">
      <c r="A820" s="1">
        <v>11066</v>
      </c>
      <c r="B820" s="3" t="s">
        <v>111</v>
      </c>
      <c r="C820" s="3">
        <v>7</v>
      </c>
      <c r="D820" s="4">
        <v>35916</v>
      </c>
      <c r="E820" s="4">
        <v>35944</v>
      </c>
      <c r="F820" s="4">
        <v>35919</v>
      </c>
      <c r="G820" s="3">
        <v>2</v>
      </c>
      <c r="H820" s="3">
        <v>44.72</v>
      </c>
      <c r="I820" s="3" t="s">
        <v>112</v>
      </c>
      <c r="J820" s="3" t="s">
        <v>113</v>
      </c>
      <c r="K820" s="3" t="s">
        <v>114</v>
      </c>
      <c r="L820" s="3" t="s">
        <v>115</v>
      </c>
      <c r="M820" s="3">
        <v>98124</v>
      </c>
      <c r="N820" s="3" t="s">
        <v>86</v>
      </c>
      <c r="O820" s="2"/>
      <c r="P820" t="str">
        <f t="shared" si="61"/>
        <v>1029 - 12th Ave. S.</v>
      </c>
      <c r="Q820" t="str">
        <f t="shared" si="65"/>
        <v>Seattle</v>
      </c>
      <c r="R820" t="str">
        <f t="shared" si="62"/>
        <v>WA</v>
      </c>
      <c r="S820">
        <f t="shared" si="63"/>
        <v>98124</v>
      </c>
      <c r="T820" t="str">
        <f t="shared" si="64"/>
        <v>USA</v>
      </c>
    </row>
    <row r="821" spans="1:20" x14ac:dyDescent="0.2">
      <c r="A821" s="1">
        <v>11067</v>
      </c>
      <c r="B821" s="3" t="s">
        <v>280</v>
      </c>
      <c r="C821" s="3">
        <v>1</v>
      </c>
      <c r="D821" s="4">
        <v>35919</v>
      </c>
      <c r="E821" s="4">
        <v>35933</v>
      </c>
      <c r="F821" s="4">
        <v>35921</v>
      </c>
      <c r="G821" s="3">
        <v>2</v>
      </c>
      <c r="H821" s="3">
        <v>7.98</v>
      </c>
      <c r="I821" s="3" t="s">
        <v>281</v>
      </c>
      <c r="J821" s="3" t="s">
        <v>282</v>
      </c>
      <c r="K821" s="3" t="s">
        <v>283</v>
      </c>
      <c r="L821" s="3" t="s">
        <v>18</v>
      </c>
      <c r="M821" s="3">
        <v>52066</v>
      </c>
      <c r="N821" s="3" t="s">
        <v>24</v>
      </c>
      <c r="O821" s="2"/>
      <c r="P821" t="str">
        <f t="shared" si="61"/>
        <v>Walserweg 21</v>
      </c>
      <c r="Q821" t="str">
        <f t="shared" si="65"/>
        <v>Aachen</v>
      </c>
      <c r="R821" t="str">
        <f t="shared" si="62"/>
        <v>NULL</v>
      </c>
      <c r="S821">
        <f t="shared" si="63"/>
        <v>52066</v>
      </c>
      <c r="T821" t="str">
        <f t="shared" si="64"/>
        <v>Germany</v>
      </c>
    </row>
    <row r="822" spans="1:20" x14ac:dyDescent="0.2">
      <c r="A822" s="1">
        <v>11068</v>
      </c>
      <c r="B822" s="3" t="s">
        <v>299</v>
      </c>
      <c r="C822" s="3">
        <v>8</v>
      </c>
      <c r="D822" s="4">
        <v>35919</v>
      </c>
      <c r="E822" s="4">
        <v>35947</v>
      </c>
      <c r="F822" s="3" t="s">
        <v>18</v>
      </c>
      <c r="G822" s="3">
        <v>2</v>
      </c>
      <c r="H822" s="3">
        <v>81.75</v>
      </c>
      <c r="I822" s="3" t="s">
        <v>300</v>
      </c>
      <c r="J822" s="3" t="s">
        <v>301</v>
      </c>
      <c r="K822" s="3">
        <v>891</v>
      </c>
      <c r="L822" s="3" t="s">
        <v>173</v>
      </c>
      <c r="M822" s="3" t="s">
        <v>55</v>
      </c>
      <c r="N822" s="3" t="s">
        <v>302</v>
      </c>
      <c r="O822" s="3" t="s">
        <v>31</v>
      </c>
      <c r="P822" t="str">
        <f t="shared" si="61"/>
        <v>Alameda dos Canàrios 891</v>
      </c>
      <c r="Q822" t="str">
        <f t="shared" si="65"/>
        <v>Sao Paulo</v>
      </c>
      <c r="R822" t="str">
        <f t="shared" si="62"/>
        <v>SP</v>
      </c>
      <c r="S822" t="str">
        <f t="shared" si="63"/>
        <v>05487-020</v>
      </c>
      <c r="T822" t="str">
        <f t="shared" si="64"/>
        <v>Brazil</v>
      </c>
    </row>
    <row r="823" spans="1:20" x14ac:dyDescent="0.2">
      <c r="A823" s="1">
        <v>11069</v>
      </c>
      <c r="B823" s="3" t="s">
        <v>130</v>
      </c>
      <c r="C823" s="3">
        <v>1</v>
      </c>
      <c r="D823" s="4">
        <v>35919</v>
      </c>
      <c r="E823" s="4">
        <v>35947</v>
      </c>
      <c r="F823" s="4">
        <v>35921</v>
      </c>
      <c r="G823" s="3">
        <v>2</v>
      </c>
      <c r="H823" s="3">
        <v>15.67</v>
      </c>
      <c r="I823" s="3" t="s">
        <v>131</v>
      </c>
      <c r="J823" s="3" t="s">
        <v>132</v>
      </c>
      <c r="K823" s="3" t="s">
        <v>71</v>
      </c>
      <c r="L823" s="3" t="s">
        <v>18</v>
      </c>
      <c r="M823" s="3">
        <v>5033</v>
      </c>
      <c r="N823" s="3" t="s">
        <v>72</v>
      </c>
      <c r="O823" s="2"/>
      <c r="P823" t="str">
        <f t="shared" si="61"/>
        <v>Avda. Azteca 123</v>
      </c>
      <c r="Q823" t="str">
        <f t="shared" si="65"/>
        <v>México D.F.</v>
      </c>
      <c r="R823" t="str">
        <f t="shared" si="62"/>
        <v>NULL</v>
      </c>
      <c r="S823">
        <f t="shared" si="63"/>
        <v>5033</v>
      </c>
      <c r="T823" t="str">
        <f t="shared" si="64"/>
        <v>Mexico</v>
      </c>
    </row>
    <row r="824" spans="1:20" x14ac:dyDescent="0.2">
      <c r="A824" s="1">
        <v>11070</v>
      </c>
      <c r="B824" s="3" t="s">
        <v>142</v>
      </c>
      <c r="C824" s="3">
        <v>2</v>
      </c>
      <c r="D824" s="4">
        <v>35920</v>
      </c>
      <c r="E824" s="4">
        <v>35948</v>
      </c>
      <c r="F824" s="3" t="s">
        <v>18</v>
      </c>
      <c r="G824" s="3">
        <v>1</v>
      </c>
      <c r="H824" s="3">
        <v>136</v>
      </c>
      <c r="I824" s="3" t="s">
        <v>143</v>
      </c>
      <c r="J824" s="3" t="s">
        <v>144</v>
      </c>
      <c r="K824" s="3" t="s">
        <v>145</v>
      </c>
      <c r="L824" s="3" t="s">
        <v>18</v>
      </c>
      <c r="M824" s="3">
        <v>60528</v>
      </c>
      <c r="N824" s="3" t="s">
        <v>24</v>
      </c>
      <c r="O824" s="2"/>
      <c r="P824" t="str">
        <f t="shared" si="61"/>
        <v>Magazinweg 7</v>
      </c>
      <c r="Q824" t="str">
        <f t="shared" si="65"/>
        <v>Frankfurt a.M.</v>
      </c>
      <c r="R824" t="str">
        <f t="shared" si="62"/>
        <v>NULL</v>
      </c>
      <c r="S824">
        <f t="shared" si="63"/>
        <v>60528</v>
      </c>
      <c r="T824" t="str">
        <f t="shared" si="64"/>
        <v>Germany</v>
      </c>
    </row>
    <row r="825" spans="1:20" x14ac:dyDescent="0.2">
      <c r="A825" s="1">
        <v>11071</v>
      </c>
      <c r="B825" s="3" t="s">
        <v>151</v>
      </c>
      <c r="C825" s="3">
        <v>1</v>
      </c>
      <c r="D825" s="4">
        <v>35920</v>
      </c>
      <c r="E825" s="4">
        <v>35948</v>
      </c>
      <c r="F825" s="3" t="s">
        <v>18</v>
      </c>
      <c r="G825" s="3">
        <v>1</v>
      </c>
      <c r="H825" s="3">
        <v>0.93</v>
      </c>
      <c r="I825" s="3" t="s">
        <v>152</v>
      </c>
      <c r="J825" s="3" t="s">
        <v>153</v>
      </c>
      <c r="K825" s="3" t="s">
        <v>154</v>
      </c>
      <c r="L825" s="3" t="s">
        <v>155</v>
      </c>
      <c r="M825" s="3">
        <v>3508</v>
      </c>
      <c r="N825" s="3" t="s">
        <v>62</v>
      </c>
      <c r="O825" s="2"/>
      <c r="P825" t="str">
        <f t="shared" si="61"/>
        <v>Carrera 52 con Ave. Bolívar #65-98 Llano Largo</v>
      </c>
      <c r="Q825" t="str">
        <f t="shared" si="65"/>
        <v>Barquisimeto</v>
      </c>
      <c r="R825" t="str">
        <f t="shared" si="62"/>
        <v>Lara</v>
      </c>
      <c r="S825">
        <f t="shared" si="63"/>
        <v>3508</v>
      </c>
      <c r="T825" t="str">
        <f t="shared" si="64"/>
        <v>Venezuela</v>
      </c>
    </row>
    <row r="826" spans="1:20" x14ac:dyDescent="0.2">
      <c r="A826" s="1">
        <v>11072</v>
      </c>
      <c r="B826" s="3" t="s">
        <v>63</v>
      </c>
      <c r="C826" s="3">
        <v>4</v>
      </c>
      <c r="D826" s="4">
        <v>35920</v>
      </c>
      <c r="E826" s="4">
        <v>35948</v>
      </c>
      <c r="F826" s="3" t="s">
        <v>18</v>
      </c>
      <c r="G826" s="3">
        <v>2</v>
      </c>
      <c r="H826" s="3">
        <v>258.64</v>
      </c>
      <c r="I826" s="3" t="s">
        <v>64</v>
      </c>
      <c r="J826" s="3" t="s">
        <v>65</v>
      </c>
      <c r="K826" s="3" t="s">
        <v>66</v>
      </c>
      <c r="L826" s="3" t="s">
        <v>18</v>
      </c>
      <c r="M826" s="3">
        <v>8010</v>
      </c>
      <c r="N826" s="3" t="s">
        <v>67</v>
      </c>
      <c r="O826" s="2"/>
      <c r="P826" t="str">
        <f t="shared" si="61"/>
        <v>Kirchgasse 6</v>
      </c>
      <c r="Q826" t="str">
        <f t="shared" si="65"/>
        <v>Graz</v>
      </c>
      <c r="R826" t="str">
        <f t="shared" si="62"/>
        <v>NULL</v>
      </c>
      <c r="S826">
        <f t="shared" si="63"/>
        <v>8010</v>
      </c>
      <c r="T826" t="str">
        <f t="shared" si="64"/>
        <v>Austria</v>
      </c>
    </row>
    <row r="827" spans="1:20" x14ac:dyDescent="0.2">
      <c r="A827" s="1">
        <v>11073</v>
      </c>
      <c r="B827" s="3" t="s">
        <v>219</v>
      </c>
      <c r="C827" s="3">
        <v>2</v>
      </c>
      <c r="D827" s="4">
        <v>35920</v>
      </c>
      <c r="E827" s="4">
        <v>35948</v>
      </c>
      <c r="F827" s="3" t="s">
        <v>18</v>
      </c>
      <c r="G827" s="3">
        <v>2</v>
      </c>
      <c r="H827" s="3">
        <v>24.95</v>
      </c>
      <c r="I827" s="3" t="s">
        <v>220</v>
      </c>
      <c r="J827" s="3" t="s">
        <v>221</v>
      </c>
      <c r="K827" s="3" t="s">
        <v>71</v>
      </c>
      <c r="L827" s="3" t="s">
        <v>18</v>
      </c>
      <c r="M827" s="3">
        <v>5033</v>
      </c>
      <c r="N827" s="3" t="s">
        <v>72</v>
      </c>
      <c r="O827" s="2"/>
      <c r="P827" t="str">
        <f t="shared" si="61"/>
        <v>Calle Dr. Jorge Cash 321</v>
      </c>
      <c r="Q827" t="str">
        <f t="shared" si="65"/>
        <v>México D.F.</v>
      </c>
      <c r="R827" t="str">
        <f t="shared" si="62"/>
        <v>NULL</v>
      </c>
      <c r="S827">
        <f t="shared" si="63"/>
        <v>5033</v>
      </c>
      <c r="T827" t="str">
        <f t="shared" si="64"/>
        <v>Mexico</v>
      </c>
    </row>
    <row r="828" spans="1:20" x14ac:dyDescent="0.2">
      <c r="A828" s="1">
        <v>11074</v>
      </c>
      <c r="B828" s="3" t="s">
        <v>253</v>
      </c>
      <c r="C828" s="3">
        <v>7</v>
      </c>
      <c r="D828" s="4">
        <v>35921</v>
      </c>
      <c r="E828" s="4">
        <v>35949</v>
      </c>
      <c r="F828" s="3" t="s">
        <v>18</v>
      </c>
      <c r="G828" s="3">
        <v>2</v>
      </c>
      <c r="H828" s="3">
        <v>18.440000000000001</v>
      </c>
      <c r="I828" s="3" t="s">
        <v>254</v>
      </c>
      <c r="J828" s="3" t="s">
        <v>255</v>
      </c>
      <c r="K828" s="3" t="s">
        <v>256</v>
      </c>
      <c r="L828" s="3" t="s">
        <v>18</v>
      </c>
      <c r="M828" s="3">
        <v>1734</v>
      </c>
      <c r="N828" s="3" t="s">
        <v>257</v>
      </c>
      <c r="O828" s="2"/>
      <c r="P828" t="str">
        <f t="shared" si="61"/>
        <v>Vinbæltet 34</v>
      </c>
      <c r="Q828" t="str">
        <f t="shared" si="65"/>
        <v>Kobenhavn</v>
      </c>
      <c r="R828" t="str">
        <f t="shared" si="62"/>
        <v>NULL</v>
      </c>
      <c r="S828">
        <f t="shared" si="63"/>
        <v>1734</v>
      </c>
      <c r="T828" t="str">
        <f t="shared" si="64"/>
        <v>Denmark</v>
      </c>
    </row>
    <row r="829" spans="1:20" x14ac:dyDescent="0.2">
      <c r="A829" s="1">
        <v>11075</v>
      </c>
      <c r="B829" s="3" t="s">
        <v>47</v>
      </c>
      <c r="C829" s="3">
        <v>8</v>
      </c>
      <c r="D829" s="4">
        <v>35921</v>
      </c>
      <c r="E829" s="4">
        <v>35949</v>
      </c>
      <c r="F829" s="3" t="s">
        <v>18</v>
      </c>
      <c r="G829" s="3">
        <v>2</v>
      </c>
      <c r="H829" s="3">
        <v>6.19</v>
      </c>
      <c r="I829" s="3" t="s">
        <v>48</v>
      </c>
      <c r="J829" s="3" t="s">
        <v>49</v>
      </c>
      <c r="K829" s="3" t="s">
        <v>50</v>
      </c>
      <c r="L829" s="3" t="s">
        <v>18</v>
      </c>
      <c r="M829" s="3">
        <v>1204</v>
      </c>
      <c r="N829" s="3" t="s">
        <v>46</v>
      </c>
      <c r="O829" s="2"/>
      <c r="P829" t="str">
        <f t="shared" si="61"/>
        <v>Starenweg 5</v>
      </c>
      <c r="Q829" t="str">
        <f t="shared" si="65"/>
        <v>Genève</v>
      </c>
      <c r="R829" t="str">
        <f t="shared" si="62"/>
        <v>NULL</v>
      </c>
      <c r="S829">
        <f t="shared" si="63"/>
        <v>1204</v>
      </c>
      <c r="T829" t="str">
        <f t="shared" si="64"/>
        <v>Switzerland</v>
      </c>
    </row>
    <row r="830" spans="1:20" x14ac:dyDescent="0.2">
      <c r="A830" s="1">
        <v>11076</v>
      </c>
      <c r="B830" s="3" t="s">
        <v>239</v>
      </c>
      <c r="C830" s="3">
        <v>4</v>
      </c>
      <c r="D830" s="4">
        <v>35921</v>
      </c>
      <c r="E830" s="4">
        <v>35949</v>
      </c>
      <c r="F830" s="3" t="s">
        <v>18</v>
      </c>
      <c r="G830" s="3">
        <v>2</v>
      </c>
      <c r="H830" s="3">
        <v>38.28</v>
      </c>
      <c r="I830" s="3" t="s">
        <v>240</v>
      </c>
      <c r="J830" s="3">
        <v>12</v>
      </c>
      <c r="K830" s="3" t="s">
        <v>241</v>
      </c>
      <c r="L830" s="3" t="s">
        <v>242</v>
      </c>
      <c r="M830" s="3" t="s">
        <v>18</v>
      </c>
      <c r="N830" s="3">
        <v>13008</v>
      </c>
      <c r="O830" s="3" t="s">
        <v>19</v>
      </c>
      <c r="P830" t="str">
        <f t="shared" si="61"/>
        <v>12  rue des Bouchers</v>
      </c>
      <c r="Q830" t="str">
        <f t="shared" si="65"/>
        <v>Marseille</v>
      </c>
      <c r="R830" t="str">
        <f t="shared" si="62"/>
        <v>NULL</v>
      </c>
      <c r="S830">
        <f t="shared" si="63"/>
        <v>13008</v>
      </c>
      <c r="T830" t="str">
        <f t="shared" si="64"/>
        <v>France</v>
      </c>
    </row>
    <row r="831" spans="1:20" x14ac:dyDescent="0.2">
      <c r="A831" s="1">
        <v>11077</v>
      </c>
      <c r="B831" s="3" t="s">
        <v>81</v>
      </c>
      <c r="C831" s="3">
        <v>1</v>
      </c>
      <c r="D831" s="4">
        <v>35921</v>
      </c>
      <c r="E831" s="4">
        <v>35949</v>
      </c>
      <c r="F831" s="3" t="s">
        <v>18</v>
      </c>
      <c r="G831" s="3">
        <v>2</v>
      </c>
      <c r="H831" s="3">
        <v>8.5299999999999994</v>
      </c>
      <c r="I831" s="3" t="s">
        <v>82</v>
      </c>
      <c r="J831" s="3" t="s">
        <v>83</v>
      </c>
      <c r="K831" s="3" t="s">
        <v>84</v>
      </c>
      <c r="L831" s="3" t="s">
        <v>85</v>
      </c>
      <c r="M831" s="3">
        <v>87110</v>
      </c>
      <c r="N831" s="3" t="s">
        <v>86</v>
      </c>
      <c r="O831" s="2"/>
      <c r="P831" t="str">
        <f t="shared" si="61"/>
        <v>2817 Milton Dr.</v>
      </c>
      <c r="Q831" t="str">
        <f t="shared" si="65"/>
        <v>Albuquerque</v>
      </c>
      <c r="R831" t="str">
        <f t="shared" si="62"/>
        <v>NM</v>
      </c>
      <c r="S831">
        <f t="shared" si="63"/>
        <v>87110</v>
      </c>
      <c r="T831" t="str">
        <f t="shared" si="64"/>
        <v>USA</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4BB6-A50F-5945-AC7F-C346CF0910D2}">
  <dimension ref="A1:N831"/>
  <sheetViews>
    <sheetView topLeftCell="D1" workbookViewId="0">
      <selection activeCell="K13" sqref="K13"/>
    </sheetView>
  </sheetViews>
  <sheetFormatPr baseColWidth="10" defaultRowHeight="16" x14ac:dyDescent="0.2"/>
  <cols>
    <col min="1" max="1" width="7.33203125" bestFit="1" customWidth="1"/>
    <col min="2" max="2" width="10.6640625" bestFit="1" customWidth="1"/>
    <col min="4" max="4" width="9.5" style="5" bestFit="1" customWidth="1"/>
    <col min="5" max="5" width="12" style="5" bestFit="1" customWidth="1"/>
    <col min="6" max="6" width="11.5" style="5" bestFit="1" customWidth="1"/>
    <col min="7" max="7" width="7" bestFit="1" customWidth="1"/>
    <col min="8" max="8" width="10.5" style="6" bestFit="1" customWidth="1"/>
    <col min="9" max="9" width="29.6640625" bestFit="1" customWidth="1"/>
    <col min="10" max="10" width="39" bestFit="1" customWidth="1"/>
    <col min="11" max="11" width="12.6640625" bestFit="1" customWidth="1"/>
    <col min="12" max="12" width="12.83203125" bestFit="1" customWidth="1"/>
    <col min="13" max="13" width="13.83203125" style="7" bestFit="1" customWidth="1"/>
    <col min="14" max="14" width="11" bestFit="1" customWidth="1"/>
  </cols>
  <sheetData>
    <row r="1" spans="1:14" x14ac:dyDescent="0.2">
      <c r="A1" t="s">
        <v>0</v>
      </c>
      <c r="B1" t="s">
        <v>1</v>
      </c>
      <c r="C1" t="s">
        <v>2</v>
      </c>
      <c r="D1" s="5" t="s">
        <v>3</v>
      </c>
      <c r="E1" s="5" t="s">
        <v>4</v>
      </c>
      <c r="F1" s="5" t="s">
        <v>5</v>
      </c>
      <c r="G1" t="s">
        <v>6</v>
      </c>
      <c r="H1" s="6" t="s">
        <v>7</v>
      </c>
      <c r="I1" t="s">
        <v>8</v>
      </c>
      <c r="J1" t="s">
        <v>9</v>
      </c>
      <c r="K1" t="s">
        <v>10</v>
      </c>
      <c r="L1" t="s">
        <v>11</v>
      </c>
      <c r="M1" s="7" t="s">
        <v>12</v>
      </c>
      <c r="N1" t="s">
        <v>13</v>
      </c>
    </row>
    <row r="2" spans="1:14" x14ac:dyDescent="0.2">
      <c r="A2">
        <v>10248</v>
      </c>
      <c r="B2" t="s">
        <v>14</v>
      </c>
      <c r="C2">
        <v>5</v>
      </c>
      <c r="D2" s="5">
        <v>35250</v>
      </c>
      <c r="E2" s="5">
        <v>35278</v>
      </c>
      <c r="F2" s="5">
        <v>35262</v>
      </c>
      <c r="G2">
        <v>3</v>
      </c>
      <c r="H2" s="6">
        <v>32.380000000000003</v>
      </c>
      <c r="I2" t="s">
        <v>15</v>
      </c>
      <c r="J2" t="s">
        <v>16</v>
      </c>
      <c r="K2" t="s">
        <v>17</v>
      </c>
      <c r="L2" t="s">
        <v>18</v>
      </c>
      <c r="M2" s="7">
        <v>51100</v>
      </c>
      <c r="N2" t="s">
        <v>19</v>
      </c>
    </row>
    <row r="3" spans="1:14" x14ac:dyDescent="0.2">
      <c r="A3">
        <v>10249</v>
      </c>
      <c r="B3" t="s">
        <v>20</v>
      </c>
      <c r="C3">
        <v>6</v>
      </c>
      <c r="D3" s="5">
        <v>35251</v>
      </c>
      <c r="E3" s="5">
        <v>35293</v>
      </c>
      <c r="F3" s="5">
        <v>35256</v>
      </c>
      <c r="G3">
        <v>1</v>
      </c>
      <c r="H3" s="6">
        <v>11.61</v>
      </c>
      <c r="I3" t="s">
        <v>21</v>
      </c>
      <c r="J3" t="s">
        <v>22</v>
      </c>
      <c r="K3" t="s">
        <v>23</v>
      </c>
      <c r="L3" t="s">
        <v>18</v>
      </c>
      <c r="M3" s="7">
        <v>44087</v>
      </c>
      <c r="N3" t="s">
        <v>24</v>
      </c>
    </row>
    <row r="4" spans="1:14" x14ac:dyDescent="0.2">
      <c r="A4">
        <v>10250</v>
      </c>
      <c r="B4" t="s">
        <v>25</v>
      </c>
      <c r="C4">
        <v>4</v>
      </c>
      <c r="D4" s="5">
        <v>35254</v>
      </c>
      <c r="E4" s="5">
        <v>35282</v>
      </c>
      <c r="F4" s="5">
        <v>35258</v>
      </c>
      <c r="G4">
        <v>2</v>
      </c>
      <c r="H4" s="6">
        <v>65.83</v>
      </c>
      <c r="I4" t="s">
        <v>26</v>
      </c>
      <c r="J4" t="s">
        <v>417</v>
      </c>
      <c r="K4" t="s">
        <v>28</v>
      </c>
      <c r="L4" t="s">
        <v>29</v>
      </c>
      <c r="M4" s="7" t="s">
        <v>30</v>
      </c>
      <c r="N4" t="s">
        <v>31</v>
      </c>
    </row>
    <row r="5" spans="1:14" x14ac:dyDescent="0.2">
      <c r="A5">
        <v>10251</v>
      </c>
      <c r="B5" t="s">
        <v>32</v>
      </c>
      <c r="C5">
        <v>3</v>
      </c>
      <c r="D5" s="5">
        <v>35254</v>
      </c>
      <c r="E5" s="5">
        <v>35282</v>
      </c>
      <c r="F5" s="5">
        <v>35261</v>
      </c>
      <c r="G5">
        <v>1</v>
      </c>
      <c r="H5" s="6">
        <v>41.34</v>
      </c>
      <c r="I5" t="s">
        <v>33</v>
      </c>
      <c r="J5" t="s">
        <v>418</v>
      </c>
      <c r="K5" t="s">
        <v>35</v>
      </c>
      <c r="L5" t="s">
        <v>18</v>
      </c>
      <c r="M5" s="7">
        <v>69004</v>
      </c>
      <c r="N5" t="s">
        <v>19</v>
      </c>
    </row>
    <row r="6" spans="1:14" x14ac:dyDescent="0.2">
      <c r="A6">
        <v>10252</v>
      </c>
      <c r="B6" t="s">
        <v>36</v>
      </c>
      <c r="C6">
        <v>4</v>
      </c>
      <c r="D6" s="5">
        <v>35255</v>
      </c>
      <c r="E6" s="5">
        <v>35283</v>
      </c>
      <c r="F6" s="5">
        <v>35257</v>
      </c>
      <c r="G6">
        <v>2</v>
      </c>
      <c r="H6" s="6">
        <v>51.3</v>
      </c>
      <c r="I6" t="s">
        <v>37</v>
      </c>
      <c r="J6" t="s">
        <v>419</v>
      </c>
      <c r="K6" t="s">
        <v>39</v>
      </c>
      <c r="L6" t="s">
        <v>18</v>
      </c>
      <c r="M6" s="7" t="s">
        <v>40</v>
      </c>
      <c r="N6" t="s">
        <v>41</v>
      </c>
    </row>
    <row r="7" spans="1:14" x14ac:dyDescent="0.2">
      <c r="A7">
        <v>10253</v>
      </c>
      <c r="B7" t="s">
        <v>25</v>
      </c>
      <c r="C7">
        <v>3</v>
      </c>
      <c r="D7" s="5">
        <v>35256</v>
      </c>
      <c r="E7" s="5">
        <v>35270</v>
      </c>
      <c r="F7" s="5">
        <v>35262</v>
      </c>
      <c r="G7">
        <v>2</v>
      </c>
      <c r="H7" s="6">
        <v>58.17</v>
      </c>
      <c r="I7" t="s">
        <v>26</v>
      </c>
      <c r="J7" t="s">
        <v>417</v>
      </c>
      <c r="K7" t="s">
        <v>28</v>
      </c>
      <c r="L7" t="s">
        <v>29</v>
      </c>
      <c r="M7" s="7" t="s">
        <v>30</v>
      </c>
      <c r="N7" t="s">
        <v>31</v>
      </c>
    </row>
    <row r="8" spans="1:14" x14ac:dyDescent="0.2">
      <c r="A8">
        <v>10254</v>
      </c>
      <c r="B8" t="s">
        <v>42</v>
      </c>
      <c r="C8">
        <v>5</v>
      </c>
      <c r="D8" s="5">
        <v>35257</v>
      </c>
      <c r="E8" s="5">
        <v>35285</v>
      </c>
      <c r="F8" s="5">
        <v>35269</v>
      </c>
      <c r="G8">
        <v>2</v>
      </c>
      <c r="H8" s="6">
        <v>22.98</v>
      </c>
      <c r="I8" t="s">
        <v>43</v>
      </c>
      <c r="J8" t="s">
        <v>44</v>
      </c>
      <c r="K8" t="s">
        <v>45</v>
      </c>
      <c r="L8" t="s">
        <v>18</v>
      </c>
      <c r="M8" s="7">
        <v>3012</v>
      </c>
      <c r="N8" t="s">
        <v>46</v>
      </c>
    </row>
    <row r="9" spans="1:14" x14ac:dyDescent="0.2">
      <c r="A9">
        <v>10255</v>
      </c>
      <c r="B9" t="s">
        <v>47</v>
      </c>
      <c r="C9">
        <v>9</v>
      </c>
      <c r="D9" s="5">
        <v>35258</v>
      </c>
      <c r="E9" s="5">
        <v>35286</v>
      </c>
      <c r="F9" s="5">
        <v>35261</v>
      </c>
      <c r="G9">
        <v>3</v>
      </c>
      <c r="H9" s="6">
        <v>148.33000000000001</v>
      </c>
      <c r="I9" t="s">
        <v>48</v>
      </c>
      <c r="J9" t="s">
        <v>49</v>
      </c>
      <c r="K9" t="s">
        <v>50</v>
      </c>
      <c r="L9" t="s">
        <v>18</v>
      </c>
      <c r="M9" s="7">
        <v>1204</v>
      </c>
      <c r="N9" t="s">
        <v>46</v>
      </c>
    </row>
    <row r="10" spans="1:14" x14ac:dyDescent="0.2">
      <c r="A10">
        <v>10256</v>
      </c>
      <c r="B10" t="s">
        <v>51</v>
      </c>
      <c r="C10">
        <v>3</v>
      </c>
      <c r="D10" s="5">
        <v>35261</v>
      </c>
      <c r="E10" s="5">
        <v>35289</v>
      </c>
      <c r="F10" s="5">
        <v>35263</v>
      </c>
      <c r="G10">
        <v>2</v>
      </c>
      <c r="H10" s="6">
        <v>13.97</v>
      </c>
      <c r="I10" t="s">
        <v>52</v>
      </c>
      <c r="J10" t="s">
        <v>420</v>
      </c>
      <c r="K10" t="s">
        <v>54</v>
      </c>
      <c r="L10" t="s">
        <v>55</v>
      </c>
      <c r="M10" s="7" t="s">
        <v>56</v>
      </c>
      <c r="N10" t="s">
        <v>31</v>
      </c>
    </row>
    <row r="11" spans="1:14" x14ac:dyDescent="0.2">
      <c r="A11">
        <v>10257</v>
      </c>
      <c r="B11" t="s">
        <v>57</v>
      </c>
      <c r="C11">
        <v>4</v>
      </c>
      <c r="D11" s="5">
        <v>35262</v>
      </c>
      <c r="E11" s="5">
        <v>35290</v>
      </c>
      <c r="F11" s="5">
        <v>35268</v>
      </c>
      <c r="G11">
        <v>3</v>
      </c>
      <c r="H11" s="6">
        <v>81.91</v>
      </c>
      <c r="I11" t="s">
        <v>58</v>
      </c>
      <c r="J11" t="s">
        <v>59</v>
      </c>
      <c r="K11" t="s">
        <v>60</v>
      </c>
      <c r="L11" t="s">
        <v>61</v>
      </c>
      <c r="M11" s="7">
        <v>5022</v>
      </c>
      <c r="N11" t="s">
        <v>62</v>
      </c>
    </row>
    <row r="12" spans="1:14" x14ac:dyDescent="0.2">
      <c r="A12">
        <v>10258</v>
      </c>
      <c r="B12" t="s">
        <v>63</v>
      </c>
      <c r="C12">
        <v>1</v>
      </c>
      <c r="D12" s="5">
        <v>35263</v>
      </c>
      <c r="E12" s="5">
        <v>35291</v>
      </c>
      <c r="F12" s="5">
        <v>35269</v>
      </c>
      <c r="G12">
        <v>1</v>
      </c>
      <c r="H12" s="6">
        <v>140.51</v>
      </c>
      <c r="I12" t="s">
        <v>64</v>
      </c>
      <c r="J12" t="s">
        <v>65</v>
      </c>
      <c r="K12" t="s">
        <v>66</v>
      </c>
      <c r="L12" t="s">
        <v>18</v>
      </c>
      <c r="M12" s="7">
        <v>8010</v>
      </c>
      <c r="N12" t="s">
        <v>67</v>
      </c>
    </row>
    <row r="13" spans="1:14" x14ac:dyDescent="0.2">
      <c r="A13">
        <v>10259</v>
      </c>
      <c r="B13" t="s">
        <v>68</v>
      </c>
      <c r="C13">
        <v>4</v>
      </c>
      <c r="D13" s="5">
        <v>35264</v>
      </c>
      <c r="E13" s="5">
        <v>35292</v>
      </c>
      <c r="F13" s="5">
        <v>35271</v>
      </c>
      <c r="G13">
        <v>3</v>
      </c>
      <c r="H13" s="6">
        <v>3.25</v>
      </c>
      <c r="I13" t="s">
        <v>69</v>
      </c>
      <c r="J13" t="s">
        <v>70</v>
      </c>
      <c r="K13" t="s">
        <v>71</v>
      </c>
      <c r="L13" t="s">
        <v>18</v>
      </c>
      <c r="M13" s="7">
        <v>5022</v>
      </c>
      <c r="N13" t="s">
        <v>72</v>
      </c>
    </row>
    <row r="14" spans="1:14" x14ac:dyDescent="0.2">
      <c r="A14">
        <v>10260</v>
      </c>
      <c r="B14" t="s">
        <v>73</v>
      </c>
      <c r="C14">
        <v>4</v>
      </c>
      <c r="D14" s="5">
        <v>35265</v>
      </c>
      <c r="E14" s="5">
        <v>35293</v>
      </c>
      <c r="F14" s="5">
        <v>35275</v>
      </c>
      <c r="G14">
        <v>1</v>
      </c>
      <c r="H14" s="6">
        <v>55.09</v>
      </c>
      <c r="I14" t="s">
        <v>74</v>
      </c>
      <c r="J14" t="s">
        <v>75</v>
      </c>
      <c r="K14" t="s">
        <v>76</v>
      </c>
      <c r="L14" t="s">
        <v>18</v>
      </c>
      <c r="M14" s="7">
        <v>50739</v>
      </c>
      <c r="N14" t="s">
        <v>24</v>
      </c>
    </row>
    <row r="15" spans="1:14" x14ac:dyDescent="0.2">
      <c r="A15">
        <v>10261</v>
      </c>
      <c r="B15" t="s">
        <v>77</v>
      </c>
      <c r="C15">
        <v>4</v>
      </c>
      <c r="D15" s="5">
        <v>35265</v>
      </c>
      <c r="E15" s="5">
        <v>35293</v>
      </c>
      <c r="F15" s="5">
        <v>35276</v>
      </c>
      <c r="G15">
        <v>2</v>
      </c>
      <c r="H15" s="6">
        <v>3.05</v>
      </c>
      <c r="I15" t="s">
        <v>78</v>
      </c>
      <c r="J15" t="s">
        <v>421</v>
      </c>
      <c r="K15" t="s">
        <v>28</v>
      </c>
      <c r="L15" t="s">
        <v>29</v>
      </c>
      <c r="M15" s="7" t="s">
        <v>80</v>
      </c>
      <c r="N15" t="s">
        <v>31</v>
      </c>
    </row>
    <row r="16" spans="1:14" x14ac:dyDescent="0.2">
      <c r="A16">
        <v>10262</v>
      </c>
      <c r="B16" t="s">
        <v>81</v>
      </c>
      <c r="C16">
        <v>8</v>
      </c>
      <c r="D16" s="5">
        <v>35268</v>
      </c>
      <c r="E16" s="5">
        <v>35296</v>
      </c>
      <c r="F16" s="5">
        <v>35271</v>
      </c>
      <c r="G16">
        <v>3</v>
      </c>
      <c r="H16" s="6">
        <v>48.29</v>
      </c>
      <c r="I16" t="s">
        <v>82</v>
      </c>
      <c r="J16" t="s">
        <v>83</v>
      </c>
      <c r="K16" t="s">
        <v>84</v>
      </c>
      <c r="L16" t="s">
        <v>85</v>
      </c>
      <c r="M16" s="7">
        <v>87110</v>
      </c>
      <c r="N16" t="s">
        <v>86</v>
      </c>
    </row>
    <row r="17" spans="1:14" x14ac:dyDescent="0.2">
      <c r="A17">
        <v>10263</v>
      </c>
      <c r="B17" t="s">
        <v>63</v>
      </c>
      <c r="C17">
        <v>9</v>
      </c>
      <c r="D17" s="5">
        <v>35269</v>
      </c>
      <c r="E17" s="5">
        <v>35297</v>
      </c>
      <c r="F17" s="5">
        <v>35277</v>
      </c>
      <c r="G17">
        <v>3</v>
      </c>
      <c r="H17" s="6">
        <v>146.06</v>
      </c>
      <c r="I17" t="s">
        <v>64</v>
      </c>
      <c r="J17" t="s">
        <v>65</v>
      </c>
      <c r="K17" t="s">
        <v>66</v>
      </c>
      <c r="L17" t="s">
        <v>18</v>
      </c>
      <c r="M17" s="7">
        <v>8010</v>
      </c>
      <c r="N17" t="s">
        <v>67</v>
      </c>
    </row>
    <row r="18" spans="1:14" x14ac:dyDescent="0.2">
      <c r="A18">
        <v>10264</v>
      </c>
      <c r="B18" t="s">
        <v>87</v>
      </c>
      <c r="C18">
        <v>6</v>
      </c>
      <c r="D18" s="5">
        <v>35270</v>
      </c>
      <c r="E18" s="5">
        <v>35298</v>
      </c>
      <c r="F18" s="5">
        <v>35300</v>
      </c>
      <c r="G18">
        <v>3</v>
      </c>
      <c r="H18" s="6">
        <v>3.67</v>
      </c>
      <c r="I18" t="s">
        <v>88</v>
      </c>
      <c r="J18" t="s">
        <v>89</v>
      </c>
      <c r="K18" t="s">
        <v>90</v>
      </c>
      <c r="L18" t="s">
        <v>18</v>
      </c>
      <c r="M18" s="7" t="s">
        <v>91</v>
      </c>
      <c r="N18" t="s">
        <v>92</v>
      </c>
    </row>
    <row r="19" spans="1:14" x14ac:dyDescent="0.2">
      <c r="A19">
        <v>10265</v>
      </c>
      <c r="B19" t="s">
        <v>93</v>
      </c>
      <c r="C19">
        <v>2</v>
      </c>
      <c r="D19" s="5">
        <v>35271</v>
      </c>
      <c r="E19" s="5">
        <v>35299</v>
      </c>
      <c r="F19" s="5">
        <v>35289</v>
      </c>
      <c r="G19">
        <v>1</v>
      </c>
      <c r="H19" s="6">
        <v>55.28</v>
      </c>
      <c r="I19" t="s">
        <v>94</v>
      </c>
      <c r="J19" t="s">
        <v>422</v>
      </c>
      <c r="K19" t="s">
        <v>96</v>
      </c>
      <c r="L19" t="s">
        <v>18</v>
      </c>
      <c r="M19" s="7">
        <v>67000</v>
      </c>
      <c r="N19" t="s">
        <v>19</v>
      </c>
    </row>
    <row r="20" spans="1:14" x14ac:dyDescent="0.2">
      <c r="A20">
        <v>10266</v>
      </c>
      <c r="B20" t="s">
        <v>97</v>
      </c>
      <c r="C20">
        <v>3</v>
      </c>
      <c r="D20" s="5">
        <v>35272</v>
      </c>
      <c r="E20" s="5">
        <v>35314</v>
      </c>
      <c r="F20" s="5">
        <v>35277</v>
      </c>
      <c r="G20">
        <v>3</v>
      </c>
      <c r="H20" s="6">
        <v>25.73</v>
      </c>
      <c r="I20" t="s">
        <v>98</v>
      </c>
      <c r="J20" t="s">
        <v>99</v>
      </c>
      <c r="K20" t="s">
        <v>100</v>
      </c>
      <c r="L20" t="s">
        <v>18</v>
      </c>
      <c r="M20" s="7">
        <v>90110</v>
      </c>
      <c r="N20" t="s">
        <v>101</v>
      </c>
    </row>
    <row r="21" spans="1:14" x14ac:dyDescent="0.2">
      <c r="A21">
        <v>10267</v>
      </c>
      <c r="B21" t="s">
        <v>102</v>
      </c>
      <c r="C21">
        <v>4</v>
      </c>
      <c r="D21" s="5">
        <v>35275</v>
      </c>
      <c r="E21" s="5">
        <v>35303</v>
      </c>
      <c r="F21" s="5">
        <v>35283</v>
      </c>
      <c r="G21">
        <v>1</v>
      </c>
      <c r="H21" s="6">
        <v>208.58</v>
      </c>
      <c r="I21" t="s">
        <v>103</v>
      </c>
      <c r="J21" t="s">
        <v>104</v>
      </c>
      <c r="K21" t="s">
        <v>105</v>
      </c>
      <c r="L21" t="s">
        <v>18</v>
      </c>
      <c r="M21" s="7">
        <v>80805</v>
      </c>
      <c r="N21" t="s">
        <v>24</v>
      </c>
    </row>
    <row r="22" spans="1:14" x14ac:dyDescent="0.2">
      <c r="A22">
        <v>10268</v>
      </c>
      <c r="B22" t="s">
        <v>106</v>
      </c>
      <c r="C22">
        <v>8</v>
      </c>
      <c r="D22" s="5">
        <v>35276</v>
      </c>
      <c r="E22" s="5">
        <v>35304</v>
      </c>
      <c r="F22" s="5">
        <v>35279</v>
      </c>
      <c r="G22">
        <v>3</v>
      </c>
      <c r="H22" s="6">
        <v>66.290000000000006</v>
      </c>
      <c r="I22" t="s">
        <v>107</v>
      </c>
      <c r="J22" t="s">
        <v>108</v>
      </c>
      <c r="K22" t="s">
        <v>109</v>
      </c>
      <c r="L22" t="s">
        <v>110</v>
      </c>
      <c r="M22" s="7">
        <v>1081</v>
      </c>
      <c r="N22" t="s">
        <v>62</v>
      </c>
    </row>
    <row r="23" spans="1:14" x14ac:dyDescent="0.2">
      <c r="A23">
        <v>10269</v>
      </c>
      <c r="B23" t="s">
        <v>111</v>
      </c>
      <c r="C23">
        <v>5</v>
      </c>
      <c r="D23" s="5">
        <v>35277</v>
      </c>
      <c r="E23" s="5">
        <v>35291</v>
      </c>
      <c r="F23" s="5">
        <v>35286</v>
      </c>
      <c r="G23">
        <v>1</v>
      </c>
      <c r="H23" s="6">
        <v>4.5599999999999996</v>
      </c>
      <c r="I23" t="s">
        <v>112</v>
      </c>
      <c r="J23" t="s">
        <v>113</v>
      </c>
      <c r="K23" t="s">
        <v>114</v>
      </c>
      <c r="L23" t="s">
        <v>115</v>
      </c>
      <c r="M23" s="7">
        <v>98124</v>
      </c>
      <c r="N23" t="s">
        <v>86</v>
      </c>
    </row>
    <row r="24" spans="1:14" x14ac:dyDescent="0.2">
      <c r="A24">
        <v>10270</v>
      </c>
      <c r="B24" t="s">
        <v>97</v>
      </c>
      <c r="C24">
        <v>1</v>
      </c>
      <c r="D24" s="5">
        <v>35278</v>
      </c>
      <c r="E24" s="5">
        <v>35306</v>
      </c>
      <c r="F24" s="5">
        <v>35279</v>
      </c>
      <c r="G24">
        <v>1</v>
      </c>
      <c r="H24" s="6">
        <v>136.54</v>
      </c>
      <c r="I24" t="s">
        <v>98</v>
      </c>
      <c r="J24" t="s">
        <v>99</v>
      </c>
      <c r="K24" t="s">
        <v>100</v>
      </c>
      <c r="L24" t="s">
        <v>18</v>
      </c>
      <c r="M24" s="7">
        <v>90110</v>
      </c>
      <c r="N24" t="s">
        <v>101</v>
      </c>
    </row>
    <row r="25" spans="1:14" x14ac:dyDescent="0.2">
      <c r="A25">
        <v>10271</v>
      </c>
      <c r="B25" t="s">
        <v>116</v>
      </c>
      <c r="C25">
        <v>6</v>
      </c>
      <c r="D25" s="5">
        <v>35278</v>
      </c>
      <c r="E25" s="5">
        <v>35306</v>
      </c>
      <c r="F25" s="5">
        <v>35307</v>
      </c>
      <c r="G25">
        <v>2</v>
      </c>
      <c r="H25" s="6">
        <v>4.54</v>
      </c>
      <c r="I25" t="s">
        <v>117</v>
      </c>
      <c r="J25" t="s">
        <v>118</v>
      </c>
      <c r="K25" t="s">
        <v>119</v>
      </c>
      <c r="L25" t="s">
        <v>120</v>
      </c>
      <c r="M25" s="7">
        <v>82520</v>
      </c>
      <c r="N25" t="s">
        <v>86</v>
      </c>
    </row>
    <row r="26" spans="1:14" x14ac:dyDescent="0.2">
      <c r="A26">
        <v>10272</v>
      </c>
      <c r="B26" t="s">
        <v>81</v>
      </c>
      <c r="C26">
        <v>6</v>
      </c>
      <c r="D26" s="5">
        <v>35279</v>
      </c>
      <c r="E26" s="5">
        <v>35307</v>
      </c>
      <c r="F26" s="5">
        <v>35283</v>
      </c>
      <c r="G26">
        <v>2</v>
      </c>
      <c r="H26" s="6">
        <v>98.03</v>
      </c>
      <c r="I26" t="s">
        <v>82</v>
      </c>
      <c r="J26" t="s">
        <v>83</v>
      </c>
      <c r="K26" t="s">
        <v>84</v>
      </c>
      <c r="L26" t="s">
        <v>85</v>
      </c>
      <c r="M26" s="7">
        <v>87110</v>
      </c>
      <c r="N26" t="s">
        <v>86</v>
      </c>
    </row>
    <row r="27" spans="1:14" x14ac:dyDescent="0.2">
      <c r="A27">
        <v>10273</v>
      </c>
      <c r="B27" t="s">
        <v>121</v>
      </c>
      <c r="C27">
        <v>3</v>
      </c>
      <c r="D27" s="5">
        <v>35282</v>
      </c>
      <c r="E27" s="5">
        <v>35310</v>
      </c>
      <c r="F27" s="5">
        <v>35289</v>
      </c>
      <c r="G27">
        <v>3</v>
      </c>
      <c r="H27" s="6">
        <v>76.069999999999993</v>
      </c>
      <c r="I27" t="s">
        <v>122</v>
      </c>
      <c r="J27" t="s">
        <v>123</v>
      </c>
      <c r="K27" t="s">
        <v>124</v>
      </c>
      <c r="L27" t="s">
        <v>18</v>
      </c>
      <c r="M27" s="7">
        <v>1307</v>
      </c>
      <c r="N27" t="s">
        <v>24</v>
      </c>
    </row>
    <row r="28" spans="1:14" x14ac:dyDescent="0.2">
      <c r="A28">
        <v>10274</v>
      </c>
      <c r="B28" t="s">
        <v>14</v>
      </c>
      <c r="C28">
        <v>6</v>
      </c>
      <c r="D28" s="5">
        <v>35283</v>
      </c>
      <c r="E28" s="5">
        <v>35311</v>
      </c>
      <c r="F28" s="5">
        <v>35293</v>
      </c>
      <c r="G28">
        <v>1</v>
      </c>
      <c r="H28" s="6">
        <v>6.01</v>
      </c>
      <c r="I28" t="s">
        <v>15</v>
      </c>
      <c r="J28" t="s">
        <v>16</v>
      </c>
      <c r="K28" t="s">
        <v>17</v>
      </c>
      <c r="L28" t="s">
        <v>18</v>
      </c>
      <c r="M28" s="7">
        <v>51100</v>
      </c>
      <c r="N28" t="s">
        <v>19</v>
      </c>
    </row>
    <row r="29" spans="1:14" x14ac:dyDescent="0.2">
      <c r="A29">
        <v>10275</v>
      </c>
      <c r="B29" t="s">
        <v>125</v>
      </c>
      <c r="C29">
        <v>1</v>
      </c>
      <c r="D29" s="5">
        <v>35284</v>
      </c>
      <c r="E29" s="5">
        <v>35312</v>
      </c>
      <c r="F29" s="5">
        <v>35286</v>
      </c>
      <c r="G29">
        <v>1</v>
      </c>
      <c r="H29" s="6">
        <v>26.93</v>
      </c>
      <c r="I29" t="s">
        <v>126</v>
      </c>
      <c r="J29" t="s">
        <v>127</v>
      </c>
      <c r="K29" t="s">
        <v>128</v>
      </c>
      <c r="L29" t="s">
        <v>18</v>
      </c>
      <c r="M29" s="7">
        <v>24100</v>
      </c>
      <c r="N29" t="s">
        <v>129</v>
      </c>
    </row>
    <row r="30" spans="1:14" x14ac:dyDescent="0.2">
      <c r="A30">
        <v>10276</v>
      </c>
      <c r="B30" t="s">
        <v>130</v>
      </c>
      <c r="C30">
        <v>8</v>
      </c>
      <c r="D30" s="5">
        <v>35285</v>
      </c>
      <c r="E30" s="5">
        <v>35299</v>
      </c>
      <c r="F30" s="5">
        <v>35291</v>
      </c>
      <c r="G30">
        <v>3</v>
      </c>
      <c r="H30" s="6">
        <v>13.84</v>
      </c>
      <c r="I30" t="s">
        <v>131</v>
      </c>
      <c r="J30" t="s">
        <v>132</v>
      </c>
      <c r="K30" t="s">
        <v>71</v>
      </c>
      <c r="L30" t="s">
        <v>18</v>
      </c>
      <c r="M30" s="7">
        <v>5033</v>
      </c>
      <c r="N30" t="s">
        <v>72</v>
      </c>
    </row>
    <row r="31" spans="1:14" x14ac:dyDescent="0.2">
      <c r="A31">
        <v>10277</v>
      </c>
      <c r="B31" t="s">
        <v>133</v>
      </c>
      <c r="C31">
        <v>2</v>
      </c>
      <c r="D31" s="5">
        <v>35286</v>
      </c>
      <c r="E31" s="5">
        <v>35314</v>
      </c>
      <c r="F31" s="5">
        <v>35290</v>
      </c>
      <c r="G31">
        <v>3</v>
      </c>
      <c r="H31" s="6">
        <v>125.77</v>
      </c>
      <c r="I31" t="s">
        <v>134</v>
      </c>
      <c r="J31" t="s">
        <v>135</v>
      </c>
      <c r="K31" t="s">
        <v>136</v>
      </c>
      <c r="L31" t="s">
        <v>18</v>
      </c>
      <c r="M31" s="7">
        <v>4179</v>
      </c>
      <c r="N31" t="s">
        <v>24</v>
      </c>
    </row>
    <row r="32" spans="1:14" x14ac:dyDescent="0.2">
      <c r="A32">
        <v>10278</v>
      </c>
      <c r="B32" t="s">
        <v>137</v>
      </c>
      <c r="C32">
        <v>8</v>
      </c>
      <c r="D32" s="5">
        <v>35289</v>
      </c>
      <c r="E32" s="5">
        <v>35317</v>
      </c>
      <c r="F32" s="5">
        <v>35293</v>
      </c>
      <c r="G32">
        <v>2</v>
      </c>
      <c r="H32" s="6">
        <v>92.69</v>
      </c>
      <c r="I32" t="s">
        <v>138</v>
      </c>
      <c r="J32" t="s">
        <v>139</v>
      </c>
      <c r="K32" t="s">
        <v>140</v>
      </c>
      <c r="L32" t="s">
        <v>18</v>
      </c>
      <c r="M32" s="7" t="s">
        <v>141</v>
      </c>
      <c r="N32" t="s">
        <v>92</v>
      </c>
    </row>
    <row r="33" spans="1:14" x14ac:dyDescent="0.2">
      <c r="A33">
        <v>10279</v>
      </c>
      <c r="B33" t="s">
        <v>142</v>
      </c>
      <c r="C33">
        <v>8</v>
      </c>
      <c r="D33" s="5">
        <v>35290</v>
      </c>
      <c r="E33" s="5">
        <v>35318</v>
      </c>
      <c r="F33" s="5">
        <v>35293</v>
      </c>
      <c r="G33">
        <v>2</v>
      </c>
      <c r="H33" s="6">
        <v>25.83</v>
      </c>
      <c r="I33" t="s">
        <v>143</v>
      </c>
      <c r="J33" t="s">
        <v>144</v>
      </c>
      <c r="K33" t="s">
        <v>145</v>
      </c>
      <c r="L33" t="s">
        <v>18</v>
      </c>
      <c r="M33" s="7">
        <v>60528</v>
      </c>
      <c r="N33" t="s">
        <v>24</v>
      </c>
    </row>
    <row r="34" spans="1:14" x14ac:dyDescent="0.2">
      <c r="A34">
        <v>10280</v>
      </c>
      <c r="B34" t="s">
        <v>137</v>
      </c>
      <c r="C34">
        <v>2</v>
      </c>
      <c r="D34" s="5">
        <v>35291</v>
      </c>
      <c r="E34" s="5">
        <v>35319</v>
      </c>
      <c r="F34" s="5">
        <v>35320</v>
      </c>
      <c r="G34">
        <v>1</v>
      </c>
      <c r="H34" s="6">
        <v>8.98</v>
      </c>
      <c r="I34" t="s">
        <v>138</v>
      </c>
      <c r="J34" t="s">
        <v>139</v>
      </c>
      <c r="K34" t="s">
        <v>140</v>
      </c>
      <c r="L34" t="s">
        <v>18</v>
      </c>
      <c r="M34" s="7" t="s">
        <v>141</v>
      </c>
      <c r="N34" t="s">
        <v>92</v>
      </c>
    </row>
    <row r="35" spans="1:14" x14ac:dyDescent="0.2">
      <c r="A35">
        <v>10281</v>
      </c>
      <c r="B35" t="s">
        <v>146</v>
      </c>
      <c r="C35">
        <v>4</v>
      </c>
      <c r="D35" s="5">
        <v>35291</v>
      </c>
      <c r="E35" s="5">
        <v>35305</v>
      </c>
      <c r="F35" s="5">
        <v>35298</v>
      </c>
      <c r="G35">
        <v>1</v>
      </c>
      <c r="H35" s="6">
        <v>2.94</v>
      </c>
      <c r="I35" t="s">
        <v>147</v>
      </c>
      <c r="J35" t="s">
        <v>423</v>
      </c>
      <c r="K35" t="s">
        <v>149</v>
      </c>
      <c r="L35" t="s">
        <v>18</v>
      </c>
      <c r="M35" s="7">
        <v>28001</v>
      </c>
      <c r="N35" t="s">
        <v>150</v>
      </c>
    </row>
    <row r="36" spans="1:14" x14ac:dyDescent="0.2">
      <c r="A36">
        <v>10282</v>
      </c>
      <c r="B36" t="s">
        <v>146</v>
      </c>
      <c r="C36">
        <v>4</v>
      </c>
      <c r="D36" s="5">
        <v>35292</v>
      </c>
      <c r="E36" s="5">
        <v>35320</v>
      </c>
      <c r="F36" s="5">
        <v>35298</v>
      </c>
      <c r="G36">
        <v>1</v>
      </c>
      <c r="H36" s="6">
        <v>12.69</v>
      </c>
      <c r="I36" t="s">
        <v>147</v>
      </c>
      <c r="J36" t="s">
        <v>423</v>
      </c>
      <c r="K36" t="s">
        <v>149</v>
      </c>
      <c r="L36" t="s">
        <v>18</v>
      </c>
      <c r="M36" s="7">
        <v>28001</v>
      </c>
      <c r="N36" t="s">
        <v>150</v>
      </c>
    </row>
    <row r="37" spans="1:14" x14ac:dyDescent="0.2">
      <c r="A37">
        <v>10283</v>
      </c>
      <c r="B37" t="s">
        <v>151</v>
      </c>
      <c r="C37">
        <v>3</v>
      </c>
      <c r="D37" s="5">
        <v>35293</v>
      </c>
      <c r="E37" s="5">
        <v>35321</v>
      </c>
      <c r="F37" s="5">
        <v>35300</v>
      </c>
      <c r="G37">
        <v>3</v>
      </c>
      <c r="H37" s="6">
        <v>84.81</v>
      </c>
      <c r="I37" t="s">
        <v>152</v>
      </c>
      <c r="J37" t="s">
        <v>153</v>
      </c>
      <c r="K37" t="s">
        <v>154</v>
      </c>
      <c r="L37" t="s">
        <v>155</v>
      </c>
      <c r="M37" s="7">
        <v>3508</v>
      </c>
      <c r="N37" t="s">
        <v>62</v>
      </c>
    </row>
    <row r="38" spans="1:14" x14ac:dyDescent="0.2">
      <c r="A38">
        <v>10284</v>
      </c>
      <c r="B38" t="s">
        <v>142</v>
      </c>
      <c r="C38">
        <v>4</v>
      </c>
      <c r="D38" s="5">
        <v>35296</v>
      </c>
      <c r="E38" s="5">
        <v>35324</v>
      </c>
      <c r="F38" s="5">
        <v>35304</v>
      </c>
      <c r="G38">
        <v>1</v>
      </c>
      <c r="H38" s="6">
        <v>76.56</v>
      </c>
      <c r="I38" t="s">
        <v>143</v>
      </c>
      <c r="J38" t="s">
        <v>144</v>
      </c>
      <c r="K38" t="s">
        <v>145</v>
      </c>
      <c r="L38" t="s">
        <v>18</v>
      </c>
      <c r="M38" s="7">
        <v>60528</v>
      </c>
      <c r="N38" t="s">
        <v>24</v>
      </c>
    </row>
    <row r="39" spans="1:14" x14ac:dyDescent="0.2">
      <c r="A39">
        <v>10285</v>
      </c>
      <c r="B39" t="s">
        <v>121</v>
      </c>
      <c r="C39">
        <v>1</v>
      </c>
      <c r="D39" s="5">
        <v>35297</v>
      </c>
      <c r="E39" s="5">
        <v>35325</v>
      </c>
      <c r="F39" s="5">
        <v>35303</v>
      </c>
      <c r="G39">
        <v>2</v>
      </c>
      <c r="H39" s="6">
        <v>76.83</v>
      </c>
      <c r="I39" t="s">
        <v>122</v>
      </c>
      <c r="J39" t="s">
        <v>123</v>
      </c>
      <c r="K39" t="s">
        <v>124</v>
      </c>
      <c r="L39" t="s">
        <v>18</v>
      </c>
      <c r="M39" s="7">
        <v>1307</v>
      </c>
      <c r="N39" t="s">
        <v>24</v>
      </c>
    </row>
    <row r="40" spans="1:14" x14ac:dyDescent="0.2">
      <c r="A40">
        <v>10286</v>
      </c>
      <c r="B40" t="s">
        <v>121</v>
      </c>
      <c r="C40">
        <v>8</v>
      </c>
      <c r="D40" s="5">
        <v>35298</v>
      </c>
      <c r="E40" s="5">
        <v>35326</v>
      </c>
      <c r="F40" s="5">
        <v>35307</v>
      </c>
      <c r="G40">
        <v>3</v>
      </c>
      <c r="H40" s="6">
        <v>229.24</v>
      </c>
      <c r="I40" t="s">
        <v>122</v>
      </c>
      <c r="J40" t="s">
        <v>123</v>
      </c>
      <c r="K40" t="s">
        <v>124</v>
      </c>
      <c r="L40" t="s">
        <v>18</v>
      </c>
      <c r="M40" s="7">
        <v>1307</v>
      </c>
      <c r="N40" t="s">
        <v>24</v>
      </c>
    </row>
    <row r="41" spans="1:14" x14ac:dyDescent="0.2">
      <c r="A41">
        <v>10287</v>
      </c>
      <c r="B41" t="s">
        <v>156</v>
      </c>
      <c r="C41">
        <v>8</v>
      </c>
      <c r="D41" s="5">
        <v>35299</v>
      </c>
      <c r="E41" s="5">
        <v>35327</v>
      </c>
      <c r="F41" s="5">
        <v>35305</v>
      </c>
      <c r="G41">
        <v>3</v>
      </c>
      <c r="H41" s="6">
        <v>12.76</v>
      </c>
      <c r="I41" t="s">
        <v>157</v>
      </c>
      <c r="J41" t="s">
        <v>424</v>
      </c>
      <c r="K41" t="s">
        <v>28</v>
      </c>
      <c r="L41" t="s">
        <v>29</v>
      </c>
      <c r="M41" s="7" t="s">
        <v>159</v>
      </c>
      <c r="N41" t="s">
        <v>31</v>
      </c>
    </row>
    <row r="42" spans="1:14" x14ac:dyDescent="0.2">
      <c r="A42">
        <v>10288</v>
      </c>
      <c r="B42" t="s">
        <v>160</v>
      </c>
      <c r="C42">
        <v>4</v>
      </c>
      <c r="D42" s="5">
        <v>35300</v>
      </c>
      <c r="E42" s="5">
        <v>35328</v>
      </c>
      <c r="F42" s="5">
        <v>35311</v>
      </c>
      <c r="G42">
        <v>1</v>
      </c>
      <c r="H42" s="6">
        <v>7.45</v>
      </c>
      <c r="I42" t="s">
        <v>161</v>
      </c>
      <c r="J42" t="s">
        <v>162</v>
      </c>
      <c r="K42" t="s">
        <v>163</v>
      </c>
      <c r="L42" t="s">
        <v>18</v>
      </c>
      <c r="M42" s="7">
        <v>42100</v>
      </c>
      <c r="N42" t="s">
        <v>129</v>
      </c>
    </row>
    <row r="43" spans="1:14" x14ac:dyDescent="0.2">
      <c r="A43">
        <v>10289</v>
      </c>
      <c r="B43" t="s">
        <v>164</v>
      </c>
      <c r="C43">
        <v>7</v>
      </c>
      <c r="D43" s="5">
        <v>35303</v>
      </c>
      <c r="E43" s="5">
        <v>35331</v>
      </c>
      <c r="F43" s="5">
        <v>35305</v>
      </c>
      <c r="G43">
        <v>3</v>
      </c>
      <c r="H43" s="6">
        <v>22.77</v>
      </c>
      <c r="I43" t="s">
        <v>165</v>
      </c>
      <c r="J43" t="s">
        <v>166</v>
      </c>
      <c r="K43" t="s">
        <v>167</v>
      </c>
      <c r="L43" t="s">
        <v>18</v>
      </c>
      <c r="M43" s="7" t="s">
        <v>168</v>
      </c>
      <c r="N43" t="s">
        <v>169</v>
      </c>
    </row>
    <row r="44" spans="1:14" x14ac:dyDescent="0.2">
      <c r="A44">
        <v>10290</v>
      </c>
      <c r="B44" t="s">
        <v>170</v>
      </c>
      <c r="C44">
        <v>8</v>
      </c>
      <c r="D44" s="5">
        <v>35304</v>
      </c>
      <c r="E44" s="5">
        <v>35332</v>
      </c>
      <c r="F44" s="5">
        <v>35311</v>
      </c>
      <c r="G44">
        <v>1</v>
      </c>
      <c r="H44" s="6">
        <v>79.7</v>
      </c>
      <c r="I44" t="s">
        <v>171</v>
      </c>
      <c r="J44" t="s">
        <v>425</v>
      </c>
      <c r="K44" t="s">
        <v>173</v>
      </c>
      <c r="L44" t="s">
        <v>55</v>
      </c>
      <c r="M44" s="7" t="s">
        <v>174</v>
      </c>
      <c r="N44" t="s">
        <v>31</v>
      </c>
    </row>
    <row r="45" spans="1:14" x14ac:dyDescent="0.2">
      <c r="A45">
        <v>10291</v>
      </c>
      <c r="B45" t="s">
        <v>77</v>
      </c>
      <c r="C45">
        <v>6</v>
      </c>
      <c r="D45" s="5">
        <v>35304</v>
      </c>
      <c r="E45" s="5">
        <v>35332</v>
      </c>
      <c r="F45" s="5">
        <v>35312</v>
      </c>
      <c r="G45">
        <v>2</v>
      </c>
      <c r="H45" s="6">
        <v>6.4</v>
      </c>
      <c r="I45" t="s">
        <v>78</v>
      </c>
      <c r="J45" t="s">
        <v>421</v>
      </c>
      <c r="K45" t="s">
        <v>28</v>
      </c>
      <c r="L45" t="s">
        <v>29</v>
      </c>
      <c r="M45" s="7" t="s">
        <v>80</v>
      </c>
      <c r="N45" t="s">
        <v>31</v>
      </c>
    </row>
    <row r="46" spans="1:14" x14ac:dyDescent="0.2">
      <c r="A46">
        <v>10292</v>
      </c>
      <c r="B46" t="s">
        <v>175</v>
      </c>
      <c r="C46">
        <v>1</v>
      </c>
      <c r="D46" s="5">
        <v>35305</v>
      </c>
      <c r="E46" s="5">
        <v>35333</v>
      </c>
      <c r="F46" s="5">
        <v>35310</v>
      </c>
      <c r="G46">
        <v>2</v>
      </c>
      <c r="H46" s="6">
        <v>1.35</v>
      </c>
      <c r="I46" t="s">
        <v>176</v>
      </c>
      <c r="J46" t="s">
        <v>426</v>
      </c>
      <c r="K46" t="s">
        <v>173</v>
      </c>
      <c r="L46" t="s">
        <v>55</v>
      </c>
      <c r="M46" s="7" t="s">
        <v>178</v>
      </c>
      <c r="N46" t="s">
        <v>31</v>
      </c>
    </row>
    <row r="47" spans="1:14" x14ac:dyDescent="0.2">
      <c r="A47">
        <v>10293</v>
      </c>
      <c r="B47" t="s">
        <v>130</v>
      </c>
      <c r="C47">
        <v>1</v>
      </c>
      <c r="D47" s="5">
        <v>35306</v>
      </c>
      <c r="E47" s="5">
        <v>35334</v>
      </c>
      <c r="F47" s="5">
        <v>35319</v>
      </c>
      <c r="G47">
        <v>3</v>
      </c>
      <c r="H47" s="6">
        <v>21.18</v>
      </c>
      <c r="I47" t="s">
        <v>131</v>
      </c>
      <c r="J47" t="s">
        <v>132</v>
      </c>
      <c r="K47" t="s">
        <v>71</v>
      </c>
      <c r="L47" t="s">
        <v>18</v>
      </c>
      <c r="M47" s="7">
        <v>5033</v>
      </c>
      <c r="N47" t="s">
        <v>72</v>
      </c>
    </row>
    <row r="48" spans="1:14" x14ac:dyDescent="0.2">
      <c r="A48">
        <v>10294</v>
      </c>
      <c r="B48" t="s">
        <v>81</v>
      </c>
      <c r="C48">
        <v>4</v>
      </c>
      <c r="D48" s="5">
        <v>35307</v>
      </c>
      <c r="E48" s="5">
        <v>35335</v>
      </c>
      <c r="F48" s="5">
        <v>35313</v>
      </c>
      <c r="G48">
        <v>2</v>
      </c>
      <c r="H48" s="6">
        <v>147.26</v>
      </c>
      <c r="I48" t="s">
        <v>82</v>
      </c>
      <c r="J48" t="s">
        <v>83</v>
      </c>
      <c r="K48" t="s">
        <v>84</v>
      </c>
      <c r="L48" t="s">
        <v>85</v>
      </c>
      <c r="M48" s="7">
        <v>87110</v>
      </c>
      <c r="N48" t="s">
        <v>86</v>
      </c>
    </row>
    <row r="49" spans="1:14" x14ac:dyDescent="0.2">
      <c r="A49">
        <v>10295</v>
      </c>
      <c r="B49" t="s">
        <v>14</v>
      </c>
      <c r="C49">
        <v>2</v>
      </c>
      <c r="D49" s="5">
        <v>35310</v>
      </c>
      <c r="E49" s="5">
        <v>35338</v>
      </c>
      <c r="F49" s="5">
        <v>35318</v>
      </c>
      <c r="G49">
        <v>2</v>
      </c>
      <c r="H49" s="6">
        <v>1.1499999999999999</v>
      </c>
      <c r="I49" t="s">
        <v>15</v>
      </c>
      <c r="J49" t="s">
        <v>16</v>
      </c>
      <c r="K49" t="s">
        <v>17</v>
      </c>
      <c r="L49" t="s">
        <v>18</v>
      </c>
      <c r="M49" s="7">
        <v>51100</v>
      </c>
      <c r="N49" t="s">
        <v>19</v>
      </c>
    </row>
    <row r="50" spans="1:14" x14ac:dyDescent="0.2">
      <c r="A50">
        <v>10296</v>
      </c>
      <c r="B50" t="s">
        <v>151</v>
      </c>
      <c r="C50">
        <v>6</v>
      </c>
      <c r="D50" s="5">
        <v>35311</v>
      </c>
      <c r="E50" s="5">
        <v>35339</v>
      </c>
      <c r="F50" s="5">
        <v>35319</v>
      </c>
      <c r="G50">
        <v>1</v>
      </c>
      <c r="H50" s="6">
        <v>0.12</v>
      </c>
      <c r="I50" t="s">
        <v>152</v>
      </c>
      <c r="J50" t="s">
        <v>153</v>
      </c>
      <c r="K50" t="s">
        <v>154</v>
      </c>
      <c r="L50" t="s">
        <v>155</v>
      </c>
      <c r="M50" s="7">
        <v>3508</v>
      </c>
      <c r="N50" t="s">
        <v>62</v>
      </c>
    </row>
    <row r="51" spans="1:14" x14ac:dyDescent="0.2">
      <c r="A51">
        <v>10297</v>
      </c>
      <c r="B51" t="s">
        <v>93</v>
      </c>
      <c r="C51">
        <v>5</v>
      </c>
      <c r="D51" s="5">
        <v>35312</v>
      </c>
      <c r="E51" s="5">
        <v>35354</v>
      </c>
      <c r="F51" s="5">
        <v>35318</v>
      </c>
      <c r="G51">
        <v>2</v>
      </c>
      <c r="H51" s="6">
        <v>5.74</v>
      </c>
      <c r="I51" t="s">
        <v>94</v>
      </c>
      <c r="J51" t="s">
        <v>422</v>
      </c>
      <c r="K51" t="s">
        <v>96</v>
      </c>
      <c r="L51" t="s">
        <v>18</v>
      </c>
      <c r="M51" s="7">
        <v>67000</v>
      </c>
      <c r="N51" t="s">
        <v>19</v>
      </c>
    </row>
    <row r="52" spans="1:14" x14ac:dyDescent="0.2">
      <c r="A52">
        <v>10298</v>
      </c>
      <c r="B52" t="s">
        <v>179</v>
      </c>
      <c r="C52">
        <v>6</v>
      </c>
      <c r="D52" s="5">
        <v>35313</v>
      </c>
      <c r="E52" s="5">
        <v>35341</v>
      </c>
      <c r="F52" s="5">
        <v>35319</v>
      </c>
      <c r="G52">
        <v>2</v>
      </c>
      <c r="H52" s="6">
        <v>168.22</v>
      </c>
      <c r="I52" t="s">
        <v>180</v>
      </c>
      <c r="J52" t="s">
        <v>181</v>
      </c>
      <c r="K52" t="s">
        <v>182</v>
      </c>
      <c r="L52" t="s">
        <v>183</v>
      </c>
      <c r="M52" s="7" t="s">
        <v>18</v>
      </c>
      <c r="N52" t="s">
        <v>184</v>
      </c>
    </row>
    <row r="53" spans="1:14" x14ac:dyDescent="0.2">
      <c r="A53">
        <v>10299</v>
      </c>
      <c r="B53" t="s">
        <v>156</v>
      </c>
      <c r="C53">
        <v>4</v>
      </c>
      <c r="D53" s="5">
        <v>35314</v>
      </c>
      <c r="E53" s="5">
        <v>35342</v>
      </c>
      <c r="F53" s="5">
        <v>35321</v>
      </c>
      <c r="G53">
        <v>2</v>
      </c>
      <c r="H53" s="6">
        <v>29.76</v>
      </c>
      <c r="I53" t="s">
        <v>157</v>
      </c>
      <c r="J53" t="s">
        <v>424</v>
      </c>
      <c r="K53" t="s">
        <v>28</v>
      </c>
      <c r="L53" t="s">
        <v>29</v>
      </c>
      <c r="M53" s="7" t="s">
        <v>159</v>
      </c>
      <c r="N53" t="s">
        <v>31</v>
      </c>
    </row>
    <row r="54" spans="1:14" x14ac:dyDescent="0.2">
      <c r="A54">
        <v>10300</v>
      </c>
      <c r="B54" t="s">
        <v>125</v>
      </c>
      <c r="C54">
        <v>2</v>
      </c>
      <c r="D54" s="5">
        <v>35317</v>
      </c>
      <c r="E54" s="5">
        <v>35345</v>
      </c>
      <c r="F54" s="5">
        <v>35326</v>
      </c>
      <c r="G54">
        <v>2</v>
      </c>
      <c r="H54" s="6">
        <v>17.68</v>
      </c>
      <c r="I54" t="s">
        <v>126</v>
      </c>
      <c r="J54" t="s">
        <v>127</v>
      </c>
      <c r="K54" t="s">
        <v>128</v>
      </c>
      <c r="L54" t="s">
        <v>18</v>
      </c>
      <c r="M54" s="7">
        <v>24100</v>
      </c>
      <c r="N54" t="s">
        <v>129</v>
      </c>
    </row>
    <row r="55" spans="1:14" x14ac:dyDescent="0.2">
      <c r="A55">
        <v>10301</v>
      </c>
      <c r="B55" t="s">
        <v>185</v>
      </c>
      <c r="C55">
        <v>8</v>
      </c>
      <c r="D55" s="5">
        <v>35317</v>
      </c>
      <c r="E55" s="5">
        <v>35345</v>
      </c>
      <c r="F55" s="5">
        <v>35325</v>
      </c>
      <c r="G55">
        <v>2</v>
      </c>
      <c r="H55" s="6">
        <v>45.08</v>
      </c>
      <c r="I55" t="s">
        <v>186</v>
      </c>
      <c r="J55" t="s">
        <v>187</v>
      </c>
      <c r="K55" t="s">
        <v>188</v>
      </c>
      <c r="L55" t="s">
        <v>18</v>
      </c>
      <c r="M55" s="7">
        <v>70563</v>
      </c>
      <c r="N55" t="s">
        <v>24</v>
      </c>
    </row>
    <row r="56" spans="1:14" x14ac:dyDescent="0.2">
      <c r="A56">
        <v>10302</v>
      </c>
      <c r="B56" t="s">
        <v>36</v>
      </c>
      <c r="C56">
        <v>4</v>
      </c>
      <c r="D56" s="5">
        <v>35318</v>
      </c>
      <c r="E56" s="5">
        <v>35346</v>
      </c>
      <c r="F56" s="5">
        <v>35347</v>
      </c>
      <c r="G56">
        <v>2</v>
      </c>
      <c r="H56" s="6">
        <v>6.27</v>
      </c>
      <c r="I56" t="s">
        <v>37</v>
      </c>
      <c r="J56" t="s">
        <v>419</v>
      </c>
      <c r="K56" t="s">
        <v>39</v>
      </c>
      <c r="L56" t="s">
        <v>18</v>
      </c>
      <c r="M56" s="7" t="s">
        <v>40</v>
      </c>
      <c r="N56" t="s">
        <v>41</v>
      </c>
    </row>
    <row r="57" spans="1:14" x14ac:dyDescent="0.2">
      <c r="A57">
        <v>10303</v>
      </c>
      <c r="B57" t="s">
        <v>189</v>
      </c>
      <c r="C57">
        <v>7</v>
      </c>
      <c r="D57" s="5">
        <v>35319</v>
      </c>
      <c r="E57" s="5">
        <v>35347</v>
      </c>
      <c r="F57" s="5">
        <v>35326</v>
      </c>
      <c r="G57">
        <v>2</v>
      </c>
      <c r="H57" s="6">
        <v>107.83</v>
      </c>
      <c r="I57" t="s">
        <v>190</v>
      </c>
      <c r="J57" t="s">
        <v>427</v>
      </c>
      <c r="K57" t="s">
        <v>192</v>
      </c>
      <c r="L57" t="s">
        <v>18</v>
      </c>
      <c r="M57" s="7">
        <v>41101</v>
      </c>
      <c r="N57" t="s">
        <v>150</v>
      </c>
    </row>
    <row r="58" spans="1:14" x14ac:dyDescent="0.2">
      <c r="A58">
        <v>10304</v>
      </c>
      <c r="B58" t="s">
        <v>130</v>
      </c>
      <c r="C58">
        <v>1</v>
      </c>
      <c r="D58" s="5">
        <v>35320</v>
      </c>
      <c r="E58" s="5">
        <v>35348</v>
      </c>
      <c r="F58" s="5">
        <v>35325</v>
      </c>
      <c r="G58">
        <v>2</v>
      </c>
      <c r="H58" s="6">
        <v>63.79</v>
      </c>
      <c r="I58" t="s">
        <v>131</v>
      </c>
      <c r="J58" t="s">
        <v>132</v>
      </c>
      <c r="K58" t="s">
        <v>71</v>
      </c>
      <c r="L58" t="s">
        <v>18</v>
      </c>
      <c r="M58" s="7">
        <v>5033</v>
      </c>
      <c r="N58" t="s">
        <v>72</v>
      </c>
    </row>
    <row r="59" spans="1:14" x14ac:dyDescent="0.2">
      <c r="A59">
        <v>10305</v>
      </c>
      <c r="B59" t="s">
        <v>193</v>
      </c>
      <c r="C59">
        <v>8</v>
      </c>
      <c r="D59" s="5">
        <v>35321</v>
      </c>
      <c r="E59" s="5">
        <v>35349</v>
      </c>
      <c r="F59" s="5">
        <v>35347</v>
      </c>
      <c r="G59">
        <v>3</v>
      </c>
      <c r="H59" s="6">
        <v>257.62</v>
      </c>
      <c r="I59" t="s">
        <v>194</v>
      </c>
      <c r="J59" t="s">
        <v>195</v>
      </c>
      <c r="K59" t="s">
        <v>196</v>
      </c>
      <c r="L59" t="s">
        <v>197</v>
      </c>
      <c r="M59" s="7">
        <v>99508</v>
      </c>
      <c r="N59" t="s">
        <v>86</v>
      </c>
    </row>
    <row r="60" spans="1:14" x14ac:dyDescent="0.2">
      <c r="A60">
        <v>10306</v>
      </c>
      <c r="B60" t="s">
        <v>146</v>
      </c>
      <c r="C60">
        <v>1</v>
      </c>
      <c r="D60" s="5">
        <v>35324</v>
      </c>
      <c r="E60" s="5">
        <v>35352</v>
      </c>
      <c r="F60" s="5">
        <v>35331</v>
      </c>
      <c r="G60">
        <v>3</v>
      </c>
      <c r="H60" s="6">
        <v>7.56</v>
      </c>
      <c r="I60" t="s">
        <v>147</v>
      </c>
      <c r="J60" t="s">
        <v>423</v>
      </c>
      <c r="K60" t="s">
        <v>149</v>
      </c>
      <c r="L60" t="s">
        <v>18</v>
      </c>
      <c r="M60" s="7">
        <v>28001</v>
      </c>
      <c r="N60" t="s">
        <v>150</v>
      </c>
    </row>
    <row r="61" spans="1:14" x14ac:dyDescent="0.2">
      <c r="A61">
        <v>10307</v>
      </c>
      <c r="B61" t="s">
        <v>198</v>
      </c>
      <c r="C61">
        <v>2</v>
      </c>
      <c r="D61" s="5">
        <v>35325</v>
      </c>
      <c r="E61" s="5">
        <v>35353</v>
      </c>
      <c r="F61" s="5">
        <v>35333</v>
      </c>
      <c r="G61">
        <v>2</v>
      </c>
      <c r="H61" s="6">
        <v>0.56000000000000005</v>
      </c>
      <c r="I61" t="s">
        <v>199</v>
      </c>
      <c r="J61" t="s">
        <v>200</v>
      </c>
      <c r="K61" t="s">
        <v>201</v>
      </c>
      <c r="L61" t="s">
        <v>202</v>
      </c>
      <c r="M61" s="7">
        <v>97219</v>
      </c>
      <c r="N61" t="s">
        <v>86</v>
      </c>
    </row>
    <row r="62" spans="1:14" x14ac:dyDescent="0.2">
      <c r="A62">
        <v>10308</v>
      </c>
      <c r="B62" t="s">
        <v>203</v>
      </c>
      <c r="C62">
        <v>7</v>
      </c>
      <c r="D62" s="5">
        <v>35326</v>
      </c>
      <c r="E62" s="5">
        <v>35354</v>
      </c>
      <c r="F62" s="5">
        <v>35332</v>
      </c>
      <c r="G62">
        <v>3</v>
      </c>
      <c r="H62" s="6">
        <v>1.61</v>
      </c>
      <c r="I62" t="s">
        <v>204</v>
      </c>
      <c r="J62" t="s">
        <v>205</v>
      </c>
      <c r="K62" t="s">
        <v>71</v>
      </c>
      <c r="L62" t="s">
        <v>18</v>
      </c>
      <c r="M62" s="7">
        <v>5021</v>
      </c>
      <c r="N62" t="s">
        <v>72</v>
      </c>
    </row>
    <row r="63" spans="1:14" x14ac:dyDescent="0.2">
      <c r="A63">
        <v>10309</v>
      </c>
      <c r="B63" t="s">
        <v>179</v>
      </c>
      <c r="C63">
        <v>3</v>
      </c>
      <c r="D63" s="5">
        <v>35327</v>
      </c>
      <c r="E63" s="5">
        <v>35355</v>
      </c>
      <c r="F63" s="5">
        <v>35361</v>
      </c>
      <c r="G63">
        <v>1</v>
      </c>
      <c r="H63" s="6">
        <v>47.3</v>
      </c>
      <c r="I63" t="s">
        <v>180</v>
      </c>
      <c r="J63" t="s">
        <v>181</v>
      </c>
      <c r="K63" t="s">
        <v>182</v>
      </c>
      <c r="L63" t="s">
        <v>183</v>
      </c>
      <c r="M63" s="7" t="s">
        <v>18</v>
      </c>
      <c r="N63" t="s">
        <v>184</v>
      </c>
    </row>
    <row r="64" spans="1:14" x14ac:dyDescent="0.2">
      <c r="A64">
        <v>10310</v>
      </c>
      <c r="B64" t="s">
        <v>206</v>
      </c>
      <c r="C64">
        <v>8</v>
      </c>
      <c r="D64" s="5">
        <v>35328</v>
      </c>
      <c r="E64" s="5">
        <v>35356</v>
      </c>
      <c r="F64" s="5">
        <v>35335</v>
      </c>
      <c r="G64">
        <v>2</v>
      </c>
      <c r="H64" s="6">
        <v>17.52</v>
      </c>
      <c r="I64" t="s">
        <v>207</v>
      </c>
      <c r="J64" t="s">
        <v>208</v>
      </c>
      <c r="K64" t="s">
        <v>201</v>
      </c>
      <c r="L64" t="s">
        <v>202</v>
      </c>
      <c r="M64" s="7">
        <v>97201</v>
      </c>
      <c r="N64" t="s">
        <v>86</v>
      </c>
    </row>
    <row r="65" spans="1:14" x14ac:dyDescent="0.2">
      <c r="A65">
        <v>10311</v>
      </c>
      <c r="B65" t="s">
        <v>209</v>
      </c>
      <c r="C65">
        <v>1</v>
      </c>
      <c r="D65" s="5">
        <v>35328</v>
      </c>
      <c r="E65" s="5">
        <v>35342</v>
      </c>
      <c r="F65" s="5">
        <v>35334</v>
      </c>
      <c r="G65">
        <v>3</v>
      </c>
      <c r="H65" s="6">
        <v>24.69</v>
      </c>
      <c r="I65" t="s">
        <v>210</v>
      </c>
      <c r="J65" t="s">
        <v>428</v>
      </c>
      <c r="K65" t="s">
        <v>212</v>
      </c>
      <c r="L65" t="s">
        <v>18</v>
      </c>
      <c r="M65" s="7">
        <v>44000</v>
      </c>
      <c r="N65" t="s">
        <v>19</v>
      </c>
    </row>
    <row r="66" spans="1:14" x14ac:dyDescent="0.2">
      <c r="A66">
        <v>10312</v>
      </c>
      <c r="B66" t="s">
        <v>185</v>
      </c>
      <c r="C66">
        <v>2</v>
      </c>
      <c r="D66" s="5">
        <v>35331</v>
      </c>
      <c r="E66" s="5">
        <v>35359</v>
      </c>
      <c r="F66" s="5">
        <v>35341</v>
      </c>
      <c r="G66">
        <v>2</v>
      </c>
      <c r="H66" s="6">
        <v>40.26</v>
      </c>
      <c r="I66" t="s">
        <v>186</v>
      </c>
      <c r="J66" t="s">
        <v>187</v>
      </c>
      <c r="K66" t="s">
        <v>188</v>
      </c>
      <c r="L66" t="s">
        <v>18</v>
      </c>
      <c r="M66" s="7">
        <v>70563</v>
      </c>
      <c r="N66" t="s">
        <v>24</v>
      </c>
    </row>
    <row r="67" spans="1:14" x14ac:dyDescent="0.2">
      <c r="A67">
        <v>10313</v>
      </c>
      <c r="B67" t="s">
        <v>121</v>
      </c>
      <c r="C67">
        <v>2</v>
      </c>
      <c r="D67" s="5">
        <v>35332</v>
      </c>
      <c r="E67" s="5">
        <v>35360</v>
      </c>
      <c r="F67" s="5">
        <v>35342</v>
      </c>
      <c r="G67">
        <v>2</v>
      </c>
      <c r="H67" s="6">
        <v>1.96</v>
      </c>
      <c r="I67" t="s">
        <v>122</v>
      </c>
      <c r="J67" t="s">
        <v>123</v>
      </c>
      <c r="K67" t="s">
        <v>124</v>
      </c>
      <c r="L67" t="s">
        <v>18</v>
      </c>
      <c r="M67" s="7">
        <v>1307</v>
      </c>
      <c r="N67" t="s">
        <v>24</v>
      </c>
    </row>
    <row r="68" spans="1:14" x14ac:dyDescent="0.2">
      <c r="A68">
        <v>10314</v>
      </c>
      <c r="B68" t="s">
        <v>81</v>
      </c>
      <c r="C68">
        <v>1</v>
      </c>
      <c r="D68" s="5">
        <v>35333</v>
      </c>
      <c r="E68" s="5">
        <v>35361</v>
      </c>
      <c r="F68" s="5">
        <v>35342</v>
      </c>
      <c r="G68">
        <v>2</v>
      </c>
      <c r="H68" s="6">
        <v>74.16</v>
      </c>
      <c r="I68" t="s">
        <v>82</v>
      </c>
      <c r="J68" t="s">
        <v>83</v>
      </c>
      <c r="K68" t="s">
        <v>84</v>
      </c>
      <c r="L68" t="s">
        <v>85</v>
      </c>
      <c r="M68" s="7">
        <v>87110</v>
      </c>
      <c r="N68" t="s">
        <v>86</v>
      </c>
    </row>
    <row r="69" spans="1:14" x14ac:dyDescent="0.2">
      <c r="A69">
        <v>10315</v>
      </c>
      <c r="B69" t="s">
        <v>213</v>
      </c>
      <c r="C69">
        <v>4</v>
      </c>
      <c r="D69" s="5">
        <v>35334</v>
      </c>
      <c r="E69" s="5">
        <v>35362</v>
      </c>
      <c r="F69" s="5">
        <v>35341</v>
      </c>
      <c r="G69">
        <v>2</v>
      </c>
      <c r="H69" s="6">
        <v>41.76</v>
      </c>
      <c r="I69" t="s">
        <v>214</v>
      </c>
      <c r="J69" t="s">
        <v>215</v>
      </c>
      <c r="K69" t="s">
        <v>216</v>
      </c>
      <c r="L69" t="s">
        <v>217</v>
      </c>
      <c r="M69" s="7" t="s">
        <v>218</v>
      </c>
      <c r="N69" t="s">
        <v>169</v>
      </c>
    </row>
    <row r="70" spans="1:14" x14ac:dyDescent="0.2">
      <c r="A70">
        <v>10316</v>
      </c>
      <c r="B70" t="s">
        <v>81</v>
      </c>
      <c r="C70">
        <v>1</v>
      </c>
      <c r="D70" s="5">
        <v>35335</v>
      </c>
      <c r="E70" s="5">
        <v>35363</v>
      </c>
      <c r="F70" s="5">
        <v>35346</v>
      </c>
      <c r="G70">
        <v>3</v>
      </c>
      <c r="H70" s="6">
        <v>150.15</v>
      </c>
      <c r="I70" t="s">
        <v>82</v>
      </c>
      <c r="J70" t="s">
        <v>83</v>
      </c>
      <c r="K70" t="s">
        <v>84</v>
      </c>
      <c r="L70" t="s">
        <v>85</v>
      </c>
      <c r="M70" s="7">
        <v>87110</v>
      </c>
      <c r="N70" t="s">
        <v>86</v>
      </c>
    </row>
    <row r="71" spans="1:14" x14ac:dyDescent="0.2">
      <c r="A71">
        <v>10317</v>
      </c>
      <c r="B71" t="s">
        <v>198</v>
      </c>
      <c r="C71">
        <v>6</v>
      </c>
      <c r="D71" s="5">
        <v>35338</v>
      </c>
      <c r="E71" s="5">
        <v>35366</v>
      </c>
      <c r="F71" s="5">
        <v>35348</v>
      </c>
      <c r="G71">
        <v>1</v>
      </c>
      <c r="H71" s="6">
        <v>12.69</v>
      </c>
      <c r="I71" t="s">
        <v>199</v>
      </c>
      <c r="J71" t="s">
        <v>200</v>
      </c>
      <c r="K71" t="s">
        <v>201</v>
      </c>
      <c r="L71" t="s">
        <v>202</v>
      </c>
      <c r="M71" s="7">
        <v>97219</v>
      </c>
      <c r="N71" t="s">
        <v>86</v>
      </c>
    </row>
    <row r="72" spans="1:14" x14ac:dyDescent="0.2">
      <c r="A72">
        <v>10318</v>
      </c>
      <c r="B72" t="s">
        <v>213</v>
      </c>
      <c r="C72">
        <v>8</v>
      </c>
      <c r="D72" s="5">
        <v>35339</v>
      </c>
      <c r="E72" s="5">
        <v>35367</v>
      </c>
      <c r="F72" s="5">
        <v>35342</v>
      </c>
      <c r="G72">
        <v>2</v>
      </c>
      <c r="H72" s="6">
        <v>4.7300000000000004</v>
      </c>
      <c r="I72" t="s">
        <v>214</v>
      </c>
      <c r="J72" t="s">
        <v>215</v>
      </c>
      <c r="K72" t="s">
        <v>216</v>
      </c>
      <c r="L72" t="s">
        <v>217</v>
      </c>
      <c r="M72" s="7" t="s">
        <v>218</v>
      </c>
      <c r="N72" t="s">
        <v>169</v>
      </c>
    </row>
    <row r="73" spans="1:14" x14ac:dyDescent="0.2">
      <c r="A73">
        <v>10319</v>
      </c>
      <c r="B73" t="s">
        <v>130</v>
      </c>
      <c r="C73">
        <v>7</v>
      </c>
      <c r="D73" s="5">
        <v>35340</v>
      </c>
      <c r="E73" s="5">
        <v>35368</v>
      </c>
      <c r="F73" s="5">
        <v>35349</v>
      </c>
      <c r="G73">
        <v>3</v>
      </c>
      <c r="H73" s="6">
        <v>64.5</v>
      </c>
      <c r="I73" t="s">
        <v>131</v>
      </c>
      <c r="J73" t="s">
        <v>132</v>
      </c>
      <c r="K73" t="s">
        <v>71</v>
      </c>
      <c r="L73" t="s">
        <v>18</v>
      </c>
      <c r="M73" s="7">
        <v>5033</v>
      </c>
      <c r="N73" t="s">
        <v>72</v>
      </c>
    </row>
    <row r="74" spans="1:14" x14ac:dyDescent="0.2">
      <c r="A74">
        <v>10320</v>
      </c>
      <c r="B74" t="s">
        <v>97</v>
      </c>
      <c r="C74">
        <v>5</v>
      </c>
      <c r="D74" s="5">
        <v>35341</v>
      </c>
      <c r="E74" s="5">
        <v>35355</v>
      </c>
      <c r="F74" s="5">
        <v>35356</v>
      </c>
      <c r="G74">
        <v>3</v>
      </c>
      <c r="H74" s="6">
        <v>34.57</v>
      </c>
      <c r="I74" t="s">
        <v>98</v>
      </c>
      <c r="J74" t="s">
        <v>99</v>
      </c>
      <c r="K74" t="s">
        <v>100</v>
      </c>
      <c r="L74" t="s">
        <v>18</v>
      </c>
      <c r="M74" s="7">
        <v>90110</v>
      </c>
      <c r="N74" t="s">
        <v>101</v>
      </c>
    </row>
    <row r="75" spans="1:14" x14ac:dyDescent="0.2">
      <c r="A75">
        <v>10321</v>
      </c>
      <c r="B75" t="s">
        <v>213</v>
      </c>
      <c r="C75">
        <v>3</v>
      </c>
      <c r="D75" s="5">
        <v>35341</v>
      </c>
      <c r="E75" s="5">
        <v>35369</v>
      </c>
      <c r="F75" s="5">
        <v>35349</v>
      </c>
      <c r="G75">
        <v>2</v>
      </c>
      <c r="H75" s="6">
        <v>3.43</v>
      </c>
      <c r="I75" t="s">
        <v>214</v>
      </c>
      <c r="J75" t="s">
        <v>215</v>
      </c>
      <c r="K75" t="s">
        <v>216</v>
      </c>
      <c r="L75" t="s">
        <v>217</v>
      </c>
      <c r="M75" s="7" t="s">
        <v>218</v>
      </c>
      <c r="N75" t="s">
        <v>169</v>
      </c>
    </row>
    <row r="76" spans="1:14" x14ac:dyDescent="0.2">
      <c r="A76">
        <v>10322</v>
      </c>
      <c r="B76" t="s">
        <v>219</v>
      </c>
      <c r="C76">
        <v>7</v>
      </c>
      <c r="D76" s="5">
        <v>35342</v>
      </c>
      <c r="E76" s="5">
        <v>35370</v>
      </c>
      <c r="F76" s="5">
        <v>35361</v>
      </c>
      <c r="G76">
        <v>3</v>
      </c>
      <c r="H76" s="6">
        <v>0.4</v>
      </c>
      <c r="I76" t="s">
        <v>220</v>
      </c>
      <c r="J76" t="s">
        <v>221</v>
      </c>
      <c r="K76" t="s">
        <v>71</v>
      </c>
      <c r="L76" t="s">
        <v>18</v>
      </c>
      <c r="M76" s="7">
        <v>5033</v>
      </c>
      <c r="N76" t="s">
        <v>72</v>
      </c>
    </row>
    <row r="77" spans="1:14" x14ac:dyDescent="0.2">
      <c r="A77">
        <v>10323</v>
      </c>
      <c r="B77" t="s">
        <v>222</v>
      </c>
      <c r="C77">
        <v>4</v>
      </c>
      <c r="D77" s="5">
        <v>35345</v>
      </c>
      <c r="E77" s="5">
        <v>35373</v>
      </c>
      <c r="F77" s="5">
        <v>35352</v>
      </c>
      <c r="G77">
        <v>1</v>
      </c>
      <c r="H77" s="6">
        <v>4.88</v>
      </c>
      <c r="I77" t="s">
        <v>223</v>
      </c>
      <c r="J77" t="s">
        <v>224</v>
      </c>
      <c r="K77" t="s">
        <v>225</v>
      </c>
      <c r="L77" t="s">
        <v>18</v>
      </c>
      <c r="M77" s="7">
        <v>14776</v>
      </c>
      <c r="N77" t="s">
        <v>24</v>
      </c>
    </row>
    <row r="78" spans="1:14" x14ac:dyDescent="0.2">
      <c r="A78">
        <v>10324</v>
      </c>
      <c r="B78" t="s">
        <v>226</v>
      </c>
      <c r="C78">
        <v>9</v>
      </c>
      <c r="D78" s="5">
        <v>35346</v>
      </c>
      <c r="E78" s="5">
        <v>35374</v>
      </c>
      <c r="F78" s="5">
        <v>35348</v>
      </c>
      <c r="G78">
        <v>1</v>
      </c>
      <c r="H78" s="6">
        <v>214.27</v>
      </c>
      <c r="I78" t="s">
        <v>227</v>
      </c>
      <c r="J78" t="s">
        <v>228</v>
      </c>
      <c r="K78" t="s">
        <v>229</v>
      </c>
      <c r="L78" t="s">
        <v>230</v>
      </c>
      <c r="M78" s="7">
        <v>83720</v>
      </c>
      <c r="N78" t="s">
        <v>86</v>
      </c>
    </row>
    <row r="79" spans="1:14" x14ac:dyDescent="0.2">
      <c r="A79">
        <v>10325</v>
      </c>
      <c r="B79" t="s">
        <v>222</v>
      </c>
      <c r="C79">
        <v>1</v>
      </c>
      <c r="D79" s="5">
        <v>35347</v>
      </c>
      <c r="E79" s="5">
        <v>35361</v>
      </c>
      <c r="F79" s="5">
        <v>35352</v>
      </c>
      <c r="G79">
        <v>3</v>
      </c>
      <c r="H79" s="6">
        <v>64.86</v>
      </c>
      <c r="I79" t="s">
        <v>223</v>
      </c>
      <c r="J79" t="s">
        <v>224</v>
      </c>
      <c r="K79" t="s">
        <v>225</v>
      </c>
      <c r="L79" t="s">
        <v>18</v>
      </c>
      <c r="M79" s="7">
        <v>14776</v>
      </c>
      <c r="N79" t="s">
        <v>24</v>
      </c>
    </row>
    <row r="80" spans="1:14" x14ac:dyDescent="0.2">
      <c r="A80">
        <v>10326</v>
      </c>
      <c r="B80" t="s">
        <v>231</v>
      </c>
      <c r="C80">
        <v>4</v>
      </c>
      <c r="D80" s="5">
        <v>35348</v>
      </c>
      <c r="E80" s="5">
        <v>35376</v>
      </c>
      <c r="F80" s="5">
        <v>35352</v>
      </c>
      <c r="G80">
        <v>2</v>
      </c>
      <c r="H80" s="6">
        <v>77.92</v>
      </c>
      <c r="I80" t="s">
        <v>232</v>
      </c>
      <c r="J80" t="s">
        <v>429</v>
      </c>
      <c r="K80" t="s">
        <v>149</v>
      </c>
      <c r="L80" t="s">
        <v>18</v>
      </c>
      <c r="M80" s="7">
        <v>28023</v>
      </c>
      <c r="N80" t="s">
        <v>150</v>
      </c>
    </row>
    <row r="81" spans="1:14" x14ac:dyDescent="0.2">
      <c r="A81">
        <v>10327</v>
      </c>
      <c r="B81" t="s">
        <v>87</v>
      </c>
      <c r="C81">
        <v>2</v>
      </c>
      <c r="D81" s="5">
        <v>35349</v>
      </c>
      <c r="E81" s="5">
        <v>35377</v>
      </c>
      <c r="F81" s="5">
        <v>35352</v>
      </c>
      <c r="G81">
        <v>1</v>
      </c>
      <c r="H81" s="6">
        <v>63.36</v>
      </c>
      <c r="I81" t="s">
        <v>88</v>
      </c>
      <c r="J81" t="s">
        <v>89</v>
      </c>
      <c r="K81" t="s">
        <v>90</v>
      </c>
      <c r="L81" t="s">
        <v>18</v>
      </c>
      <c r="M81" s="7" t="s">
        <v>91</v>
      </c>
      <c r="N81" t="s">
        <v>92</v>
      </c>
    </row>
    <row r="82" spans="1:14" x14ac:dyDescent="0.2">
      <c r="A82">
        <v>10328</v>
      </c>
      <c r="B82" t="s">
        <v>234</v>
      </c>
      <c r="C82">
        <v>4</v>
      </c>
      <c r="D82" s="5">
        <v>35352</v>
      </c>
      <c r="E82" s="5">
        <v>35380</v>
      </c>
      <c r="F82" s="5">
        <v>35355</v>
      </c>
      <c r="G82">
        <v>3</v>
      </c>
      <c r="H82" s="6">
        <v>87.03</v>
      </c>
      <c r="I82" t="s">
        <v>235</v>
      </c>
      <c r="J82" t="s">
        <v>236</v>
      </c>
      <c r="K82" t="s">
        <v>237</v>
      </c>
      <c r="L82" t="s">
        <v>18</v>
      </c>
      <c r="M82" s="7">
        <v>1675</v>
      </c>
      <c r="N82" t="s">
        <v>238</v>
      </c>
    </row>
    <row r="83" spans="1:14" x14ac:dyDescent="0.2">
      <c r="A83">
        <v>10329</v>
      </c>
      <c r="B83" t="s">
        <v>116</v>
      </c>
      <c r="C83">
        <v>4</v>
      </c>
      <c r="D83" s="5">
        <v>35353</v>
      </c>
      <c r="E83" s="5">
        <v>35395</v>
      </c>
      <c r="F83" s="5">
        <v>35361</v>
      </c>
      <c r="G83">
        <v>2</v>
      </c>
      <c r="H83" s="6">
        <v>191.67</v>
      </c>
      <c r="I83" t="s">
        <v>117</v>
      </c>
      <c r="J83" t="s">
        <v>118</v>
      </c>
      <c r="K83" t="s">
        <v>119</v>
      </c>
      <c r="L83" t="s">
        <v>120</v>
      </c>
      <c r="M83" s="7">
        <v>82520</v>
      </c>
      <c r="N83" t="s">
        <v>86</v>
      </c>
    </row>
    <row r="84" spans="1:14" x14ac:dyDescent="0.2">
      <c r="A84">
        <v>10330</v>
      </c>
      <c r="B84" t="s">
        <v>151</v>
      </c>
      <c r="C84">
        <v>3</v>
      </c>
      <c r="D84" s="5">
        <v>35354</v>
      </c>
      <c r="E84" s="5">
        <v>35382</v>
      </c>
      <c r="F84" s="5">
        <v>35366</v>
      </c>
      <c r="G84">
        <v>1</v>
      </c>
      <c r="H84" s="6">
        <v>12.75</v>
      </c>
      <c r="I84" t="s">
        <v>152</v>
      </c>
      <c r="J84" t="s">
        <v>153</v>
      </c>
      <c r="K84" t="s">
        <v>154</v>
      </c>
      <c r="L84" t="s">
        <v>155</v>
      </c>
      <c r="M84" s="7">
        <v>3508</v>
      </c>
      <c r="N84" t="s">
        <v>62</v>
      </c>
    </row>
    <row r="85" spans="1:14" x14ac:dyDescent="0.2">
      <c r="A85">
        <v>10331</v>
      </c>
      <c r="B85" t="s">
        <v>239</v>
      </c>
      <c r="C85">
        <v>9</v>
      </c>
      <c r="D85" s="5">
        <v>35354</v>
      </c>
      <c r="E85" s="5">
        <v>35396</v>
      </c>
      <c r="F85" s="5">
        <v>35359</v>
      </c>
      <c r="G85">
        <v>1</v>
      </c>
      <c r="H85" s="6">
        <v>10.19</v>
      </c>
      <c r="I85" t="s">
        <v>240</v>
      </c>
      <c r="J85" t="s">
        <v>430</v>
      </c>
      <c r="K85" t="s">
        <v>242</v>
      </c>
      <c r="L85" t="s">
        <v>18</v>
      </c>
      <c r="M85" s="7">
        <v>13008</v>
      </c>
      <c r="N85" t="s">
        <v>19</v>
      </c>
    </row>
    <row r="86" spans="1:14" x14ac:dyDescent="0.2">
      <c r="A86">
        <v>10332</v>
      </c>
      <c r="B86" t="s">
        <v>243</v>
      </c>
      <c r="C86">
        <v>3</v>
      </c>
      <c r="D86" s="5">
        <v>35355</v>
      </c>
      <c r="E86" s="5">
        <v>35397</v>
      </c>
      <c r="F86" s="5">
        <v>35359</v>
      </c>
      <c r="G86">
        <v>2</v>
      </c>
      <c r="H86" s="6">
        <v>52.84</v>
      </c>
      <c r="I86" t="s">
        <v>244</v>
      </c>
      <c r="J86" t="s">
        <v>245</v>
      </c>
      <c r="K86" t="s">
        <v>246</v>
      </c>
      <c r="L86" t="s">
        <v>247</v>
      </c>
      <c r="M86" s="7" t="s">
        <v>248</v>
      </c>
      <c r="N86" t="s">
        <v>249</v>
      </c>
    </row>
    <row r="87" spans="1:14" x14ac:dyDescent="0.2">
      <c r="A87">
        <v>10333</v>
      </c>
      <c r="B87" t="s">
        <v>97</v>
      </c>
      <c r="C87">
        <v>5</v>
      </c>
      <c r="D87" s="5">
        <v>35356</v>
      </c>
      <c r="E87" s="5">
        <v>35384</v>
      </c>
      <c r="F87" s="5">
        <v>35363</v>
      </c>
      <c r="G87">
        <v>3</v>
      </c>
      <c r="H87" s="6">
        <v>0.59</v>
      </c>
      <c r="I87" t="s">
        <v>98</v>
      </c>
      <c r="J87" t="s">
        <v>99</v>
      </c>
      <c r="K87" t="s">
        <v>100</v>
      </c>
      <c r="L87" t="s">
        <v>18</v>
      </c>
      <c r="M87" s="7">
        <v>90110</v>
      </c>
      <c r="N87" t="s">
        <v>101</v>
      </c>
    </row>
    <row r="88" spans="1:14" x14ac:dyDescent="0.2">
      <c r="A88">
        <v>10334</v>
      </c>
      <c r="B88" t="s">
        <v>32</v>
      </c>
      <c r="C88">
        <v>8</v>
      </c>
      <c r="D88" s="5">
        <v>35359</v>
      </c>
      <c r="E88" s="5">
        <v>35387</v>
      </c>
      <c r="F88" s="5">
        <v>35366</v>
      </c>
      <c r="G88">
        <v>2</v>
      </c>
      <c r="H88" s="6">
        <v>8.56</v>
      </c>
      <c r="I88" t="s">
        <v>33</v>
      </c>
      <c r="J88" t="s">
        <v>418</v>
      </c>
      <c r="K88" t="s">
        <v>35</v>
      </c>
      <c r="L88" t="s">
        <v>18</v>
      </c>
      <c r="M88" s="7">
        <v>69004</v>
      </c>
      <c r="N88" t="s">
        <v>19</v>
      </c>
    </row>
    <row r="89" spans="1:14" x14ac:dyDescent="0.2">
      <c r="A89">
        <v>10335</v>
      </c>
      <c r="B89" t="s">
        <v>179</v>
      </c>
      <c r="C89">
        <v>7</v>
      </c>
      <c r="D89" s="5">
        <v>35360</v>
      </c>
      <c r="E89" s="5">
        <v>35388</v>
      </c>
      <c r="F89" s="5">
        <v>35362</v>
      </c>
      <c r="G89">
        <v>2</v>
      </c>
      <c r="H89" s="6">
        <v>42.11</v>
      </c>
      <c r="I89" t="s">
        <v>180</v>
      </c>
      <c r="J89" t="s">
        <v>181</v>
      </c>
      <c r="K89" t="s">
        <v>182</v>
      </c>
      <c r="L89" t="s">
        <v>183</v>
      </c>
      <c r="M89" s="7" t="s">
        <v>18</v>
      </c>
      <c r="N89" t="s">
        <v>184</v>
      </c>
    </row>
    <row r="90" spans="1:14" x14ac:dyDescent="0.2">
      <c r="A90">
        <v>10336</v>
      </c>
      <c r="B90" t="s">
        <v>250</v>
      </c>
      <c r="C90">
        <v>7</v>
      </c>
      <c r="D90" s="5">
        <v>35361</v>
      </c>
      <c r="E90" s="5">
        <v>35389</v>
      </c>
      <c r="F90" s="5">
        <v>35363</v>
      </c>
      <c r="G90">
        <v>2</v>
      </c>
      <c r="H90" s="6">
        <v>15.51</v>
      </c>
      <c r="I90" t="s">
        <v>251</v>
      </c>
      <c r="J90" t="s">
        <v>252</v>
      </c>
      <c r="K90" t="s">
        <v>237</v>
      </c>
      <c r="L90" t="s">
        <v>18</v>
      </c>
      <c r="M90" s="7">
        <v>1756</v>
      </c>
      <c r="N90" t="s">
        <v>238</v>
      </c>
    </row>
    <row r="91" spans="1:14" x14ac:dyDescent="0.2">
      <c r="A91">
        <v>10337</v>
      </c>
      <c r="B91" t="s">
        <v>102</v>
      </c>
      <c r="C91">
        <v>4</v>
      </c>
      <c r="D91" s="5">
        <v>35362</v>
      </c>
      <c r="E91" s="5">
        <v>35390</v>
      </c>
      <c r="F91" s="5">
        <v>35367</v>
      </c>
      <c r="G91">
        <v>3</v>
      </c>
      <c r="H91" s="6">
        <v>108.26</v>
      </c>
      <c r="I91" t="s">
        <v>103</v>
      </c>
      <c r="J91" t="s">
        <v>104</v>
      </c>
      <c r="K91" t="s">
        <v>105</v>
      </c>
      <c r="L91" t="s">
        <v>18</v>
      </c>
      <c r="M91" s="7">
        <v>80805</v>
      </c>
      <c r="N91" t="s">
        <v>24</v>
      </c>
    </row>
    <row r="92" spans="1:14" x14ac:dyDescent="0.2">
      <c r="A92">
        <v>10338</v>
      </c>
      <c r="B92" t="s">
        <v>193</v>
      </c>
      <c r="C92">
        <v>4</v>
      </c>
      <c r="D92" s="5">
        <v>35363</v>
      </c>
      <c r="E92" s="5">
        <v>35391</v>
      </c>
      <c r="F92" s="5">
        <v>35367</v>
      </c>
      <c r="G92">
        <v>3</v>
      </c>
      <c r="H92" s="6">
        <v>84.21</v>
      </c>
      <c r="I92" t="s">
        <v>194</v>
      </c>
      <c r="J92" t="s">
        <v>195</v>
      </c>
      <c r="K92" t="s">
        <v>196</v>
      </c>
      <c r="L92" t="s">
        <v>197</v>
      </c>
      <c r="M92" s="7">
        <v>99508</v>
      </c>
      <c r="N92" t="s">
        <v>86</v>
      </c>
    </row>
    <row r="93" spans="1:14" x14ac:dyDescent="0.2">
      <c r="A93">
        <v>10339</v>
      </c>
      <c r="B93" t="s">
        <v>243</v>
      </c>
      <c r="C93">
        <v>2</v>
      </c>
      <c r="D93" s="5">
        <v>35366</v>
      </c>
      <c r="E93" s="5">
        <v>35394</v>
      </c>
      <c r="F93" s="5">
        <v>35373</v>
      </c>
      <c r="G93">
        <v>2</v>
      </c>
      <c r="H93" s="6">
        <v>15.66</v>
      </c>
      <c r="I93" t="s">
        <v>244</v>
      </c>
      <c r="J93" t="s">
        <v>245</v>
      </c>
      <c r="K93" t="s">
        <v>246</v>
      </c>
      <c r="L93" t="s">
        <v>247</v>
      </c>
      <c r="M93" s="7" t="s">
        <v>248</v>
      </c>
      <c r="N93" t="s">
        <v>249</v>
      </c>
    </row>
    <row r="94" spans="1:14" x14ac:dyDescent="0.2">
      <c r="A94">
        <v>10340</v>
      </c>
      <c r="B94" t="s">
        <v>239</v>
      </c>
      <c r="C94">
        <v>1</v>
      </c>
      <c r="D94" s="5">
        <v>35367</v>
      </c>
      <c r="E94" s="5">
        <v>35395</v>
      </c>
      <c r="F94" s="5">
        <v>35377</v>
      </c>
      <c r="G94">
        <v>3</v>
      </c>
      <c r="H94" s="6">
        <v>166.31</v>
      </c>
      <c r="I94" t="s">
        <v>240</v>
      </c>
      <c r="J94" t="s">
        <v>430</v>
      </c>
      <c r="K94" t="s">
        <v>242</v>
      </c>
      <c r="L94" t="s">
        <v>18</v>
      </c>
      <c r="M94" s="7">
        <v>13008</v>
      </c>
      <c r="N94" t="s">
        <v>19</v>
      </c>
    </row>
    <row r="95" spans="1:14" x14ac:dyDescent="0.2">
      <c r="A95">
        <v>10341</v>
      </c>
      <c r="B95" t="s">
        <v>253</v>
      </c>
      <c r="C95">
        <v>7</v>
      </c>
      <c r="D95" s="5">
        <v>35367</v>
      </c>
      <c r="E95" s="5">
        <v>35395</v>
      </c>
      <c r="F95" s="5">
        <v>35374</v>
      </c>
      <c r="G95">
        <v>3</v>
      </c>
      <c r="H95" s="6">
        <v>26.78</v>
      </c>
      <c r="I95" t="s">
        <v>254</v>
      </c>
      <c r="J95" t="s">
        <v>255</v>
      </c>
      <c r="K95" t="s">
        <v>256</v>
      </c>
      <c r="L95" t="s">
        <v>18</v>
      </c>
      <c r="M95" s="7">
        <v>1734</v>
      </c>
      <c r="N95" t="s">
        <v>257</v>
      </c>
    </row>
    <row r="96" spans="1:14" x14ac:dyDescent="0.2">
      <c r="A96">
        <v>10342</v>
      </c>
      <c r="B96" t="s">
        <v>102</v>
      </c>
      <c r="C96">
        <v>4</v>
      </c>
      <c r="D96" s="5">
        <v>35368</v>
      </c>
      <c r="E96" s="5">
        <v>35382</v>
      </c>
      <c r="F96" s="5">
        <v>35373</v>
      </c>
      <c r="G96">
        <v>2</v>
      </c>
      <c r="H96" s="6">
        <v>54.83</v>
      </c>
      <c r="I96" t="s">
        <v>103</v>
      </c>
      <c r="J96" t="s">
        <v>104</v>
      </c>
      <c r="K96" t="s">
        <v>105</v>
      </c>
      <c r="L96" t="s">
        <v>18</v>
      </c>
      <c r="M96" s="7">
        <v>80805</v>
      </c>
      <c r="N96" t="s">
        <v>24</v>
      </c>
    </row>
    <row r="97" spans="1:14" x14ac:dyDescent="0.2">
      <c r="A97">
        <v>10343</v>
      </c>
      <c r="B97" t="s">
        <v>142</v>
      </c>
      <c r="C97">
        <v>4</v>
      </c>
      <c r="D97" s="5">
        <v>35369</v>
      </c>
      <c r="E97" s="5">
        <v>35397</v>
      </c>
      <c r="F97" s="5">
        <v>35375</v>
      </c>
      <c r="G97">
        <v>1</v>
      </c>
      <c r="H97" s="6">
        <v>110.37</v>
      </c>
      <c r="I97" t="s">
        <v>143</v>
      </c>
      <c r="J97" t="s">
        <v>144</v>
      </c>
      <c r="K97" t="s">
        <v>145</v>
      </c>
      <c r="L97" t="s">
        <v>18</v>
      </c>
      <c r="M97" s="7">
        <v>60528</v>
      </c>
      <c r="N97" t="s">
        <v>24</v>
      </c>
    </row>
    <row r="98" spans="1:14" x14ac:dyDescent="0.2">
      <c r="A98">
        <v>10344</v>
      </c>
      <c r="B98" t="s">
        <v>111</v>
      </c>
      <c r="C98">
        <v>4</v>
      </c>
      <c r="D98" s="5">
        <v>35370</v>
      </c>
      <c r="E98" s="5">
        <v>35398</v>
      </c>
      <c r="F98" s="5">
        <v>35374</v>
      </c>
      <c r="G98">
        <v>2</v>
      </c>
      <c r="H98" s="6">
        <v>23.29</v>
      </c>
      <c r="I98" t="s">
        <v>112</v>
      </c>
      <c r="J98" t="s">
        <v>113</v>
      </c>
      <c r="K98" t="s">
        <v>114</v>
      </c>
      <c r="L98" t="s">
        <v>115</v>
      </c>
      <c r="M98" s="7">
        <v>98124</v>
      </c>
      <c r="N98" t="s">
        <v>86</v>
      </c>
    </row>
    <row r="99" spans="1:14" x14ac:dyDescent="0.2">
      <c r="A99">
        <v>10345</v>
      </c>
      <c r="B99" t="s">
        <v>121</v>
      </c>
      <c r="C99">
        <v>2</v>
      </c>
      <c r="D99" s="5">
        <v>35373</v>
      </c>
      <c r="E99" s="5">
        <v>35401</v>
      </c>
      <c r="F99" s="5">
        <v>35380</v>
      </c>
      <c r="G99">
        <v>2</v>
      </c>
      <c r="H99" s="6">
        <v>249.06</v>
      </c>
      <c r="I99" t="s">
        <v>122</v>
      </c>
      <c r="J99" t="s">
        <v>123</v>
      </c>
      <c r="K99" t="s">
        <v>124</v>
      </c>
      <c r="L99" t="s">
        <v>18</v>
      </c>
      <c r="M99" s="7">
        <v>1307</v>
      </c>
      <c r="N99" t="s">
        <v>24</v>
      </c>
    </row>
    <row r="100" spans="1:14" x14ac:dyDescent="0.2">
      <c r="A100">
        <v>10346</v>
      </c>
      <c r="B100" t="s">
        <v>81</v>
      </c>
      <c r="C100">
        <v>3</v>
      </c>
      <c r="D100" s="5">
        <v>35374</v>
      </c>
      <c r="E100" s="5">
        <v>35416</v>
      </c>
      <c r="F100" s="5">
        <v>35377</v>
      </c>
      <c r="G100">
        <v>3</v>
      </c>
      <c r="H100" s="6">
        <v>142.08000000000001</v>
      </c>
      <c r="I100" t="s">
        <v>82</v>
      </c>
      <c r="J100" t="s">
        <v>83</v>
      </c>
      <c r="K100" t="s">
        <v>84</v>
      </c>
      <c r="L100" t="s">
        <v>85</v>
      </c>
      <c r="M100" s="7">
        <v>87110</v>
      </c>
      <c r="N100" t="s">
        <v>86</v>
      </c>
    </row>
    <row r="101" spans="1:14" x14ac:dyDescent="0.2">
      <c r="A101">
        <v>10347</v>
      </c>
      <c r="B101" t="s">
        <v>258</v>
      </c>
      <c r="C101">
        <v>4</v>
      </c>
      <c r="D101" s="5">
        <v>35375</v>
      </c>
      <c r="E101" s="5">
        <v>35403</v>
      </c>
      <c r="F101" s="5">
        <v>35377</v>
      </c>
      <c r="G101">
        <v>3</v>
      </c>
      <c r="H101" s="6">
        <v>3.1</v>
      </c>
      <c r="I101" t="s">
        <v>259</v>
      </c>
      <c r="J101" t="s">
        <v>431</v>
      </c>
      <c r="K101" t="s">
        <v>173</v>
      </c>
      <c r="L101" t="s">
        <v>55</v>
      </c>
      <c r="M101" s="7" t="s">
        <v>261</v>
      </c>
      <c r="N101" t="s">
        <v>31</v>
      </c>
    </row>
    <row r="102" spans="1:14" x14ac:dyDescent="0.2">
      <c r="A102">
        <v>10348</v>
      </c>
      <c r="B102" t="s">
        <v>185</v>
      </c>
      <c r="C102">
        <v>4</v>
      </c>
      <c r="D102" s="5">
        <v>35376</v>
      </c>
      <c r="E102" s="5">
        <v>35404</v>
      </c>
      <c r="F102" s="5">
        <v>35384</v>
      </c>
      <c r="G102">
        <v>2</v>
      </c>
      <c r="H102" s="6">
        <v>0.78</v>
      </c>
      <c r="I102" t="s">
        <v>186</v>
      </c>
      <c r="J102" t="s">
        <v>187</v>
      </c>
      <c r="K102" t="s">
        <v>188</v>
      </c>
      <c r="L102" t="s">
        <v>18</v>
      </c>
      <c r="M102" s="7">
        <v>70563</v>
      </c>
      <c r="N102" t="s">
        <v>24</v>
      </c>
    </row>
    <row r="103" spans="1:14" x14ac:dyDescent="0.2">
      <c r="A103">
        <v>10349</v>
      </c>
      <c r="B103" t="s">
        <v>116</v>
      </c>
      <c r="C103">
        <v>7</v>
      </c>
      <c r="D103" s="5">
        <v>35377</v>
      </c>
      <c r="E103" s="5">
        <v>35405</v>
      </c>
      <c r="F103" s="5">
        <v>35384</v>
      </c>
      <c r="G103">
        <v>1</v>
      </c>
      <c r="H103" s="6">
        <v>8.6300000000000008</v>
      </c>
      <c r="I103" t="s">
        <v>117</v>
      </c>
      <c r="J103" t="s">
        <v>118</v>
      </c>
      <c r="K103" t="s">
        <v>119</v>
      </c>
      <c r="L103" t="s">
        <v>120</v>
      </c>
      <c r="M103" s="7">
        <v>82520</v>
      </c>
      <c r="N103" t="s">
        <v>86</v>
      </c>
    </row>
    <row r="104" spans="1:14" x14ac:dyDescent="0.2">
      <c r="A104">
        <v>10350</v>
      </c>
      <c r="B104" t="s">
        <v>262</v>
      </c>
      <c r="C104">
        <v>6</v>
      </c>
      <c r="D104" s="5">
        <v>35380</v>
      </c>
      <c r="E104" s="5">
        <v>35408</v>
      </c>
      <c r="F104" s="5">
        <v>35402</v>
      </c>
      <c r="G104">
        <v>2</v>
      </c>
      <c r="H104" s="6">
        <v>64.19</v>
      </c>
      <c r="I104" t="s">
        <v>263</v>
      </c>
      <c r="J104" t="s">
        <v>264</v>
      </c>
      <c r="K104" t="s">
        <v>265</v>
      </c>
      <c r="L104" t="s">
        <v>18</v>
      </c>
      <c r="M104" s="7">
        <v>31000</v>
      </c>
      <c r="N104" t="s">
        <v>19</v>
      </c>
    </row>
    <row r="105" spans="1:14" x14ac:dyDescent="0.2">
      <c r="A105">
        <v>10351</v>
      </c>
      <c r="B105" t="s">
        <v>63</v>
      </c>
      <c r="C105">
        <v>1</v>
      </c>
      <c r="D105" s="5">
        <v>35380</v>
      </c>
      <c r="E105" s="5">
        <v>35408</v>
      </c>
      <c r="F105" s="5">
        <v>35389</v>
      </c>
      <c r="G105">
        <v>1</v>
      </c>
      <c r="H105" s="6">
        <v>162.33000000000001</v>
      </c>
      <c r="I105" t="s">
        <v>64</v>
      </c>
      <c r="J105" t="s">
        <v>65</v>
      </c>
      <c r="K105" t="s">
        <v>66</v>
      </c>
      <c r="L105" t="s">
        <v>18</v>
      </c>
      <c r="M105" s="7">
        <v>8010</v>
      </c>
      <c r="N105" t="s">
        <v>67</v>
      </c>
    </row>
    <row r="106" spans="1:14" x14ac:dyDescent="0.2">
      <c r="A106">
        <v>10352</v>
      </c>
      <c r="B106" t="s">
        <v>234</v>
      </c>
      <c r="C106">
        <v>3</v>
      </c>
      <c r="D106" s="5">
        <v>35381</v>
      </c>
      <c r="E106" s="5">
        <v>35395</v>
      </c>
      <c r="F106" s="5">
        <v>35387</v>
      </c>
      <c r="G106">
        <v>3</v>
      </c>
      <c r="H106" s="6">
        <v>1.3</v>
      </c>
      <c r="I106" t="s">
        <v>235</v>
      </c>
      <c r="J106" t="s">
        <v>236</v>
      </c>
      <c r="K106" t="s">
        <v>237</v>
      </c>
      <c r="L106" t="s">
        <v>18</v>
      </c>
      <c r="M106" s="7">
        <v>1675</v>
      </c>
      <c r="N106" t="s">
        <v>238</v>
      </c>
    </row>
    <row r="107" spans="1:14" x14ac:dyDescent="0.2">
      <c r="A107">
        <v>10353</v>
      </c>
      <c r="B107" t="s">
        <v>266</v>
      </c>
      <c r="C107">
        <v>7</v>
      </c>
      <c r="D107" s="5">
        <v>35382</v>
      </c>
      <c r="E107" s="5">
        <v>35410</v>
      </c>
      <c r="F107" s="5">
        <v>35394</v>
      </c>
      <c r="G107">
        <v>3</v>
      </c>
      <c r="H107" s="6">
        <v>360.63</v>
      </c>
      <c r="I107" t="s">
        <v>267</v>
      </c>
      <c r="J107" t="s">
        <v>268</v>
      </c>
      <c r="K107" t="s">
        <v>269</v>
      </c>
      <c r="L107" t="s">
        <v>18</v>
      </c>
      <c r="M107" s="7">
        <v>5020</v>
      </c>
      <c r="N107" t="s">
        <v>67</v>
      </c>
    </row>
    <row r="108" spans="1:14" x14ac:dyDescent="0.2">
      <c r="A108">
        <v>10354</v>
      </c>
      <c r="B108" t="s">
        <v>219</v>
      </c>
      <c r="C108">
        <v>8</v>
      </c>
      <c r="D108" s="5">
        <v>35383</v>
      </c>
      <c r="E108" s="5">
        <v>35411</v>
      </c>
      <c r="F108" s="5">
        <v>35389</v>
      </c>
      <c r="G108">
        <v>3</v>
      </c>
      <c r="H108" s="6">
        <v>53.8</v>
      </c>
      <c r="I108" t="s">
        <v>220</v>
      </c>
      <c r="J108" t="s">
        <v>221</v>
      </c>
      <c r="K108" t="s">
        <v>71</v>
      </c>
      <c r="L108" t="s">
        <v>18</v>
      </c>
      <c r="M108" s="7">
        <v>5033</v>
      </c>
      <c r="N108" t="s">
        <v>72</v>
      </c>
    </row>
    <row r="109" spans="1:14" x14ac:dyDescent="0.2">
      <c r="A109">
        <v>10355</v>
      </c>
      <c r="B109" t="s">
        <v>270</v>
      </c>
      <c r="C109">
        <v>6</v>
      </c>
      <c r="D109" s="5">
        <v>35384</v>
      </c>
      <c r="E109" s="5">
        <v>35412</v>
      </c>
      <c r="F109" s="5">
        <v>35389</v>
      </c>
      <c r="G109">
        <v>1</v>
      </c>
      <c r="H109" s="6">
        <v>41.95</v>
      </c>
      <c r="I109" t="s">
        <v>271</v>
      </c>
      <c r="J109" t="s">
        <v>272</v>
      </c>
      <c r="K109" t="s">
        <v>273</v>
      </c>
      <c r="L109" t="s">
        <v>274</v>
      </c>
      <c r="M109" s="7" t="s">
        <v>275</v>
      </c>
      <c r="N109" t="s">
        <v>169</v>
      </c>
    </row>
    <row r="110" spans="1:14" x14ac:dyDescent="0.2">
      <c r="A110">
        <v>10356</v>
      </c>
      <c r="B110" t="s">
        <v>185</v>
      </c>
      <c r="C110">
        <v>6</v>
      </c>
      <c r="D110" s="5">
        <v>35387</v>
      </c>
      <c r="E110" s="5">
        <v>35415</v>
      </c>
      <c r="F110" s="5">
        <v>35396</v>
      </c>
      <c r="G110">
        <v>2</v>
      </c>
      <c r="H110" s="6">
        <v>36.71</v>
      </c>
      <c r="I110" t="s">
        <v>186</v>
      </c>
      <c r="J110" t="s">
        <v>187</v>
      </c>
      <c r="K110" t="s">
        <v>188</v>
      </c>
      <c r="L110" t="s">
        <v>18</v>
      </c>
      <c r="M110" s="7">
        <v>70563</v>
      </c>
      <c r="N110" t="s">
        <v>24</v>
      </c>
    </row>
    <row r="111" spans="1:14" x14ac:dyDescent="0.2">
      <c r="A111">
        <v>10357</v>
      </c>
      <c r="B111" t="s">
        <v>151</v>
      </c>
      <c r="C111">
        <v>1</v>
      </c>
      <c r="D111" s="5">
        <v>35388</v>
      </c>
      <c r="E111" s="5">
        <v>35416</v>
      </c>
      <c r="F111" s="5">
        <v>35401</v>
      </c>
      <c r="G111">
        <v>3</v>
      </c>
      <c r="H111" s="6">
        <v>34.880000000000003</v>
      </c>
      <c r="I111" t="s">
        <v>152</v>
      </c>
      <c r="J111" t="s">
        <v>153</v>
      </c>
      <c r="K111" t="s">
        <v>154</v>
      </c>
      <c r="L111" t="s">
        <v>155</v>
      </c>
      <c r="M111" s="7">
        <v>3508</v>
      </c>
      <c r="N111" t="s">
        <v>62</v>
      </c>
    </row>
    <row r="112" spans="1:14" x14ac:dyDescent="0.2">
      <c r="A112">
        <v>10358</v>
      </c>
      <c r="B112" t="s">
        <v>262</v>
      </c>
      <c r="C112">
        <v>5</v>
      </c>
      <c r="D112" s="5">
        <v>35389</v>
      </c>
      <c r="E112" s="5">
        <v>35417</v>
      </c>
      <c r="F112" s="5">
        <v>35396</v>
      </c>
      <c r="G112">
        <v>1</v>
      </c>
      <c r="H112" s="6">
        <v>19.64</v>
      </c>
      <c r="I112" t="s">
        <v>263</v>
      </c>
      <c r="J112" t="s">
        <v>264</v>
      </c>
      <c r="K112" t="s">
        <v>265</v>
      </c>
      <c r="L112" t="s">
        <v>18</v>
      </c>
      <c r="M112" s="7">
        <v>31000</v>
      </c>
      <c r="N112" t="s">
        <v>19</v>
      </c>
    </row>
    <row r="113" spans="1:14" x14ac:dyDescent="0.2">
      <c r="A113">
        <v>10359</v>
      </c>
      <c r="B113" t="s">
        <v>276</v>
      </c>
      <c r="C113">
        <v>5</v>
      </c>
      <c r="D113" s="5">
        <v>35390</v>
      </c>
      <c r="E113" s="5">
        <v>35418</v>
      </c>
      <c r="F113" s="5">
        <v>35395</v>
      </c>
      <c r="G113">
        <v>3</v>
      </c>
      <c r="H113" s="6">
        <v>288.43</v>
      </c>
      <c r="I113" t="s">
        <v>277</v>
      </c>
      <c r="J113" t="s">
        <v>278</v>
      </c>
      <c r="K113" t="s">
        <v>167</v>
      </c>
      <c r="L113" t="s">
        <v>18</v>
      </c>
      <c r="M113" s="7" t="s">
        <v>279</v>
      </c>
      <c r="N113" t="s">
        <v>169</v>
      </c>
    </row>
    <row r="114" spans="1:14" x14ac:dyDescent="0.2">
      <c r="A114">
        <v>10360</v>
      </c>
      <c r="B114" t="s">
        <v>93</v>
      </c>
      <c r="C114">
        <v>4</v>
      </c>
      <c r="D114" s="5">
        <v>35391</v>
      </c>
      <c r="E114" s="5">
        <v>35419</v>
      </c>
      <c r="F114" s="5">
        <v>35401</v>
      </c>
      <c r="G114">
        <v>3</v>
      </c>
      <c r="H114" s="6">
        <v>131.69999999999999</v>
      </c>
      <c r="I114" t="s">
        <v>94</v>
      </c>
      <c r="J114" t="s">
        <v>422</v>
      </c>
      <c r="K114" t="s">
        <v>96</v>
      </c>
      <c r="L114" t="s">
        <v>18</v>
      </c>
      <c r="M114" s="7">
        <v>67000</v>
      </c>
      <c r="N114" t="s">
        <v>19</v>
      </c>
    </row>
    <row r="115" spans="1:14" x14ac:dyDescent="0.2">
      <c r="A115">
        <v>10361</v>
      </c>
      <c r="B115" t="s">
        <v>121</v>
      </c>
      <c r="C115">
        <v>1</v>
      </c>
      <c r="D115" s="5">
        <v>35391</v>
      </c>
      <c r="E115" s="5">
        <v>35419</v>
      </c>
      <c r="F115" s="5">
        <v>35402</v>
      </c>
      <c r="G115">
        <v>2</v>
      </c>
      <c r="H115" s="6">
        <v>183.17</v>
      </c>
      <c r="I115" t="s">
        <v>122</v>
      </c>
      <c r="J115" t="s">
        <v>123</v>
      </c>
      <c r="K115" t="s">
        <v>124</v>
      </c>
      <c r="L115" t="s">
        <v>18</v>
      </c>
      <c r="M115" s="7">
        <v>1307</v>
      </c>
      <c r="N115" t="s">
        <v>24</v>
      </c>
    </row>
    <row r="116" spans="1:14" x14ac:dyDescent="0.2">
      <c r="A116">
        <v>10362</v>
      </c>
      <c r="B116" t="s">
        <v>239</v>
      </c>
      <c r="C116">
        <v>3</v>
      </c>
      <c r="D116" s="5">
        <v>35394</v>
      </c>
      <c r="E116" s="5">
        <v>35422</v>
      </c>
      <c r="F116" s="5">
        <v>35397</v>
      </c>
      <c r="G116">
        <v>1</v>
      </c>
      <c r="H116" s="6">
        <v>96.04</v>
      </c>
      <c r="I116" t="s">
        <v>240</v>
      </c>
      <c r="J116" t="s">
        <v>430</v>
      </c>
      <c r="K116" t="s">
        <v>242</v>
      </c>
      <c r="L116" t="s">
        <v>18</v>
      </c>
      <c r="M116" s="7">
        <v>13008</v>
      </c>
      <c r="N116" t="s">
        <v>19</v>
      </c>
    </row>
    <row r="117" spans="1:14" x14ac:dyDescent="0.2">
      <c r="A117">
        <v>10363</v>
      </c>
      <c r="B117" t="s">
        <v>280</v>
      </c>
      <c r="C117">
        <v>4</v>
      </c>
      <c r="D117" s="5">
        <v>35395</v>
      </c>
      <c r="E117" s="5">
        <v>35423</v>
      </c>
      <c r="F117" s="5">
        <v>35403</v>
      </c>
      <c r="G117">
        <v>3</v>
      </c>
      <c r="H117" s="6">
        <v>30.54</v>
      </c>
      <c r="I117" t="s">
        <v>281</v>
      </c>
      <c r="J117" t="s">
        <v>282</v>
      </c>
      <c r="K117" t="s">
        <v>283</v>
      </c>
      <c r="L117" t="s">
        <v>18</v>
      </c>
      <c r="M117" s="7">
        <v>52066</v>
      </c>
      <c r="N117" t="s">
        <v>24</v>
      </c>
    </row>
    <row r="118" spans="1:14" x14ac:dyDescent="0.2">
      <c r="A118">
        <v>10364</v>
      </c>
      <c r="B118" t="s">
        <v>284</v>
      </c>
      <c r="C118">
        <v>1</v>
      </c>
      <c r="D118" s="5">
        <v>35395</v>
      </c>
      <c r="E118" s="5">
        <v>35437</v>
      </c>
      <c r="F118" s="5">
        <v>35403</v>
      </c>
      <c r="G118">
        <v>1</v>
      </c>
      <c r="H118" s="6">
        <v>71.97</v>
      </c>
      <c r="I118" t="s">
        <v>285</v>
      </c>
      <c r="J118" t="s">
        <v>286</v>
      </c>
      <c r="K118" t="s">
        <v>167</v>
      </c>
      <c r="L118" t="s">
        <v>18</v>
      </c>
      <c r="M118" s="7" t="s">
        <v>287</v>
      </c>
      <c r="N118" t="s">
        <v>169</v>
      </c>
    </row>
    <row r="119" spans="1:14" x14ac:dyDescent="0.2">
      <c r="A119">
        <v>10365</v>
      </c>
      <c r="B119" t="s">
        <v>288</v>
      </c>
      <c r="C119">
        <v>3</v>
      </c>
      <c r="D119" s="5">
        <v>35396</v>
      </c>
      <c r="E119" s="5">
        <v>35424</v>
      </c>
      <c r="F119" s="5">
        <v>35401</v>
      </c>
      <c r="G119">
        <v>2</v>
      </c>
      <c r="H119" s="6">
        <v>22</v>
      </c>
      <c r="I119" t="s">
        <v>289</v>
      </c>
      <c r="J119" t="s">
        <v>290</v>
      </c>
      <c r="K119" t="s">
        <v>71</v>
      </c>
      <c r="L119" t="s">
        <v>18</v>
      </c>
      <c r="M119" s="7">
        <v>5023</v>
      </c>
      <c r="N119" t="s">
        <v>72</v>
      </c>
    </row>
    <row r="120" spans="1:14" x14ac:dyDescent="0.2">
      <c r="A120">
        <v>10366</v>
      </c>
      <c r="B120" t="s">
        <v>291</v>
      </c>
      <c r="C120">
        <v>8</v>
      </c>
      <c r="D120" s="5">
        <v>35397</v>
      </c>
      <c r="E120" s="5">
        <v>35439</v>
      </c>
      <c r="F120" s="5">
        <v>35429</v>
      </c>
      <c r="G120">
        <v>2</v>
      </c>
      <c r="H120" s="6">
        <v>10.14</v>
      </c>
      <c r="I120" t="s">
        <v>292</v>
      </c>
      <c r="J120" t="s">
        <v>432</v>
      </c>
      <c r="K120" t="s">
        <v>294</v>
      </c>
      <c r="L120" t="s">
        <v>18</v>
      </c>
      <c r="M120" s="7">
        <v>8022</v>
      </c>
      <c r="N120" t="s">
        <v>150</v>
      </c>
    </row>
    <row r="121" spans="1:14" x14ac:dyDescent="0.2">
      <c r="A121">
        <v>10367</v>
      </c>
      <c r="B121" t="s">
        <v>295</v>
      </c>
      <c r="C121">
        <v>7</v>
      </c>
      <c r="D121" s="5">
        <v>35397</v>
      </c>
      <c r="E121" s="5">
        <v>35425</v>
      </c>
      <c r="F121" s="5">
        <v>35401</v>
      </c>
      <c r="G121">
        <v>3</v>
      </c>
      <c r="H121" s="6">
        <v>13.55</v>
      </c>
      <c r="I121" t="s">
        <v>296</v>
      </c>
      <c r="J121" t="s">
        <v>297</v>
      </c>
      <c r="K121" t="s">
        <v>298</v>
      </c>
      <c r="L121" t="s">
        <v>18</v>
      </c>
      <c r="M121" s="7">
        <v>8200</v>
      </c>
      <c r="N121" t="s">
        <v>257</v>
      </c>
    </row>
    <row r="122" spans="1:14" x14ac:dyDescent="0.2">
      <c r="A122">
        <v>10368</v>
      </c>
      <c r="B122" t="s">
        <v>63</v>
      </c>
      <c r="C122">
        <v>2</v>
      </c>
      <c r="D122" s="5">
        <v>35398</v>
      </c>
      <c r="E122" s="5">
        <v>35426</v>
      </c>
      <c r="F122" s="5">
        <v>35401</v>
      </c>
      <c r="G122">
        <v>2</v>
      </c>
      <c r="H122" s="6">
        <v>101.95</v>
      </c>
      <c r="I122" t="s">
        <v>64</v>
      </c>
      <c r="J122" t="s">
        <v>65</v>
      </c>
      <c r="K122" t="s">
        <v>66</v>
      </c>
      <c r="L122" t="s">
        <v>18</v>
      </c>
      <c r="M122" s="7">
        <v>8010</v>
      </c>
      <c r="N122" t="s">
        <v>67</v>
      </c>
    </row>
    <row r="123" spans="1:14" x14ac:dyDescent="0.2">
      <c r="A123">
        <v>10369</v>
      </c>
      <c r="B123" t="s">
        <v>116</v>
      </c>
      <c r="C123">
        <v>8</v>
      </c>
      <c r="D123" s="5">
        <v>35401</v>
      </c>
      <c r="E123" s="5">
        <v>35429</v>
      </c>
      <c r="F123" s="5">
        <v>35408</v>
      </c>
      <c r="G123">
        <v>2</v>
      </c>
      <c r="H123" s="6">
        <v>195.68</v>
      </c>
      <c r="I123" t="s">
        <v>117</v>
      </c>
      <c r="J123" t="s">
        <v>118</v>
      </c>
      <c r="K123" t="s">
        <v>119</v>
      </c>
      <c r="L123" t="s">
        <v>120</v>
      </c>
      <c r="M123" s="7">
        <v>82520</v>
      </c>
      <c r="N123" t="s">
        <v>86</v>
      </c>
    </row>
    <row r="124" spans="1:14" x14ac:dyDescent="0.2">
      <c r="A124">
        <v>10370</v>
      </c>
      <c r="B124" t="s">
        <v>42</v>
      </c>
      <c r="C124">
        <v>6</v>
      </c>
      <c r="D124" s="5">
        <v>35402</v>
      </c>
      <c r="E124" s="5">
        <v>35430</v>
      </c>
      <c r="F124" s="5">
        <v>35426</v>
      </c>
      <c r="G124">
        <v>2</v>
      </c>
      <c r="H124" s="6">
        <v>1.17</v>
      </c>
      <c r="I124" t="s">
        <v>43</v>
      </c>
      <c r="J124" t="s">
        <v>44</v>
      </c>
      <c r="K124" t="s">
        <v>45</v>
      </c>
      <c r="L124" t="s">
        <v>18</v>
      </c>
      <c r="M124" s="7">
        <v>3012</v>
      </c>
      <c r="N124" t="s">
        <v>46</v>
      </c>
    </row>
    <row r="125" spans="1:14" x14ac:dyDescent="0.2">
      <c r="A125">
        <v>10371</v>
      </c>
      <c r="B125" t="s">
        <v>262</v>
      </c>
      <c r="C125">
        <v>1</v>
      </c>
      <c r="D125" s="5">
        <v>35402</v>
      </c>
      <c r="E125" s="5">
        <v>35430</v>
      </c>
      <c r="F125" s="5">
        <v>35423</v>
      </c>
      <c r="G125">
        <v>1</v>
      </c>
      <c r="H125" s="6">
        <v>0.45</v>
      </c>
      <c r="I125" t="s">
        <v>263</v>
      </c>
      <c r="J125" t="s">
        <v>264</v>
      </c>
      <c r="K125" t="s">
        <v>265</v>
      </c>
      <c r="L125" t="s">
        <v>18</v>
      </c>
      <c r="M125" s="7">
        <v>31000</v>
      </c>
      <c r="N125" t="s">
        <v>19</v>
      </c>
    </row>
    <row r="126" spans="1:14" x14ac:dyDescent="0.2">
      <c r="A126">
        <v>10372</v>
      </c>
      <c r="B126" t="s">
        <v>299</v>
      </c>
      <c r="C126">
        <v>5</v>
      </c>
      <c r="D126" s="5">
        <v>35403</v>
      </c>
      <c r="E126" s="5">
        <v>35431</v>
      </c>
      <c r="F126" s="5">
        <v>35408</v>
      </c>
      <c r="G126">
        <v>2</v>
      </c>
      <c r="H126" s="6">
        <v>890.78</v>
      </c>
      <c r="I126" t="s">
        <v>300</v>
      </c>
      <c r="J126" t="s">
        <v>433</v>
      </c>
      <c r="K126" t="s">
        <v>173</v>
      </c>
      <c r="L126" t="s">
        <v>55</v>
      </c>
      <c r="M126" s="7" t="s">
        <v>302</v>
      </c>
      <c r="N126" t="s">
        <v>31</v>
      </c>
    </row>
    <row r="127" spans="1:14" x14ac:dyDescent="0.2">
      <c r="A127">
        <v>10373</v>
      </c>
      <c r="B127" t="s">
        <v>179</v>
      </c>
      <c r="C127">
        <v>4</v>
      </c>
      <c r="D127" s="5">
        <v>35404</v>
      </c>
      <c r="E127" s="5">
        <v>35432</v>
      </c>
      <c r="F127" s="5">
        <v>35410</v>
      </c>
      <c r="G127">
        <v>3</v>
      </c>
      <c r="H127" s="6">
        <v>124.12</v>
      </c>
      <c r="I127" t="s">
        <v>180</v>
      </c>
      <c r="J127" t="s">
        <v>181</v>
      </c>
      <c r="K127" t="s">
        <v>182</v>
      </c>
      <c r="L127" t="s">
        <v>183</v>
      </c>
      <c r="M127" s="7" t="s">
        <v>18</v>
      </c>
      <c r="N127" t="s">
        <v>184</v>
      </c>
    </row>
    <row r="128" spans="1:14" x14ac:dyDescent="0.2">
      <c r="A128">
        <v>10374</v>
      </c>
      <c r="B128" t="s">
        <v>303</v>
      </c>
      <c r="C128">
        <v>1</v>
      </c>
      <c r="D128" s="5">
        <v>35404</v>
      </c>
      <c r="E128" s="5">
        <v>35432</v>
      </c>
      <c r="F128" s="5">
        <v>35408</v>
      </c>
      <c r="G128">
        <v>3</v>
      </c>
      <c r="H128" s="6">
        <v>3.94</v>
      </c>
      <c r="I128" t="s">
        <v>304</v>
      </c>
      <c r="J128" t="s">
        <v>305</v>
      </c>
      <c r="K128" t="s">
        <v>306</v>
      </c>
      <c r="L128" t="s">
        <v>18</v>
      </c>
      <c r="M128" s="7" t="s">
        <v>307</v>
      </c>
      <c r="N128" t="s">
        <v>308</v>
      </c>
    </row>
    <row r="129" spans="1:14" x14ac:dyDescent="0.2">
      <c r="A129">
        <v>10375</v>
      </c>
      <c r="B129" t="s">
        <v>309</v>
      </c>
      <c r="C129">
        <v>3</v>
      </c>
      <c r="D129" s="5">
        <v>35405</v>
      </c>
      <c r="E129" s="5">
        <v>35433</v>
      </c>
      <c r="F129" s="5">
        <v>35408</v>
      </c>
      <c r="G129">
        <v>2</v>
      </c>
      <c r="H129" s="6">
        <v>20.12</v>
      </c>
      <c r="I129" t="s">
        <v>310</v>
      </c>
      <c r="J129" t="s">
        <v>311</v>
      </c>
      <c r="K129" t="s">
        <v>312</v>
      </c>
      <c r="L129" t="s">
        <v>202</v>
      </c>
      <c r="M129" s="7">
        <v>97827</v>
      </c>
      <c r="N129" t="s">
        <v>86</v>
      </c>
    </row>
    <row r="130" spans="1:14" x14ac:dyDescent="0.2">
      <c r="A130">
        <v>10376</v>
      </c>
      <c r="B130" t="s">
        <v>243</v>
      </c>
      <c r="C130">
        <v>1</v>
      </c>
      <c r="D130" s="5">
        <v>35408</v>
      </c>
      <c r="E130" s="5">
        <v>35436</v>
      </c>
      <c r="F130" s="5">
        <v>35412</v>
      </c>
      <c r="G130">
        <v>2</v>
      </c>
      <c r="H130" s="6">
        <v>20.39</v>
      </c>
      <c r="I130" t="s">
        <v>244</v>
      </c>
      <c r="J130" t="s">
        <v>245</v>
      </c>
      <c r="K130" t="s">
        <v>246</v>
      </c>
      <c r="L130" t="s">
        <v>247</v>
      </c>
      <c r="M130" s="7" t="s">
        <v>248</v>
      </c>
      <c r="N130" t="s">
        <v>249</v>
      </c>
    </row>
    <row r="131" spans="1:14" x14ac:dyDescent="0.2">
      <c r="A131">
        <v>10377</v>
      </c>
      <c r="B131" t="s">
        <v>276</v>
      </c>
      <c r="C131">
        <v>1</v>
      </c>
      <c r="D131" s="5">
        <v>35408</v>
      </c>
      <c r="E131" s="5">
        <v>35436</v>
      </c>
      <c r="F131" s="5">
        <v>35412</v>
      </c>
      <c r="G131">
        <v>3</v>
      </c>
      <c r="H131" s="6">
        <v>22.21</v>
      </c>
      <c r="I131" t="s">
        <v>277</v>
      </c>
      <c r="J131" t="s">
        <v>278</v>
      </c>
      <c r="K131" t="s">
        <v>167</v>
      </c>
      <c r="L131" t="s">
        <v>18</v>
      </c>
      <c r="M131" s="7" t="s">
        <v>279</v>
      </c>
      <c r="N131" t="s">
        <v>169</v>
      </c>
    </row>
    <row r="132" spans="1:14" x14ac:dyDescent="0.2">
      <c r="A132">
        <v>10378</v>
      </c>
      <c r="B132" t="s">
        <v>87</v>
      </c>
      <c r="C132">
        <v>5</v>
      </c>
      <c r="D132" s="5">
        <v>35409</v>
      </c>
      <c r="E132" s="5">
        <v>35437</v>
      </c>
      <c r="F132" s="5">
        <v>35418</v>
      </c>
      <c r="G132">
        <v>3</v>
      </c>
      <c r="H132" s="6">
        <v>5.44</v>
      </c>
      <c r="I132" t="s">
        <v>88</v>
      </c>
      <c r="J132" t="s">
        <v>89</v>
      </c>
      <c r="K132" t="s">
        <v>90</v>
      </c>
      <c r="L132" t="s">
        <v>18</v>
      </c>
      <c r="M132" s="7" t="s">
        <v>91</v>
      </c>
      <c r="N132" t="s">
        <v>92</v>
      </c>
    </row>
    <row r="133" spans="1:14" x14ac:dyDescent="0.2">
      <c r="A133">
        <v>10379</v>
      </c>
      <c r="B133" t="s">
        <v>77</v>
      </c>
      <c r="C133">
        <v>2</v>
      </c>
      <c r="D133" s="5">
        <v>35410</v>
      </c>
      <c r="E133" s="5">
        <v>35438</v>
      </c>
      <c r="F133" s="5">
        <v>35412</v>
      </c>
      <c r="G133">
        <v>1</v>
      </c>
      <c r="H133" s="6">
        <v>45.03</v>
      </c>
      <c r="I133" t="s">
        <v>78</v>
      </c>
      <c r="J133" t="s">
        <v>421</v>
      </c>
      <c r="K133" t="s">
        <v>28</v>
      </c>
      <c r="L133" t="s">
        <v>29</v>
      </c>
      <c r="M133" s="7" t="s">
        <v>80</v>
      </c>
      <c r="N133" t="s">
        <v>31</v>
      </c>
    </row>
    <row r="134" spans="1:14" x14ac:dyDescent="0.2">
      <c r="A134">
        <v>10380</v>
      </c>
      <c r="B134" t="s">
        <v>179</v>
      </c>
      <c r="C134">
        <v>8</v>
      </c>
      <c r="D134" s="5">
        <v>35411</v>
      </c>
      <c r="E134" s="5">
        <v>35439</v>
      </c>
      <c r="F134" s="5">
        <v>35446</v>
      </c>
      <c r="G134">
        <v>3</v>
      </c>
      <c r="H134" s="6">
        <v>35.03</v>
      </c>
      <c r="I134" t="s">
        <v>180</v>
      </c>
      <c r="J134" t="s">
        <v>181</v>
      </c>
      <c r="K134" t="s">
        <v>182</v>
      </c>
      <c r="L134" t="s">
        <v>183</v>
      </c>
      <c r="M134" s="7" t="s">
        <v>18</v>
      </c>
      <c r="N134" t="s">
        <v>184</v>
      </c>
    </row>
    <row r="135" spans="1:14" x14ac:dyDescent="0.2">
      <c r="A135">
        <v>10381</v>
      </c>
      <c r="B135" t="s">
        <v>151</v>
      </c>
      <c r="C135">
        <v>3</v>
      </c>
      <c r="D135" s="5">
        <v>35411</v>
      </c>
      <c r="E135" s="5">
        <v>35439</v>
      </c>
      <c r="F135" s="5">
        <v>35412</v>
      </c>
      <c r="G135">
        <v>3</v>
      </c>
      <c r="H135" s="6">
        <v>7.99</v>
      </c>
      <c r="I135" t="s">
        <v>152</v>
      </c>
      <c r="J135" t="s">
        <v>153</v>
      </c>
      <c r="K135" t="s">
        <v>154</v>
      </c>
      <c r="L135" t="s">
        <v>155</v>
      </c>
      <c r="M135" s="7">
        <v>3508</v>
      </c>
      <c r="N135" t="s">
        <v>62</v>
      </c>
    </row>
    <row r="136" spans="1:14" x14ac:dyDescent="0.2">
      <c r="A136">
        <v>10382</v>
      </c>
      <c r="B136" t="s">
        <v>63</v>
      </c>
      <c r="C136">
        <v>4</v>
      </c>
      <c r="D136" s="5">
        <v>35412</v>
      </c>
      <c r="E136" s="5">
        <v>35440</v>
      </c>
      <c r="F136" s="5">
        <v>35415</v>
      </c>
      <c r="G136">
        <v>1</v>
      </c>
      <c r="H136" s="6">
        <v>94.77</v>
      </c>
      <c r="I136" t="s">
        <v>64</v>
      </c>
      <c r="J136" t="s">
        <v>65</v>
      </c>
      <c r="K136" t="s">
        <v>66</v>
      </c>
      <c r="L136" t="s">
        <v>18</v>
      </c>
      <c r="M136" s="7">
        <v>8010</v>
      </c>
      <c r="N136" t="s">
        <v>67</v>
      </c>
    </row>
    <row r="137" spans="1:14" x14ac:dyDescent="0.2">
      <c r="A137">
        <v>10383</v>
      </c>
      <c r="B137" t="s">
        <v>270</v>
      </c>
      <c r="C137">
        <v>8</v>
      </c>
      <c r="D137" s="5">
        <v>35415</v>
      </c>
      <c r="E137" s="5">
        <v>35443</v>
      </c>
      <c r="F137" s="5">
        <v>35417</v>
      </c>
      <c r="G137">
        <v>3</v>
      </c>
      <c r="H137" s="6">
        <v>34.24</v>
      </c>
      <c r="I137" t="s">
        <v>271</v>
      </c>
      <c r="J137" t="s">
        <v>272</v>
      </c>
      <c r="K137" t="s">
        <v>273</v>
      </c>
      <c r="L137" t="s">
        <v>274</v>
      </c>
      <c r="M137" s="7" t="s">
        <v>275</v>
      </c>
      <c r="N137" t="s">
        <v>169</v>
      </c>
    </row>
    <row r="138" spans="1:14" x14ac:dyDescent="0.2">
      <c r="A138">
        <v>10384</v>
      </c>
      <c r="B138" t="s">
        <v>137</v>
      </c>
      <c r="C138">
        <v>3</v>
      </c>
      <c r="D138" s="5">
        <v>35415</v>
      </c>
      <c r="E138" s="5">
        <v>35443</v>
      </c>
      <c r="F138" s="5">
        <v>35419</v>
      </c>
      <c r="G138">
        <v>3</v>
      </c>
      <c r="H138" s="6">
        <v>168.64</v>
      </c>
      <c r="I138" t="s">
        <v>138</v>
      </c>
      <c r="J138" t="s">
        <v>139</v>
      </c>
      <c r="K138" t="s">
        <v>140</v>
      </c>
      <c r="L138" t="s">
        <v>18</v>
      </c>
      <c r="M138" s="7" t="s">
        <v>141</v>
      </c>
      <c r="N138" t="s">
        <v>92</v>
      </c>
    </row>
    <row r="139" spans="1:14" x14ac:dyDescent="0.2">
      <c r="A139">
        <v>10385</v>
      </c>
      <c r="B139" t="s">
        <v>116</v>
      </c>
      <c r="C139">
        <v>1</v>
      </c>
      <c r="D139" s="5">
        <v>35416</v>
      </c>
      <c r="E139" s="5">
        <v>35444</v>
      </c>
      <c r="F139" s="5">
        <v>35422</v>
      </c>
      <c r="G139">
        <v>2</v>
      </c>
      <c r="H139" s="6">
        <v>30.96</v>
      </c>
      <c r="I139" t="s">
        <v>117</v>
      </c>
      <c r="J139" t="s">
        <v>118</v>
      </c>
      <c r="K139" t="s">
        <v>119</v>
      </c>
      <c r="L139" t="s">
        <v>120</v>
      </c>
      <c r="M139" s="7">
        <v>82520</v>
      </c>
      <c r="N139" t="s">
        <v>86</v>
      </c>
    </row>
    <row r="140" spans="1:14" x14ac:dyDescent="0.2">
      <c r="A140">
        <v>10386</v>
      </c>
      <c r="B140" t="s">
        <v>258</v>
      </c>
      <c r="C140">
        <v>9</v>
      </c>
      <c r="D140" s="5">
        <v>35417</v>
      </c>
      <c r="E140" s="5">
        <v>35431</v>
      </c>
      <c r="F140" s="5">
        <v>35424</v>
      </c>
      <c r="G140">
        <v>3</v>
      </c>
      <c r="H140" s="6">
        <v>13.99</v>
      </c>
      <c r="I140" t="s">
        <v>259</v>
      </c>
      <c r="J140" t="s">
        <v>431</v>
      </c>
      <c r="K140" t="s">
        <v>173</v>
      </c>
      <c r="L140" t="s">
        <v>55</v>
      </c>
      <c r="M140" s="7" t="s">
        <v>261</v>
      </c>
      <c r="N140" t="s">
        <v>31</v>
      </c>
    </row>
    <row r="141" spans="1:14" x14ac:dyDescent="0.2">
      <c r="A141">
        <v>10387</v>
      </c>
      <c r="B141" t="s">
        <v>313</v>
      </c>
      <c r="C141">
        <v>1</v>
      </c>
      <c r="D141" s="5">
        <v>35417</v>
      </c>
      <c r="E141" s="5">
        <v>35445</v>
      </c>
      <c r="F141" s="5">
        <v>35419</v>
      </c>
      <c r="G141">
        <v>2</v>
      </c>
      <c r="H141" s="6">
        <v>93.63</v>
      </c>
      <c r="I141" t="s">
        <v>314</v>
      </c>
      <c r="J141" t="s">
        <v>315</v>
      </c>
      <c r="K141" t="s">
        <v>316</v>
      </c>
      <c r="L141" t="s">
        <v>18</v>
      </c>
      <c r="M141" s="7">
        <v>4110</v>
      </c>
      <c r="N141" t="s">
        <v>317</v>
      </c>
    </row>
    <row r="142" spans="1:14" x14ac:dyDescent="0.2">
      <c r="A142">
        <v>10388</v>
      </c>
      <c r="B142" t="s">
        <v>276</v>
      </c>
      <c r="C142">
        <v>2</v>
      </c>
      <c r="D142" s="5">
        <v>35418</v>
      </c>
      <c r="E142" s="5">
        <v>35446</v>
      </c>
      <c r="F142" s="5">
        <v>35419</v>
      </c>
      <c r="G142">
        <v>1</v>
      </c>
      <c r="H142" s="6">
        <v>34.86</v>
      </c>
      <c r="I142" t="s">
        <v>277</v>
      </c>
      <c r="J142" t="s">
        <v>278</v>
      </c>
      <c r="K142" t="s">
        <v>167</v>
      </c>
      <c r="L142" t="s">
        <v>18</v>
      </c>
      <c r="M142" s="7" t="s">
        <v>279</v>
      </c>
      <c r="N142" t="s">
        <v>169</v>
      </c>
    </row>
    <row r="143" spans="1:14" x14ac:dyDescent="0.2">
      <c r="A143">
        <v>10389</v>
      </c>
      <c r="B143" t="s">
        <v>318</v>
      </c>
      <c r="C143">
        <v>4</v>
      </c>
      <c r="D143" s="5">
        <v>35419</v>
      </c>
      <c r="E143" s="5">
        <v>35447</v>
      </c>
      <c r="F143" s="5">
        <v>35423</v>
      </c>
      <c r="G143">
        <v>2</v>
      </c>
      <c r="H143" s="6">
        <v>47.42</v>
      </c>
      <c r="I143" t="s">
        <v>319</v>
      </c>
      <c r="J143" t="s">
        <v>320</v>
      </c>
      <c r="K143" t="s">
        <v>321</v>
      </c>
      <c r="L143" t="s">
        <v>322</v>
      </c>
      <c r="M143" s="7" t="s">
        <v>323</v>
      </c>
      <c r="N143" t="s">
        <v>249</v>
      </c>
    </row>
    <row r="144" spans="1:14" x14ac:dyDescent="0.2">
      <c r="A144">
        <v>10390</v>
      </c>
      <c r="B144" t="s">
        <v>63</v>
      </c>
      <c r="C144">
        <v>6</v>
      </c>
      <c r="D144" s="5">
        <v>35422</v>
      </c>
      <c r="E144" s="5">
        <v>35450</v>
      </c>
      <c r="F144" s="5">
        <v>35425</v>
      </c>
      <c r="G144">
        <v>1</v>
      </c>
      <c r="H144" s="6">
        <v>126.38</v>
      </c>
      <c r="I144" t="s">
        <v>64</v>
      </c>
      <c r="J144" t="s">
        <v>65</v>
      </c>
      <c r="K144" t="s">
        <v>66</v>
      </c>
      <c r="L144" t="s">
        <v>18</v>
      </c>
      <c r="M144" s="7">
        <v>8010</v>
      </c>
      <c r="N144" t="s">
        <v>67</v>
      </c>
    </row>
    <row r="145" spans="1:14" x14ac:dyDescent="0.2">
      <c r="A145">
        <v>10391</v>
      </c>
      <c r="B145" t="s">
        <v>280</v>
      </c>
      <c r="C145">
        <v>3</v>
      </c>
      <c r="D145" s="5">
        <v>35422</v>
      </c>
      <c r="E145" s="5">
        <v>35450</v>
      </c>
      <c r="F145" s="5">
        <v>35430</v>
      </c>
      <c r="G145">
        <v>3</v>
      </c>
      <c r="H145" s="6">
        <v>5.45</v>
      </c>
      <c r="I145" t="s">
        <v>281</v>
      </c>
      <c r="J145" t="s">
        <v>282</v>
      </c>
      <c r="K145" t="s">
        <v>283</v>
      </c>
      <c r="L145" t="s">
        <v>18</v>
      </c>
      <c r="M145" s="7">
        <v>52066</v>
      </c>
      <c r="N145" t="s">
        <v>24</v>
      </c>
    </row>
    <row r="146" spans="1:14" x14ac:dyDescent="0.2">
      <c r="A146">
        <v>10392</v>
      </c>
      <c r="B146" t="s">
        <v>266</v>
      </c>
      <c r="C146">
        <v>2</v>
      </c>
      <c r="D146" s="5">
        <v>35423</v>
      </c>
      <c r="E146" s="5">
        <v>35451</v>
      </c>
      <c r="F146" s="5">
        <v>35431</v>
      </c>
      <c r="G146">
        <v>3</v>
      </c>
      <c r="H146" s="6">
        <v>122.46</v>
      </c>
      <c r="I146" t="s">
        <v>267</v>
      </c>
      <c r="J146" t="s">
        <v>268</v>
      </c>
      <c r="K146" t="s">
        <v>269</v>
      </c>
      <c r="L146" t="s">
        <v>18</v>
      </c>
      <c r="M146" s="7">
        <v>5020</v>
      </c>
      <c r="N146" t="s">
        <v>67</v>
      </c>
    </row>
    <row r="147" spans="1:14" x14ac:dyDescent="0.2">
      <c r="A147">
        <v>10393</v>
      </c>
      <c r="B147" t="s">
        <v>226</v>
      </c>
      <c r="C147">
        <v>1</v>
      </c>
      <c r="D147" s="5">
        <v>35424</v>
      </c>
      <c r="E147" s="5">
        <v>35452</v>
      </c>
      <c r="F147" s="5">
        <v>35433</v>
      </c>
      <c r="G147">
        <v>3</v>
      </c>
      <c r="H147" s="6">
        <v>126.56</v>
      </c>
      <c r="I147" t="s">
        <v>227</v>
      </c>
      <c r="J147" t="s">
        <v>228</v>
      </c>
      <c r="K147" t="s">
        <v>229</v>
      </c>
      <c r="L147" t="s">
        <v>230</v>
      </c>
      <c r="M147" s="7">
        <v>83720</v>
      </c>
      <c r="N147" t="s">
        <v>86</v>
      </c>
    </row>
    <row r="148" spans="1:14" x14ac:dyDescent="0.2">
      <c r="A148">
        <v>10394</v>
      </c>
      <c r="B148" t="s">
        <v>309</v>
      </c>
      <c r="C148">
        <v>1</v>
      </c>
      <c r="D148" s="5">
        <v>35424</v>
      </c>
      <c r="E148" s="5">
        <v>35452</v>
      </c>
      <c r="F148" s="5">
        <v>35433</v>
      </c>
      <c r="G148">
        <v>3</v>
      </c>
      <c r="H148" s="6">
        <v>30.34</v>
      </c>
      <c r="I148" t="s">
        <v>310</v>
      </c>
      <c r="J148" t="s">
        <v>311</v>
      </c>
      <c r="K148" t="s">
        <v>312</v>
      </c>
      <c r="L148" t="s">
        <v>202</v>
      </c>
      <c r="M148" s="7">
        <v>97827</v>
      </c>
      <c r="N148" t="s">
        <v>86</v>
      </c>
    </row>
    <row r="149" spans="1:14" x14ac:dyDescent="0.2">
      <c r="A149">
        <v>10395</v>
      </c>
      <c r="B149" t="s">
        <v>57</v>
      </c>
      <c r="C149">
        <v>6</v>
      </c>
      <c r="D149" s="5">
        <v>35425</v>
      </c>
      <c r="E149" s="5">
        <v>35453</v>
      </c>
      <c r="F149" s="5">
        <v>35433</v>
      </c>
      <c r="G149">
        <v>1</v>
      </c>
      <c r="H149" s="6">
        <v>184.41</v>
      </c>
      <c r="I149" t="s">
        <v>58</v>
      </c>
      <c r="J149" t="s">
        <v>59</v>
      </c>
      <c r="K149" t="s">
        <v>60</v>
      </c>
      <c r="L149" t="s">
        <v>61</v>
      </c>
      <c r="M149" s="7">
        <v>5022</v>
      </c>
      <c r="N149" t="s">
        <v>62</v>
      </c>
    </row>
    <row r="150" spans="1:14" x14ac:dyDescent="0.2">
      <c r="A150">
        <v>10396</v>
      </c>
      <c r="B150" t="s">
        <v>102</v>
      </c>
      <c r="C150">
        <v>1</v>
      </c>
      <c r="D150" s="5">
        <v>35426</v>
      </c>
      <c r="E150" s="5">
        <v>35440</v>
      </c>
      <c r="F150" s="5">
        <v>35436</v>
      </c>
      <c r="G150">
        <v>3</v>
      </c>
      <c r="H150" s="6">
        <v>135.35</v>
      </c>
      <c r="I150" t="s">
        <v>103</v>
      </c>
      <c r="J150" t="s">
        <v>104</v>
      </c>
      <c r="K150" t="s">
        <v>105</v>
      </c>
      <c r="L150" t="s">
        <v>18</v>
      </c>
      <c r="M150" s="7">
        <v>80805</v>
      </c>
      <c r="N150" t="s">
        <v>24</v>
      </c>
    </row>
    <row r="151" spans="1:14" x14ac:dyDescent="0.2">
      <c r="A151">
        <v>10397</v>
      </c>
      <c r="B151" t="s">
        <v>250</v>
      </c>
      <c r="C151">
        <v>5</v>
      </c>
      <c r="D151" s="5">
        <v>35426</v>
      </c>
      <c r="E151" s="5">
        <v>35454</v>
      </c>
      <c r="F151" s="5">
        <v>35432</v>
      </c>
      <c r="G151">
        <v>1</v>
      </c>
      <c r="H151" s="6">
        <v>60.26</v>
      </c>
      <c r="I151" t="s">
        <v>251</v>
      </c>
      <c r="J151" t="s">
        <v>252</v>
      </c>
      <c r="K151" t="s">
        <v>237</v>
      </c>
      <c r="L151" t="s">
        <v>18</v>
      </c>
      <c r="M151" s="7">
        <v>1756</v>
      </c>
      <c r="N151" t="s">
        <v>238</v>
      </c>
    </row>
    <row r="152" spans="1:14" x14ac:dyDescent="0.2">
      <c r="A152">
        <v>10398</v>
      </c>
      <c r="B152" t="s">
        <v>226</v>
      </c>
      <c r="C152">
        <v>2</v>
      </c>
      <c r="D152" s="5">
        <v>35429</v>
      </c>
      <c r="E152" s="5">
        <v>35457</v>
      </c>
      <c r="F152" s="5">
        <v>35439</v>
      </c>
      <c r="G152">
        <v>3</v>
      </c>
      <c r="H152" s="6">
        <v>89.16</v>
      </c>
      <c r="I152" t="s">
        <v>227</v>
      </c>
      <c r="J152" t="s">
        <v>228</v>
      </c>
      <c r="K152" t="s">
        <v>229</v>
      </c>
      <c r="L152" t="s">
        <v>230</v>
      </c>
      <c r="M152" s="7">
        <v>83720</v>
      </c>
      <c r="N152" t="s">
        <v>86</v>
      </c>
    </row>
    <row r="153" spans="1:14" x14ac:dyDescent="0.2">
      <c r="A153">
        <v>10399</v>
      </c>
      <c r="B153" t="s">
        <v>295</v>
      </c>
      <c r="C153">
        <v>8</v>
      </c>
      <c r="D153" s="5">
        <v>35430</v>
      </c>
      <c r="E153" s="5">
        <v>35444</v>
      </c>
      <c r="F153" s="5">
        <v>35438</v>
      </c>
      <c r="G153">
        <v>3</v>
      </c>
      <c r="H153" s="6">
        <v>27.36</v>
      </c>
      <c r="I153" t="s">
        <v>296</v>
      </c>
      <c r="J153" t="s">
        <v>297</v>
      </c>
      <c r="K153" t="s">
        <v>298</v>
      </c>
      <c r="L153" t="s">
        <v>18</v>
      </c>
      <c r="M153" s="7">
        <v>8200</v>
      </c>
      <c r="N153" t="s">
        <v>257</v>
      </c>
    </row>
    <row r="154" spans="1:14" x14ac:dyDescent="0.2">
      <c r="A154">
        <v>10400</v>
      </c>
      <c r="B154" t="s">
        <v>284</v>
      </c>
      <c r="C154">
        <v>1</v>
      </c>
      <c r="D154" s="5">
        <v>35431</v>
      </c>
      <c r="E154" s="5">
        <v>35459</v>
      </c>
      <c r="F154" s="5">
        <v>35446</v>
      </c>
      <c r="G154">
        <v>3</v>
      </c>
      <c r="H154" s="6">
        <v>83.93</v>
      </c>
      <c r="I154" t="s">
        <v>285</v>
      </c>
      <c r="J154" t="s">
        <v>286</v>
      </c>
      <c r="K154" t="s">
        <v>167</v>
      </c>
      <c r="L154" t="s">
        <v>18</v>
      </c>
      <c r="M154" s="7" t="s">
        <v>287</v>
      </c>
      <c r="N154" t="s">
        <v>169</v>
      </c>
    </row>
    <row r="155" spans="1:14" x14ac:dyDescent="0.2">
      <c r="A155">
        <v>10401</v>
      </c>
      <c r="B155" t="s">
        <v>81</v>
      </c>
      <c r="C155">
        <v>1</v>
      </c>
      <c r="D155" s="5">
        <v>35431</v>
      </c>
      <c r="E155" s="5">
        <v>35459</v>
      </c>
      <c r="F155" s="5">
        <v>35440</v>
      </c>
      <c r="G155">
        <v>1</v>
      </c>
      <c r="H155" s="6">
        <v>12.51</v>
      </c>
      <c r="I155" t="s">
        <v>82</v>
      </c>
      <c r="J155" t="s">
        <v>83</v>
      </c>
      <c r="K155" t="s">
        <v>84</v>
      </c>
      <c r="L155" t="s">
        <v>85</v>
      </c>
      <c r="M155" s="7">
        <v>87110</v>
      </c>
      <c r="N155" t="s">
        <v>86</v>
      </c>
    </row>
    <row r="156" spans="1:14" x14ac:dyDescent="0.2">
      <c r="A156">
        <v>10402</v>
      </c>
      <c r="B156" t="s">
        <v>63</v>
      </c>
      <c r="C156">
        <v>8</v>
      </c>
      <c r="D156" s="5">
        <v>35432</v>
      </c>
      <c r="E156" s="5">
        <v>35474</v>
      </c>
      <c r="F156" s="5">
        <v>35440</v>
      </c>
      <c r="G156">
        <v>2</v>
      </c>
      <c r="H156" s="6">
        <v>67.88</v>
      </c>
      <c r="I156" t="s">
        <v>64</v>
      </c>
      <c r="J156" t="s">
        <v>65</v>
      </c>
      <c r="K156" t="s">
        <v>66</v>
      </c>
      <c r="L156" t="s">
        <v>18</v>
      </c>
      <c r="M156" s="7">
        <v>8010</v>
      </c>
      <c r="N156" t="s">
        <v>67</v>
      </c>
    </row>
    <row r="157" spans="1:14" x14ac:dyDescent="0.2">
      <c r="A157">
        <v>10403</v>
      </c>
      <c r="B157" t="s">
        <v>63</v>
      </c>
      <c r="C157">
        <v>4</v>
      </c>
      <c r="D157" s="5">
        <v>35433</v>
      </c>
      <c r="E157" s="5">
        <v>35461</v>
      </c>
      <c r="F157" s="5">
        <v>35439</v>
      </c>
      <c r="G157">
        <v>3</v>
      </c>
      <c r="H157" s="6">
        <v>73.790000000000006</v>
      </c>
      <c r="I157" t="s">
        <v>64</v>
      </c>
      <c r="J157" t="s">
        <v>65</v>
      </c>
      <c r="K157" t="s">
        <v>66</v>
      </c>
      <c r="L157" t="s">
        <v>18</v>
      </c>
      <c r="M157" s="7">
        <v>8010</v>
      </c>
      <c r="N157" t="s">
        <v>67</v>
      </c>
    </row>
    <row r="158" spans="1:14" x14ac:dyDescent="0.2">
      <c r="A158">
        <v>10404</v>
      </c>
      <c r="B158" t="s">
        <v>125</v>
      </c>
      <c r="C158">
        <v>2</v>
      </c>
      <c r="D158" s="5">
        <v>35433</v>
      </c>
      <c r="E158" s="5">
        <v>35461</v>
      </c>
      <c r="F158" s="5">
        <v>35438</v>
      </c>
      <c r="G158">
        <v>1</v>
      </c>
      <c r="H158" s="6">
        <v>155.97</v>
      </c>
      <c r="I158" t="s">
        <v>126</v>
      </c>
      <c r="J158" t="s">
        <v>127</v>
      </c>
      <c r="K158" t="s">
        <v>128</v>
      </c>
      <c r="L158" t="s">
        <v>18</v>
      </c>
      <c r="M158" s="7">
        <v>24100</v>
      </c>
      <c r="N158" t="s">
        <v>129</v>
      </c>
    </row>
    <row r="159" spans="1:14" x14ac:dyDescent="0.2">
      <c r="A159">
        <v>10405</v>
      </c>
      <c r="B159" t="s">
        <v>324</v>
      </c>
      <c r="C159">
        <v>1</v>
      </c>
      <c r="D159" s="5">
        <v>35436</v>
      </c>
      <c r="E159" s="5">
        <v>35464</v>
      </c>
      <c r="F159" s="5">
        <v>35452</v>
      </c>
      <c r="G159">
        <v>1</v>
      </c>
      <c r="H159" s="6">
        <v>34.82</v>
      </c>
      <c r="I159" t="s">
        <v>325</v>
      </c>
      <c r="J159" t="s">
        <v>326</v>
      </c>
      <c r="K159" t="s">
        <v>327</v>
      </c>
      <c r="L159" t="s">
        <v>328</v>
      </c>
      <c r="M159" s="7">
        <v>4980</v>
      </c>
      <c r="N159" t="s">
        <v>62</v>
      </c>
    </row>
    <row r="160" spans="1:14" x14ac:dyDescent="0.2">
      <c r="A160">
        <v>10406</v>
      </c>
      <c r="B160" t="s">
        <v>299</v>
      </c>
      <c r="C160">
        <v>7</v>
      </c>
      <c r="D160" s="5">
        <v>35437</v>
      </c>
      <c r="E160" s="5">
        <v>35479</v>
      </c>
      <c r="F160" s="5">
        <v>35443</v>
      </c>
      <c r="G160">
        <v>1</v>
      </c>
      <c r="H160" s="6">
        <v>108.04</v>
      </c>
      <c r="I160" t="s">
        <v>300</v>
      </c>
      <c r="J160" t="s">
        <v>433</v>
      </c>
      <c r="K160" t="s">
        <v>173</v>
      </c>
      <c r="L160" t="s">
        <v>55</v>
      </c>
      <c r="M160" s="7" t="s">
        <v>302</v>
      </c>
      <c r="N160" t="s">
        <v>31</v>
      </c>
    </row>
    <row r="161" spans="1:14" x14ac:dyDescent="0.2">
      <c r="A161">
        <v>10407</v>
      </c>
      <c r="B161" t="s">
        <v>73</v>
      </c>
      <c r="C161">
        <v>2</v>
      </c>
      <c r="D161" s="5">
        <v>35437</v>
      </c>
      <c r="E161" s="5">
        <v>35465</v>
      </c>
      <c r="F161" s="5">
        <v>35460</v>
      </c>
      <c r="G161">
        <v>2</v>
      </c>
      <c r="H161" s="6">
        <v>91.48</v>
      </c>
      <c r="I161" t="s">
        <v>74</v>
      </c>
      <c r="J161" t="s">
        <v>75</v>
      </c>
      <c r="K161" t="s">
        <v>76</v>
      </c>
      <c r="L161" t="s">
        <v>18</v>
      </c>
      <c r="M161" s="7">
        <v>50739</v>
      </c>
      <c r="N161" t="s">
        <v>24</v>
      </c>
    </row>
    <row r="162" spans="1:14" x14ac:dyDescent="0.2">
      <c r="A162">
        <v>10408</v>
      </c>
      <c r="B162" t="s">
        <v>329</v>
      </c>
      <c r="C162">
        <v>8</v>
      </c>
      <c r="D162" s="5">
        <v>35438</v>
      </c>
      <c r="E162" s="5">
        <v>35466</v>
      </c>
      <c r="F162" s="5">
        <v>35444</v>
      </c>
      <c r="G162">
        <v>1</v>
      </c>
      <c r="H162" s="6">
        <v>11.26</v>
      </c>
      <c r="I162" t="s">
        <v>330</v>
      </c>
      <c r="J162" t="s">
        <v>434</v>
      </c>
      <c r="K162" t="s">
        <v>332</v>
      </c>
      <c r="L162" t="s">
        <v>18</v>
      </c>
      <c r="M162" s="7">
        <v>59000</v>
      </c>
      <c r="N162" t="s">
        <v>19</v>
      </c>
    </row>
    <row r="163" spans="1:14" x14ac:dyDescent="0.2">
      <c r="A163">
        <v>10409</v>
      </c>
      <c r="B163" t="s">
        <v>333</v>
      </c>
      <c r="C163">
        <v>3</v>
      </c>
      <c r="D163" s="5">
        <v>35439</v>
      </c>
      <c r="E163" s="5">
        <v>35467</v>
      </c>
      <c r="F163" s="5">
        <v>35444</v>
      </c>
      <c r="G163">
        <v>1</v>
      </c>
      <c r="H163" s="6">
        <v>29.83</v>
      </c>
      <c r="I163" t="s">
        <v>334</v>
      </c>
      <c r="J163" t="s">
        <v>335</v>
      </c>
      <c r="K163" t="s">
        <v>336</v>
      </c>
      <c r="L163" t="s">
        <v>18</v>
      </c>
      <c r="M163" s="7">
        <v>1010</v>
      </c>
      <c r="N163" t="s">
        <v>337</v>
      </c>
    </row>
    <row r="164" spans="1:14" x14ac:dyDescent="0.2">
      <c r="A164">
        <v>10410</v>
      </c>
      <c r="B164" t="s">
        <v>318</v>
      </c>
      <c r="C164">
        <v>3</v>
      </c>
      <c r="D164" s="5">
        <v>35440</v>
      </c>
      <c r="E164" s="5">
        <v>35468</v>
      </c>
      <c r="F164" s="5">
        <v>35445</v>
      </c>
      <c r="G164">
        <v>3</v>
      </c>
      <c r="H164" s="6">
        <v>2.4</v>
      </c>
      <c r="I164" t="s">
        <v>319</v>
      </c>
      <c r="J164" t="s">
        <v>320</v>
      </c>
      <c r="K164" t="s">
        <v>321</v>
      </c>
      <c r="L164" t="s">
        <v>322</v>
      </c>
      <c r="M164" s="7" t="s">
        <v>323</v>
      </c>
      <c r="N164" t="s">
        <v>249</v>
      </c>
    </row>
    <row r="165" spans="1:14" x14ac:dyDescent="0.2">
      <c r="A165">
        <v>10411</v>
      </c>
      <c r="B165" t="s">
        <v>318</v>
      </c>
      <c r="C165">
        <v>9</v>
      </c>
      <c r="D165" s="5">
        <v>35440</v>
      </c>
      <c r="E165" s="5">
        <v>35468</v>
      </c>
      <c r="F165" s="5">
        <v>35451</v>
      </c>
      <c r="G165">
        <v>3</v>
      </c>
      <c r="H165" s="6">
        <v>23.65</v>
      </c>
      <c r="I165" t="s">
        <v>319</v>
      </c>
      <c r="J165" t="s">
        <v>320</v>
      </c>
      <c r="K165" t="s">
        <v>321</v>
      </c>
      <c r="L165" t="s">
        <v>322</v>
      </c>
      <c r="M165" s="7" t="s">
        <v>323</v>
      </c>
      <c r="N165" t="s">
        <v>249</v>
      </c>
    </row>
    <row r="166" spans="1:14" x14ac:dyDescent="0.2">
      <c r="A166">
        <v>10412</v>
      </c>
      <c r="B166" t="s">
        <v>97</v>
      </c>
      <c r="C166">
        <v>8</v>
      </c>
      <c r="D166" s="5">
        <v>35443</v>
      </c>
      <c r="E166" s="5">
        <v>35471</v>
      </c>
      <c r="F166" s="5">
        <v>35445</v>
      </c>
      <c r="G166">
        <v>2</v>
      </c>
      <c r="H166" s="6">
        <v>3.77</v>
      </c>
      <c r="I166" t="s">
        <v>98</v>
      </c>
      <c r="J166" t="s">
        <v>99</v>
      </c>
      <c r="K166" t="s">
        <v>100</v>
      </c>
      <c r="L166" t="s">
        <v>18</v>
      </c>
      <c r="M166" s="7">
        <v>90110</v>
      </c>
      <c r="N166" t="s">
        <v>101</v>
      </c>
    </row>
    <row r="167" spans="1:14" x14ac:dyDescent="0.2">
      <c r="A167">
        <v>10413</v>
      </c>
      <c r="B167" t="s">
        <v>262</v>
      </c>
      <c r="C167">
        <v>3</v>
      </c>
      <c r="D167" s="5">
        <v>35444</v>
      </c>
      <c r="E167" s="5">
        <v>35472</v>
      </c>
      <c r="F167" s="5">
        <v>35446</v>
      </c>
      <c r="G167">
        <v>2</v>
      </c>
      <c r="H167" s="6">
        <v>95.66</v>
      </c>
      <c r="I167" t="s">
        <v>263</v>
      </c>
      <c r="J167" t="s">
        <v>264</v>
      </c>
      <c r="K167" t="s">
        <v>265</v>
      </c>
      <c r="L167" t="s">
        <v>18</v>
      </c>
      <c r="M167" s="7">
        <v>31000</v>
      </c>
      <c r="N167" t="s">
        <v>19</v>
      </c>
    </row>
    <row r="168" spans="1:14" x14ac:dyDescent="0.2">
      <c r="A168">
        <v>10414</v>
      </c>
      <c r="B168" t="s">
        <v>258</v>
      </c>
      <c r="C168">
        <v>2</v>
      </c>
      <c r="D168" s="5">
        <v>35444</v>
      </c>
      <c r="E168" s="5">
        <v>35472</v>
      </c>
      <c r="F168" s="5">
        <v>35447</v>
      </c>
      <c r="G168">
        <v>3</v>
      </c>
      <c r="H168" s="6">
        <v>21.48</v>
      </c>
      <c r="I168" t="s">
        <v>259</v>
      </c>
      <c r="J168" t="s">
        <v>431</v>
      </c>
      <c r="K168" t="s">
        <v>173</v>
      </c>
      <c r="L168" t="s">
        <v>55</v>
      </c>
      <c r="M168" s="7" t="s">
        <v>261</v>
      </c>
      <c r="N168" t="s">
        <v>31</v>
      </c>
    </row>
    <row r="169" spans="1:14" x14ac:dyDescent="0.2">
      <c r="A169">
        <v>10415</v>
      </c>
      <c r="B169" t="s">
        <v>309</v>
      </c>
      <c r="C169">
        <v>3</v>
      </c>
      <c r="D169" s="5">
        <v>35445</v>
      </c>
      <c r="E169" s="5">
        <v>35473</v>
      </c>
      <c r="F169" s="5">
        <v>35454</v>
      </c>
      <c r="G169">
        <v>1</v>
      </c>
      <c r="H169" s="6">
        <v>0.2</v>
      </c>
      <c r="I169" t="s">
        <v>310</v>
      </c>
      <c r="J169" t="s">
        <v>311</v>
      </c>
      <c r="K169" t="s">
        <v>312</v>
      </c>
      <c r="L169" t="s">
        <v>202</v>
      </c>
      <c r="M169" s="7">
        <v>97827</v>
      </c>
      <c r="N169" t="s">
        <v>86</v>
      </c>
    </row>
    <row r="170" spans="1:14" x14ac:dyDescent="0.2">
      <c r="A170">
        <v>10416</v>
      </c>
      <c r="B170" t="s">
        <v>97</v>
      </c>
      <c r="C170">
        <v>8</v>
      </c>
      <c r="D170" s="5">
        <v>35446</v>
      </c>
      <c r="E170" s="5">
        <v>35474</v>
      </c>
      <c r="F170" s="5">
        <v>35457</v>
      </c>
      <c r="G170">
        <v>3</v>
      </c>
      <c r="H170" s="6">
        <v>22.72</v>
      </c>
      <c r="I170" t="s">
        <v>98</v>
      </c>
      <c r="J170" t="s">
        <v>99</v>
      </c>
      <c r="K170" t="s">
        <v>100</v>
      </c>
      <c r="L170" t="s">
        <v>18</v>
      </c>
      <c r="M170" s="7">
        <v>90110</v>
      </c>
      <c r="N170" t="s">
        <v>101</v>
      </c>
    </row>
    <row r="171" spans="1:14" x14ac:dyDescent="0.2">
      <c r="A171">
        <v>10417</v>
      </c>
      <c r="B171" t="s">
        <v>253</v>
      </c>
      <c r="C171">
        <v>4</v>
      </c>
      <c r="D171" s="5">
        <v>35446</v>
      </c>
      <c r="E171" s="5">
        <v>35474</v>
      </c>
      <c r="F171" s="5">
        <v>35458</v>
      </c>
      <c r="G171">
        <v>3</v>
      </c>
      <c r="H171" s="6">
        <v>70.290000000000006</v>
      </c>
      <c r="I171" t="s">
        <v>254</v>
      </c>
      <c r="J171" t="s">
        <v>255</v>
      </c>
      <c r="K171" t="s">
        <v>256</v>
      </c>
      <c r="L171" t="s">
        <v>18</v>
      </c>
      <c r="M171" s="7">
        <v>1734</v>
      </c>
      <c r="N171" t="s">
        <v>257</v>
      </c>
    </row>
    <row r="172" spans="1:14" x14ac:dyDescent="0.2">
      <c r="A172">
        <v>10418</v>
      </c>
      <c r="B172" t="s">
        <v>121</v>
      </c>
      <c r="C172">
        <v>4</v>
      </c>
      <c r="D172" s="5">
        <v>35447</v>
      </c>
      <c r="E172" s="5">
        <v>35475</v>
      </c>
      <c r="F172" s="5">
        <v>35454</v>
      </c>
      <c r="G172">
        <v>1</v>
      </c>
      <c r="H172" s="6">
        <v>17.55</v>
      </c>
      <c r="I172" t="s">
        <v>122</v>
      </c>
      <c r="J172" t="s">
        <v>123</v>
      </c>
      <c r="K172" t="s">
        <v>124</v>
      </c>
      <c r="L172" t="s">
        <v>18</v>
      </c>
      <c r="M172" s="7">
        <v>1307</v>
      </c>
      <c r="N172" t="s">
        <v>24</v>
      </c>
    </row>
    <row r="173" spans="1:14" x14ac:dyDescent="0.2">
      <c r="A173">
        <v>10419</v>
      </c>
      <c r="B173" t="s">
        <v>47</v>
      </c>
      <c r="C173">
        <v>4</v>
      </c>
      <c r="D173" s="5">
        <v>35450</v>
      </c>
      <c r="E173" s="5">
        <v>35478</v>
      </c>
      <c r="F173" s="5">
        <v>35460</v>
      </c>
      <c r="G173">
        <v>2</v>
      </c>
      <c r="H173" s="6">
        <v>137.35</v>
      </c>
      <c r="I173" t="s">
        <v>48</v>
      </c>
      <c r="J173" t="s">
        <v>49</v>
      </c>
      <c r="K173" t="s">
        <v>50</v>
      </c>
      <c r="L173" t="s">
        <v>18</v>
      </c>
      <c r="M173" s="7">
        <v>1204</v>
      </c>
      <c r="N173" t="s">
        <v>46</v>
      </c>
    </row>
    <row r="174" spans="1:14" x14ac:dyDescent="0.2">
      <c r="A174">
        <v>10420</v>
      </c>
      <c r="B174" t="s">
        <v>51</v>
      </c>
      <c r="C174">
        <v>3</v>
      </c>
      <c r="D174" s="5">
        <v>35451</v>
      </c>
      <c r="E174" s="5">
        <v>35479</v>
      </c>
      <c r="F174" s="5">
        <v>35457</v>
      </c>
      <c r="G174">
        <v>1</v>
      </c>
      <c r="H174" s="6">
        <v>44.12</v>
      </c>
      <c r="I174" t="s">
        <v>52</v>
      </c>
      <c r="J174" t="s">
        <v>420</v>
      </c>
      <c r="K174" t="s">
        <v>54</v>
      </c>
      <c r="L174" t="s">
        <v>55</v>
      </c>
      <c r="M174" s="7" t="s">
        <v>56</v>
      </c>
      <c r="N174" t="s">
        <v>31</v>
      </c>
    </row>
    <row r="175" spans="1:14" x14ac:dyDescent="0.2">
      <c r="A175">
        <v>10421</v>
      </c>
      <c r="B175" t="s">
        <v>77</v>
      </c>
      <c r="C175">
        <v>8</v>
      </c>
      <c r="D175" s="5">
        <v>35451</v>
      </c>
      <c r="E175" s="5">
        <v>35493</v>
      </c>
      <c r="F175" s="5">
        <v>35457</v>
      </c>
      <c r="G175">
        <v>1</v>
      </c>
      <c r="H175" s="6">
        <v>99.23</v>
      </c>
      <c r="I175" t="s">
        <v>78</v>
      </c>
      <c r="J175" t="s">
        <v>421</v>
      </c>
      <c r="K175" t="s">
        <v>28</v>
      </c>
      <c r="L175" t="s">
        <v>29</v>
      </c>
      <c r="M175" s="7" t="s">
        <v>80</v>
      </c>
      <c r="N175" t="s">
        <v>31</v>
      </c>
    </row>
    <row r="176" spans="1:14" x14ac:dyDescent="0.2">
      <c r="A176">
        <v>10422</v>
      </c>
      <c r="B176" t="s">
        <v>338</v>
      </c>
      <c r="C176">
        <v>2</v>
      </c>
      <c r="D176" s="5">
        <v>35452</v>
      </c>
      <c r="E176" s="5">
        <v>35480</v>
      </c>
      <c r="F176" s="5">
        <v>35461</v>
      </c>
      <c r="G176">
        <v>1</v>
      </c>
      <c r="H176" s="6">
        <v>3.02</v>
      </c>
      <c r="I176" t="s">
        <v>339</v>
      </c>
      <c r="J176" t="s">
        <v>340</v>
      </c>
      <c r="K176" t="s">
        <v>341</v>
      </c>
      <c r="L176" t="s">
        <v>18</v>
      </c>
      <c r="M176" s="7">
        <v>10100</v>
      </c>
      <c r="N176" t="s">
        <v>129</v>
      </c>
    </row>
    <row r="177" spans="1:14" x14ac:dyDescent="0.2">
      <c r="A177">
        <v>10423</v>
      </c>
      <c r="B177" t="s">
        <v>342</v>
      </c>
      <c r="C177">
        <v>6</v>
      </c>
      <c r="D177" s="5">
        <v>35453</v>
      </c>
      <c r="E177" s="5">
        <v>35467</v>
      </c>
      <c r="F177" s="5">
        <v>35485</v>
      </c>
      <c r="G177">
        <v>3</v>
      </c>
      <c r="H177" s="6">
        <v>24.5</v>
      </c>
      <c r="I177" t="s">
        <v>343</v>
      </c>
      <c r="J177" t="s">
        <v>435</v>
      </c>
      <c r="K177" t="s">
        <v>345</v>
      </c>
      <c r="L177" t="s">
        <v>55</v>
      </c>
      <c r="M177" s="7" t="s">
        <v>346</v>
      </c>
      <c r="N177" t="s">
        <v>31</v>
      </c>
    </row>
    <row r="178" spans="1:14" x14ac:dyDescent="0.2">
      <c r="A178">
        <v>10424</v>
      </c>
      <c r="B178" t="s">
        <v>243</v>
      </c>
      <c r="C178">
        <v>7</v>
      </c>
      <c r="D178" s="5">
        <v>35453</v>
      </c>
      <c r="E178" s="5">
        <v>35481</v>
      </c>
      <c r="F178" s="5">
        <v>35457</v>
      </c>
      <c r="G178">
        <v>2</v>
      </c>
      <c r="H178" s="6">
        <v>370.61</v>
      </c>
      <c r="I178" t="s">
        <v>244</v>
      </c>
      <c r="J178" t="s">
        <v>245</v>
      </c>
      <c r="K178" t="s">
        <v>246</v>
      </c>
      <c r="L178" t="s">
        <v>247</v>
      </c>
      <c r="M178" s="7" t="s">
        <v>248</v>
      </c>
      <c r="N178" t="s">
        <v>249</v>
      </c>
    </row>
    <row r="179" spans="1:14" x14ac:dyDescent="0.2">
      <c r="A179">
        <v>10425</v>
      </c>
      <c r="B179" t="s">
        <v>262</v>
      </c>
      <c r="C179">
        <v>6</v>
      </c>
      <c r="D179" s="5">
        <v>35454</v>
      </c>
      <c r="E179" s="5">
        <v>35482</v>
      </c>
      <c r="F179" s="5">
        <v>35475</v>
      </c>
      <c r="G179">
        <v>2</v>
      </c>
      <c r="H179" s="6">
        <v>7.93</v>
      </c>
      <c r="I179" t="s">
        <v>263</v>
      </c>
      <c r="J179" t="s">
        <v>264</v>
      </c>
      <c r="K179" t="s">
        <v>265</v>
      </c>
      <c r="L179" t="s">
        <v>18</v>
      </c>
      <c r="M179" s="7">
        <v>31000</v>
      </c>
      <c r="N179" t="s">
        <v>19</v>
      </c>
    </row>
    <row r="180" spans="1:14" x14ac:dyDescent="0.2">
      <c r="A180">
        <v>10426</v>
      </c>
      <c r="B180" t="s">
        <v>291</v>
      </c>
      <c r="C180">
        <v>4</v>
      </c>
      <c r="D180" s="5">
        <v>35457</v>
      </c>
      <c r="E180" s="5">
        <v>35485</v>
      </c>
      <c r="F180" s="5">
        <v>35467</v>
      </c>
      <c r="G180">
        <v>1</v>
      </c>
      <c r="H180" s="6">
        <v>18.690000000000001</v>
      </c>
      <c r="I180" t="s">
        <v>292</v>
      </c>
      <c r="J180" t="s">
        <v>432</v>
      </c>
      <c r="K180" t="s">
        <v>294</v>
      </c>
      <c r="L180" t="s">
        <v>18</v>
      </c>
      <c r="M180" s="7">
        <v>8022</v>
      </c>
      <c r="N180" t="s">
        <v>150</v>
      </c>
    </row>
    <row r="181" spans="1:14" x14ac:dyDescent="0.2">
      <c r="A181">
        <v>10427</v>
      </c>
      <c r="B181" t="s">
        <v>266</v>
      </c>
      <c r="C181">
        <v>4</v>
      </c>
      <c r="D181" s="5">
        <v>35457</v>
      </c>
      <c r="E181" s="5">
        <v>35485</v>
      </c>
      <c r="F181" s="5">
        <v>35492</v>
      </c>
      <c r="G181">
        <v>2</v>
      </c>
      <c r="H181" s="6">
        <v>31.29</v>
      </c>
      <c r="I181" t="s">
        <v>267</v>
      </c>
      <c r="J181" t="s">
        <v>268</v>
      </c>
      <c r="K181" t="s">
        <v>269</v>
      </c>
      <c r="L181" t="s">
        <v>18</v>
      </c>
      <c r="M181" s="7">
        <v>5020</v>
      </c>
      <c r="N181" t="s">
        <v>67</v>
      </c>
    </row>
    <row r="182" spans="1:14" x14ac:dyDescent="0.2">
      <c r="A182">
        <v>10428</v>
      </c>
      <c r="B182" t="s">
        <v>160</v>
      </c>
      <c r="C182">
        <v>7</v>
      </c>
      <c r="D182" s="5">
        <v>35458</v>
      </c>
      <c r="E182" s="5">
        <v>35486</v>
      </c>
      <c r="F182" s="5">
        <v>35465</v>
      </c>
      <c r="G182">
        <v>1</v>
      </c>
      <c r="H182" s="6">
        <v>11.09</v>
      </c>
      <c r="I182" t="s">
        <v>161</v>
      </c>
      <c r="J182" t="s">
        <v>162</v>
      </c>
      <c r="K182" t="s">
        <v>163</v>
      </c>
      <c r="L182" t="s">
        <v>18</v>
      </c>
      <c r="M182" s="7">
        <v>42100</v>
      </c>
      <c r="N182" t="s">
        <v>129</v>
      </c>
    </row>
    <row r="183" spans="1:14" x14ac:dyDescent="0.2">
      <c r="A183">
        <v>10429</v>
      </c>
      <c r="B183" t="s">
        <v>179</v>
      </c>
      <c r="C183">
        <v>3</v>
      </c>
      <c r="D183" s="5">
        <v>35459</v>
      </c>
      <c r="E183" s="5">
        <v>35501</v>
      </c>
      <c r="F183" s="5">
        <v>35468</v>
      </c>
      <c r="G183">
        <v>2</v>
      </c>
      <c r="H183" s="6">
        <v>56.63</v>
      </c>
      <c r="I183" t="s">
        <v>180</v>
      </c>
      <c r="J183" t="s">
        <v>181</v>
      </c>
      <c r="K183" t="s">
        <v>182</v>
      </c>
      <c r="L183" t="s">
        <v>183</v>
      </c>
      <c r="M183" s="7" t="s">
        <v>18</v>
      </c>
      <c r="N183" t="s">
        <v>184</v>
      </c>
    </row>
    <row r="184" spans="1:14" x14ac:dyDescent="0.2">
      <c r="A184">
        <v>10430</v>
      </c>
      <c r="B184" t="s">
        <v>63</v>
      </c>
      <c r="C184">
        <v>4</v>
      </c>
      <c r="D184" s="5">
        <v>35460</v>
      </c>
      <c r="E184" s="5">
        <v>35474</v>
      </c>
      <c r="F184" s="5">
        <v>35464</v>
      </c>
      <c r="G184">
        <v>1</v>
      </c>
      <c r="H184" s="6">
        <v>458.78</v>
      </c>
      <c r="I184" t="s">
        <v>64</v>
      </c>
      <c r="J184" t="s">
        <v>65</v>
      </c>
      <c r="K184" t="s">
        <v>66</v>
      </c>
      <c r="L184" t="s">
        <v>18</v>
      </c>
      <c r="M184" s="7">
        <v>8010</v>
      </c>
      <c r="N184" t="s">
        <v>67</v>
      </c>
    </row>
    <row r="185" spans="1:14" x14ac:dyDescent="0.2">
      <c r="A185">
        <v>10431</v>
      </c>
      <c r="B185" t="s">
        <v>318</v>
      </c>
      <c r="C185">
        <v>4</v>
      </c>
      <c r="D185" s="5">
        <v>35460</v>
      </c>
      <c r="E185" s="5">
        <v>35474</v>
      </c>
      <c r="F185" s="5">
        <v>35468</v>
      </c>
      <c r="G185">
        <v>2</v>
      </c>
      <c r="H185" s="6">
        <v>44.17</v>
      </c>
      <c r="I185" t="s">
        <v>319</v>
      </c>
      <c r="J185" t="s">
        <v>320</v>
      </c>
      <c r="K185" t="s">
        <v>321</v>
      </c>
      <c r="L185" t="s">
        <v>322</v>
      </c>
      <c r="M185" s="7" t="s">
        <v>323</v>
      </c>
      <c r="N185" t="s">
        <v>249</v>
      </c>
    </row>
    <row r="186" spans="1:14" x14ac:dyDescent="0.2">
      <c r="A186">
        <v>10432</v>
      </c>
      <c r="B186" t="s">
        <v>116</v>
      </c>
      <c r="C186">
        <v>3</v>
      </c>
      <c r="D186" s="5">
        <v>35461</v>
      </c>
      <c r="E186" s="5">
        <v>35475</v>
      </c>
      <c r="F186" s="5">
        <v>35468</v>
      </c>
      <c r="G186">
        <v>2</v>
      </c>
      <c r="H186" s="6">
        <v>4.34</v>
      </c>
      <c r="I186" t="s">
        <v>117</v>
      </c>
      <c r="J186" t="s">
        <v>118</v>
      </c>
      <c r="K186" t="s">
        <v>119</v>
      </c>
      <c r="L186" t="s">
        <v>120</v>
      </c>
      <c r="M186" s="7">
        <v>82520</v>
      </c>
      <c r="N186" t="s">
        <v>86</v>
      </c>
    </row>
    <row r="187" spans="1:14" x14ac:dyDescent="0.2">
      <c r="A187">
        <v>10433</v>
      </c>
      <c r="B187" t="s">
        <v>250</v>
      </c>
      <c r="C187">
        <v>3</v>
      </c>
      <c r="D187" s="5">
        <v>35464</v>
      </c>
      <c r="E187" s="5">
        <v>35492</v>
      </c>
      <c r="F187" s="5">
        <v>35493</v>
      </c>
      <c r="G187">
        <v>3</v>
      </c>
      <c r="H187" s="6">
        <v>73.83</v>
      </c>
      <c r="I187" t="s">
        <v>251</v>
      </c>
      <c r="J187" t="s">
        <v>252</v>
      </c>
      <c r="K187" t="s">
        <v>237</v>
      </c>
      <c r="L187" t="s">
        <v>18</v>
      </c>
      <c r="M187" s="7">
        <v>1756</v>
      </c>
      <c r="N187" t="s">
        <v>238</v>
      </c>
    </row>
    <row r="188" spans="1:14" x14ac:dyDescent="0.2">
      <c r="A188">
        <v>10434</v>
      </c>
      <c r="B188" t="s">
        <v>87</v>
      </c>
      <c r="C188">
        <v>3</v>
      </c>
      <c r="D188" s="5">
        <v>35464</v>
      </c>
      <c r="E188" s="5">
        <v>35492</v>
      </c>
      <c r="F188" s="5">
        <v>35474</v>
      </c>
      <c r="G188">
        <v>2</v>
      </c>
      <c r="H188" s="6">
        <v>17.920000000000002</v>
      </c>
      <c r="I188" t="s">
        <v>88</v>
      </c>
      <c r="J188" t="s">
        <v>89</v>
      </c>
      <c r="K188" t="s">
        <v>90</v>
      </c>
      <c r="L188" t="s">
        <v>18</v>
      </c>
      <c r="M188" s="7" t="s">
        <v>91</v>
      </c>
      <c r="N188" t="s">
        <v>92</v>
      </c>
    </row>
    <row r="189" spans="1:14" x14ac:dyDescent="0.2">
      <c r="A189">
        <v>10435</v>
      </c>
      <c r="B189" t="s">
        <v>347</v>
      </c>
      <c r="C189">
        <v>8</v>
      </c>
      <c r="D189" s="5">
        <v>35465</v>
      </c>
      <c r="E189" s="5">
        <v>35507</v>
      </c>
      <c r="F189" s="5">
        <v>35468</v>
      </c>
      <c r="G189">
        <v>2</v>
      </c>
      <c r="H189" s="6">
        <v>9.2100000000000009</v>
      </c>
      <c r="I189" t="s">
        <v>348</v>
      </c>
      <c r="J189" t="s">
        <v>349</v>
      </c>
      <c r="K189" t="s">
        <v>167</v>
      </c>
      <c r="L189" t="s">
        <v>18</v>
      </c>
      <c r="M189" s="7" t="s">
        <v>350</v>
      </c>
      <c r="N189" t="s">
        <v>169</v>
      </c>
    </row>
    <row r="190" spans="1:14" x14ac:dyDescent="0.2">
      <c r="A190">
        <v>10436</v>
      </c>
      <c r="B190" t="s">
        <v>93</v>
      </c>
      <c r="C190">
        <v>3</v>
      </c>
      <c r="D190" s="5">
        <v>35466</v>
      </c>
      <c r="E190" s="5">
        <v>35494</v>
      </c>
      <c r="F190" s="5">
        <v>35472</v>
      </c>
      <c r="G190">
        <v>2</v>
      </c>
      <c r="H190" s="6">
        <v>156.66</v>
      </c>
      <c r="I190" t="s">
        <v>94</v>
      </c>
      <c r="J190" t="s">
        <v>422</v>
      </c>
      <c r="K190" t="s">
        <v>96</v>
      </c>
      <c r="L190" t="s">
        <v>18</v>
      </c>
      <c r="M190" s="7">
        <v>67000</v>
      </c>
      <c r="N190" t="s">
        <v>19</v>
      </c>
    </row>
    <row r="191" spans="1:14" x14ac:dyDescent="0.2">
      <c r="A191">
        <v>10437</v>
      </c>
      <c r="B191" t="s">
        <v>97</v>
      </c>
      <c r="C191">
        <v>8</v>
      </c>
      <c r="D191" s="5">
        <v>35466</v>
      </c>
      <c r="E191" s="5">
        <v>35494</v>
      </c>
      <c r="F191" s="5">
        <v>35473</v>
      </c>
      <c r="G191">
        <v>1</v>
      </c>
      <c r="H191" s="6">
        <v>19.97</v>
      </c>
      <c r="I191" t="s">
        <v>98</v>
      </c>
      <c r="J191" t="s">
        <v>99</v>
      </c>
      <c r="K191" t="s">
        <v>100</v>
      </c>
      <c r="L191" t="s">
        <v>18</v>
      </c>
      <c r="M191" s="7">
        <v>90110</v>
      </c>
      <c r="N191" t="s">
        <v>101</v>
      </c>
    </row>
    <row r="192" spans="1:14" x14ac:dyDescent="0.2">
      <c r="A192">
        <v>10438</v>
      </c>
      <c r="B192" t="s">
        <v>20</v>
      </c>
      <c r="C192">
        <v>3</v>
      </c>
      <c r="D192" s="5">
        <v>35467</v>
      </c>
      <c r="E192" s="5">
        <v>35495</v>
      </c>
      <c r="F192" s="5">
        <v>35475</v>
      </c>
      <c r="G192">
        <v>2</v>
      </c>
      <c r="H192" s="6">
        <v>8.24</v>
      </c>
      <c r="I192" t="s">
        <v>21</v>
      </c>
      <c r="J192" t="s">
        <v>22</v>
      </c>
      <c r="K192" t="s">
        <v>23</v>
      </c>
      <c r="L192" t="s">
        <v>18</v>
      </c>
      <c r="M192" s="7">
        <v>44087</v>
      </c>
      <c r="N192" t="s">
        <v>24</v>
      </c>
    </row>
    <row r="193" spans="1:14" x14ac:dyDescent="0.2">
      <c r="A193">
        <v>10439</v>
      </c>
      <c r="B193" t="s">
        <v>243</v>
      </c>
      <c r="C193">
        <v>6</v>
      </c>
      <c r="D193" s="5">
        <v>35468</v>
      </c>
      <c r="E193" s="5">
        <v>35496</v>
      </c>
      <c r="F193" s="5">
        <v>35471</v>
      </c>
      <c r="G193">
        <v>3</v>
      </c>
      <c r="H193" s="6">
        <v>4.07</v>
      </c>
      <c r="I193" t="s">
        <v>244</v>
      </c>
      <c r="J193" t="s">
        <v>245</v>
      </c>
      <c r="K193" t="s">
        <v>246</v>
      </c>
      <c r="L193" t="s">
        <v>247</v>
      </c>
      <c r="M193" s="7" t="s">
        <v>248</v>
      </c>
      <c r="N193" t="s">
        <v>249</v>
      </c>
    </row>
    <row r="194" spans="1:14" x14ac:dyDescent="0.2">
      <c r="A194">
        <v>10440</v>
      </c>
      <c r="B194" t="s">
        <v>226</v>
      </c>
      <c r="C194">
        <v>4</v>
      </c>
      <c r="D194" s="5">
        <v>35471</v>
      </c>
      <c r="E194" s="5">
        <v>35499</v>
      </c>
      <c r="F194" s="5">
        <v>35489</v>
      </c>
      <c r="G194">
        <v>2</v>
      </c>
      <c r="H194" s="6">
        <v>86.53</v>
      </c>
      <c r="I194" t="s">
        <v>227</v>
      </c>
      <c r="J194" t="s">
        <v>228</v>
      </c>
      <c r="K194" t="s">
        <v>229</v>
      </c>
      <c r="L194" t="s">
        <v>230</v>
      </c>
      <c r="M194" s="7">
        <v>83720</v>
      </c>
      <c r="N194" t="s">
        <v>86</v>
      </c>
    </row>
    <row r="195" spans="1:14" x14ac:dyDescent="0.2">
      <c r="A195">
        <v>10441</v>
      </c>
      <c r="B195" t="s">
        <v>193</v>
      </c>
      <c r="C195">
        <v>3</v>
      </c>
      <c r="D195" s="5">
        <v>35471</v>
      </c>
      <c r="E195" s="5">
        <v>35513</v>
      </c>
      <c r="F195" s="5">
        <v>35503</v>
      </c>
      <c r="G195">
        <v>2</v>
      </c>
      <c r="H195" s="6">
        <v>73.02</v>
      </c>
      <c r="I195" t="s">
        <v>194</v>
      </c>
      <c r="J195" t="s">
        <v>195</v>
      </c>
      <c r="K195" t="s">
        <v>196</v>
      </c>
      <c r="L195" t="s">
        <v>197</v>
      </c>
      <c r="M195" s="7">
        <v>99508</v>
      </c>
      <c r="N195" t="s">
        <v>86</v>
      </c>
    </row>
    <row r="196" spans="1:14" x14ac:dyDescent="0.2">
      <c r="A196">
        <v>10442</v>
      </c>
      <c r="B196" t="s">
        <v>63</v>
      </c>
      <c r="C196">
        <v>3</v>
      </c>
      <c r="D196" s="5">
        <v>35472</v>
      </c>
      <c r="E196" s="5">
        <v>35500</v>
      </c>
      <c r="F196" s="5">
        <v>35479</v>
      </c>
      <c r="G196">
        <v>2</v>
      </c>
      <c r="H196" s="6">
        <v>47.94</v>
      </c>
      <c r="I196" t="s">
        <v>64</v>
      </c>
      <c r="J196" t="s">
        <v>65</v>
      </c>
      <c r="K196" t="s">
        <v>66</v>
      </c>
      <c r="L196" t="s">
        <v>18</v>
      </c>
      <c r="M196" s="7">
        <v>8010</v>
      </c>
      <c r="N196" t="s">
        <v>67</v>
      </c>
    </row>
    <row r="197" spans="1:14" x14ac:dyDescent="0.2">
      <c r="A197">
        <v>10443</v>
      </c>
      <c r="B197" t="s">
        <v>160</v>
      </c>
      <c r="C197">
        <v>8</v>
      </c>
      <c r="D197" s="5">
        <v>35473</v>
      </c>
      <c r="E197" s="5">
        <v>35501</v>
      </c>
      <c r="F197" s="5">
        <v>35475</v>
      </c>
      <c r="G197">
        <v>1</v>
      </c>
      <c r="H197" s="6">
        <v>13.95</v>
      </c>
      <c r="I197" t="s">
        <v>161</v>
      </c>
      <c r="J197" t="s">
        <v>162</v>
      </c>
      <c r="K197" t="s">
        <v>163</v>
      </c>
      <c r="L197" t="s">
        <v>18</v>
      </c>
      <c r="M197" s="7">
        <v>42100</v>
      </c>
      <c r="N197" t="s">
        <v>129</v>
      </c>
    </row>
    <row r="198" spans="1:14" x14ac:dyDescent="0.2">
      <c r="A198">
        <v>10444</v>
      </c>
      <c r="B198" t="s">
        <v>137</v>
      </c>
      <c r="C198">
        <v>3</v>
      </c>
      <c r="D198" s="5">
        <v>35473</v>
      </c>
      <c r="E198" s="5">
        <v>35501</v>
      </c>
      <c r="F198" s="5">
        <v>35482</v>
      </c>
      <c r="G198">
        <v>3</v>
      </c>
      <c r="H198" s="6">
        <v>3.5</v>
      </c>
      <c r="I198" t="s">
        <v>138</v>
      </c>
      <c r="J198" t="s">
        <v>139</v>
      </c>
      <c r="K198" t="s">
        <v>140</v>
      </c>
      <c r="L198" t="s">
        <v>18</v>
      </c>
      <c r="M198" s="7" t="s">
        <v>141</v>
      </c>
      <c r="N198" t="s">
        <v>92</v>
      </c>
    </row>
    <row r="199" spans="1:14" x14ac:dyDescent="0.2">
      <c r="A199">
        <v>10445</v>
      </c>
      <c r="B199" t="s">
        <v>137</v>
      </c>
      <c r="C199">
        <v>3</v>
      </c>
      <c r="D199" s="5">
        <v>35474</v>
      </c>
      <c r="E199" s="5">
        <v>35502</v>
      </c>
      <c r="F199" s="5">
        <v>35481</v>
      </c>
      <c r="G199">
        <v>1</v>
      </c>
      <c r="H199" s="6">
        <v>9.3000000000000007</v>
      </c>
      <c r="I199" t="s">
        <v>138</v>
      </c>
      <c r="J199" t="s">
        <v>139</v>
      </c>
      <c r="K199" t="s">
        <v>140</v>
      </c>
      <c r="L199" t="s">
        <v>18</v>
      </c>
      <c r="M199" s="7" t="s">
        <v>141</v>
      </c>
      <c r="N199" t="s">
        <v>92</v>
      </c>
    </row>
    <row r="200" spans="1:14" x14ac:dyDescent="0.2">
      <c r="A200">
        <v>10446</v>
      </c>
      <c r="B200" t="s">
        <v>20</v>
      </c>
      <c r="C200">
        <v>6</v>
      </c>
      <c r="D200" s="5">
        <v>35475</v>
      </c>
      <c r="E200" s="5">
        <v>35503</v>
      </c>
      <c r="F200" s="5">
        <v>35480</v>
      </c>
      <c r="G200">
        <v>1</v>
      </c>
      <c r="H200" s="6">
        <v>14.68</v>
      </c>
      <c r="I200" t="s">
        <v>21</v>
      </c>
      <c r="J200" t="s">
        <v>22</v>
      </c>
      <c r="K200" t="s">
        <v>23</v>
      </c>
      <c r="L200" t="s">
        <v>18</v>
      </c>
      <c r="M200" s="7">
        <v>44087</v>
      </c>
      <c r="N200" t="s">
        <v>24</v>
      </c>
    </row>
    <row r="201" spans="1:14" x14ac:dyDescent="0.2">
      <c r="A201">
        <v>10447</v>
      </c>
      <c r="B201" t="s">
        <v>156</v>
      </c>
      <c r="C201">
        <v>4</v>
      </c>
      <c r="D201" s="5">
        <v>35475</v>
      </c>
      <c r="E201" s="5">
        <v>35503</v>
      </c>
      <c r="F201" s="5">
        <v>35496</v>
      </c>
      <c r="G201">
        <v>2</v>
      </c>
      <c r="H201" s="6">
        <v>68.66</v>
      </c>
      <c r="I201" t="s">
        <v>157</v>
      </c>
      <c r="J201" t="s">
        <v>424</v>
      </c>
      <c r="K201" t="s">
        <v>28</v>
      </c>
      <c r="L201" t="s">
        <v>29</v>
      </c>
      <c r="M201" s="7" t="s">
        <v>159</v>
      </c>
      <c r="N201" t="s">
        <v>31</v>
      </c>
    </row>
    <row r="202" spans="1:14" x14ac:dyDescent="0.2">
      <c r="A202">
        <v>10448</v>
      </c>
      <c r="B202" t="s">
        <v>351</v>
      </c>
      <c r="C202">
        <v>4</v>
      </c>
      <c r="D202" s="5">
        <v>35478</v>
      </c>
      <c r="E202" s="5">
        <v>35506</v>
      </c>
      <c r="F202" s="5">
        <v>35485</v>
      </c>
      <c r="G202">
        <v>2</v>
      </c>
      <c r="H202" s="6">
        <v>38.82</v>
      </c>
      <c r="I202" t="s">
        <v>352</v>
      </c>
      <c r="J202" t="s">
        <v>353</v>
      </c>
      <c r="K202" t="s">
        <v>336</v>
      </c>
      <c r="L202" t="s">
        <v>18</v>
      </c>
      <c r="M202" s="7">
        <v>1010</v>
      </c>
      <c r="N202" t="s">
        <v>337</v>
      </c>
    </row>
    <row r="203" spans="1:14" x14ac:dyDescent="0.2">
      <c r="A203">
        <v>10449</v>
      </c>
      <c r="B203" t="s">
        <v>93</v>
      </c>
      <c r="C203">
        <v>3</v>
      </c>
      <c r="D203" s="5">
        <v>35479</v>
      </c>
      <c r="E203" s="5">
        <v>35507</v>
      </c>
      <c r="F203" s="5">
        <v>35488</v>
      </c>
      <c r="G203">
        <v>2</v>
      </c>
      <c r="H203" s="6">
        <v>53.3</v>
      </c>
      <c r="I203" t="s">
        <v>94</v>
      </c>
      <c r="J203" t="s">
        <v>422</v>
      </c>
      <c r="K203" t="s">
        <v>96</v>
      </c>
      <c r="L203" t="s">
        <v>18</v>
      </c>
      <c r="M203" s="7">
        <v>67000</v>
      </c>
      <c r="N203" t="s">
        <v>19</v>
      </c>
    </row>
    <row r="204" spans="1:14" x14ac:dyDescent="0.2">
      <c r="A204">
        <v>10450</v>
      </c>
      <c r="B204" t="s">
        <v>32</v>
      </c>
      <c r="C204">
        <v>8</v>
      </c>
      <c r="D204" s="5">
        <v>35480</v>
      </c>
      <c r="E204" s="5">
        <v>35508</v>
      </c>
      <c r="F204" s="5">
        <v>35500</v>
      </c>
      <c r="G204">
        <v>2</v>
      </c>
      <c r="H204" s="6">
        <v>7.23</v>
      </c>
      <c r="I204" t="s">
        <v>33</v>
      </c>
      <c r="J204" t="s">
        <v>418</v>
      </c>
      <c r="K204" t="s">
        <v>35</v>
      </c>
      <c r="L204" t="s">
        <v>18</v>
      </c>
      <c r="M204" s="7">
        <v>69004</v>
      </c>
      <c r="N204" t="s">
        <v>19</v>
      </c>
    </row>
    <row r="205" spans="1:14" x14ac:dyDescent="0.2">
      <c r="A205">
        <v>10451</v>
      </c>
      <c r="B205" t="s">
        <v>121</v>
      </c>
      <c r="C205">
        <v>4</v>
      </c>
      <c r="D205" s="5">
        <v>35480</v>
      </c>
      <c r="E205" s="5">
        <v>35494</v>
      </c>
      <c r="F205" s="5">
        <v>35501</v>
      </c>
      <c r="G205">
        <v>3</v>
      </c>
      <c r="H205" s="6">
        <v>189.09</v>
      </c>
      <c r="I205" t="s">
        <v>122</v>
      </c>
      <c r="J205" t="s">
        <v>123</v>
      </c>
      <c r="K205" t="s">
        <v>124</v>
      </c>
      <c r="L205" t="s">
        <v>18</v>
      </c>
      <c r="M205" s="7">
        <v>1307</v>
      </c>
      <c r="N205" t="s">
        <v>24</v>
      </c>
    </row>
    <row r="206" spans="1:14" x14ac:dyDescent="0.2">
      <c r="A206">
        <v>10452</v>
      </c>
      <c r="B206" t="s">
        <v>226</v>
      </c>
      <c r="C206">
        <v>8</v>
      </c>
      <c r="D206" s="5">
        <v>35481</v>
      </c>
      <c r="E206" s="5">
        <v>35509</v>
      </c>
      <c r="F206" s="5">
        <v>35487</v>
      </c>
      <c r="G206">
        <v>1</v>
      </c>
      <c r="H206" s="6">
        <v>140.26</v>
      </c>
      <c r="I206" t="s">
        <v>227</v>
      </c>
      <c r="J206" t="s">
        <v>228</v>
      </c>
      <c r="K206" t="s">
        <v>229</v>
      </c>
      <c r="L206" t="s">
        <v>230</v>
      </c>
      <c r="M206" s="7">
        <v>83720</v>
      </c>
      <c r="N206" t="s">
        <v>86</v>
      </c>
    </row>
    <row r="207" spans="1:14" x14ac:dyDescent="0.2">
      <c r="A207">
        <v>10453</v>
      </c>
      <c r="B207" t="s">
        <v>270</v>
      </c>
      <c r="C207">
        <v>1</v>
      </c>
      <c r="D207" s="5">
        <v>35482</v>
      </c>
      <c r="E207" s="5">
        <v>35510</v>
      </c>
      <c r="F207" s="5">
        <v>35487</v>
      </c>
      <c r="G207">
        <v>2</v>
      </c>
      <c r="H207" s="6">
        <v>25.36</v>
      </c>
      <c r="I207" t="s">
        <v>271</v>
      </c>
      <c r="J207" t="s">
        <v>272</v>
      </c>
      <c r="K207" t="s">
        <v>273</v>
      </c>
      <c r="L207" t="s">
        <v>274</v>
      </c>
      <c r="M207" s="7" t="s">
        <v>275</v>
      </c>
      <c r="N207" t="s">
        <v>169</v>
      </c>
    </row>
    <row r="208" spans="1:14" x14ac:dyDescent="0.2">
      <c r="A208">
        <v>10454</v>
      </c>
      <c r="B208" t="s">
        <v>262</v>
      </c>
      <c r="C208">
        <v>4</v>
      </c>
      <c r="D208" s="5">
        <v>35482</v>
      </c>
      <c r="E208" s="5">
        <v>35510</v>
      </c>
      <c r="F208" s="5">
        <v>35486</v>
      </c>
      <c r="G208">
        <v>3</v>
      </c>
      <c r="H208" s="6">
        <v>2.74</v>
      </c>
      <c r="I208" t="s">
        <v>263</v>
      </c>
      <c r="J208" t="s">
        <v>264</v>
      </c>
      <c r="K208" t="s">
        <v>265</v>
      </c>
      <c r="L208" t="s">
        <v>18</v>
      </c>
      <c r="M208" s="7">
        <v>31000</v>
      </c>
      <c r="N208" t="s">
        <v>19</v>
      </c>
    </row>
    <row r="209" spans="1:14" x14ac:dyDescent="0.2">
      <c r="A209">
        <v>10455</v>
      </c>
      <c r="B209" t="s">
        <v>97</v>
      </c>
      <c r="C209">
        <v>8</v>
      </c>
      <c r="D209" s="5">
        <v>35485</v>
      </c>
      <c r="E209" s="5">
        <v>35527</v>
      </c>
      <c r="F209" s="5">
        <v>35492</v>
      </c>
      <c r="G209">
        <v>2</v>
      </c>
      <c r="H209" s="6">
        <v>180.45</v>
      </c>
      <c r="I209" t="s">
        <v>98</v>
      </c>
      <c r="J209" t="s">
        <v>99</v>
      </c>
      <c r="K209" t="s">
        <v>100</v>
      </c>
      <c r="L209" t="s">
        <v>18</v>
      </c>
      <c r="M209" s="7">
        <v>90110</v>
      </c>
      <c r="N209" t="s">
        <v>101</v>
      </c>
    </row>
    <row r="210" spans="1:14" x14ac:dyDescent="0.2">
      <c r="A210">
        <v>10456</v>
      </c>
      <c r="B210" t="s">
        <v>222</v>
      </c>
      <c r="C210">
        <v>8</v>
      </c>
      <c r="D210" s="5">
        <v>35486</v>
      </c>
      <c r="E210" s="5">
        <v>35528</v>
      </c>
      <c r="F210" s="5">
        <v>35489</v>
      </c>
      <c r="G210">
        <v>2</v>
      </c>
      <c r="H210" s="6">
        <v>8.1199999999999992</v>
      </c>
      <c r="I210" t="s">
        <v>223</v>
      </c>
      <c r="J210" t="s">
        <v>224</v>
      </c>
      <c r="K210" t="s">
        <v>225</v>
      </c>
      <c r="L210" t="s">
        <v>18</v>
      </c>
      <c r="M210" s="7">
        <v>14776</v>
      </c>
      <c r="N210" t="s">
        <v>24</v>
      </c>
    </row>
    <row r="211" spans="1:14" x14ac:dyDescent="0.2">
      <c r="A211">
        <v>10457</v>
      </c>
      <c r="B211" t="s">
        <v>222</v>
      </c>
      <c r="C211">
        <v>2</v>
      </c>
      <c r="D211" s="5">
        <v>35486</v>
      </c>
      <c r="E211" s="5">
        <v>35514</v>
      </c>
      <c r="F211" s="5">
        <v>35492</v>
      </c>
      <c r="G211">
        <v>1</v>
      </c>
      <c r="H211" s="6">
        <v>11.57</v>
      </c>
      <c r="I211" t="s">
        <v>223</v>
      </c>
      <c r="J211" t="s">
        <v>224</v>
      </c>
      <c r="K211" t="s">
        <v>225</v>
      </c>
      <c r="L211" t="s">
        <v>18</v>
      </c>
      <c r="M211" s="7">
        <v>14776</v>
      </c>
      <c r="N211" t="s">
        <v>24</v>
      </c>
    </row>
    <row r="212" spans="1:14" x14ac:dyDescent="0.2">
      <c r="A212">
        <v>10458</v>
      </c>
      <c r="B212" t="s">
        <v>36</v>
      </c>
      <c r="C212">
        <v>7</v>
      </c>
      <c r="D212" s="5">
        <v>35487</v>
      </c>
      <c r="E212" s="5">
        <v>35515</v>
      </c>
      <c r="F212" s="5">
        <v>35493</v>
      </c>
      <c r="G212">
        <v>3</v>
      </c>
      <c r="H212" s="6">
        <v>147.06</v>
      </c>
      <c r="I212" t="s">
        <v>37</v>
      </c>
      <c r="J212" t="s">
        <v>419</v>
      </c>
      <c r="K212" t="s">
        <v>39</v>
      </c>
      <c r="L212" t="s">
        <v>18</v>
      </c>
      <c r="M212" s="7" t="s">
        <v>40</v>
      </c>
      <c r="N212" t="s">
        <v>41</v>
      </c>
    </row>
    <row r="213" spans="1:14" x14ac:dyDescent="0.2">
      <c r="A213">
        <v>10459</v>
      </c>
      <c r="B213" t="s">
        <v>32</v>
      </c>
      <c r="C213">
        <v>4</v>
      </c>
      <c r="D213" s="5">
        <v>35488</v>
      </c>
      <c r="E213" s="5">
        <v>35516</v>
      </c>
      <c r="F213" s="5">
        <v>35489</v>
      </c>
      <c r="G213">
        <v>2</v>
      </c>
      <c r="H213" s="6">
        <v>25.09</v>
      </c>
      <c r="I213" t="s">
        <v>33</v>
      </c>
      <c r="J213" t="s">
        <v>418</v>
      </c>
      <c r="K213" t="s">
        <v>35</v>
      </c>
      <c r="L213" t="s">
        <v>18</v>
      </c>
      <c r="M213" s="7">
        <v>69004</v>
      </c>
      <c r="N213" t="s">
        <v>19</v>
      </c>
    </row>
    <row r="214" spans="1:14" x14ac:dyDescent="0.2">
      <c r="A214">
        <v>10460</v>
      </c>
      <c r="B214" t="s">
        <v>87</v>
      </c>
      <c r="C214">
        <v>8</v>
      </c>
      <c r="D214" s="5">
        <v>35489</v>
      </c>
      <c r="E214" s="5">
        <v>35517</v>
      </c>
      <c r="F214" s="5">
        <v>35492</v>
      </c>
      <c r="G214">
        <v>1</v>
      </c>
      <c r="H214" s="6">
        <v>16.27</v>
      </c>
      <c r="I214" t="s">
        <v>88</v>
      </c>
      <c r="J214" t="s">
        <v>89</v>
      </c>
      <c r="K214" t="s">
        <v>90</v>
      </c>
      <c r="L214" t="s">
        <v>18</v>
      </c>
      <c r="M214" s="7" t="s">
        <v>91</v>
      </c>
      <c r="N214" t="s">
        <v>92</v>
      </c>
    </row>
    <row r="215" spans="1:14" x14ac:dyDescent="0.2">
      <c r="A215">
        <v>10461</v>
      </c>
      <c r="B215" t="s">
        <v>151</v>
      </c>
      <c r="C215">
        <v>1</v>
      </c>
      <c r="D215" s="5">
        <v>35489</v>
      </c>
      <c r="E215" s="5">
        <v>35517</v>
      </c>
      <c r="F215" s="5">
        <v>35494</v>
      </c>
      <c r="G215">
        <v>3</v>
      </c>
      <c r="H215" s="6">
        <v>148.61000000000001</v>
      </c>
      <c r="I215" t="s">
        <v>152</v>
      </c>
      <c r="J215" t="s">
        <v>153</v>
      </c>
      <c r="K215" t="s">
        <v>154</v>
      </c>
      <c r="L215" t="s">
        <v>155</v>
      </c>
      <c r="M215" s="7">
        <v>3508</v>
      </c>
      <c r="N215" t="s">
        <v>62</v>
      </c>
    </row>
    <row r="216" spans="1:14" x14ac:dyDescent="0.2">
      <c r="A216">
        <v>10462</v>
      </c>
      <c r="B216" t="s">
        <v>347</v>
      </c>
      <c r="C216">
        <v>2</v>
      </c>
      <c r="D216" s="5">
        <v>35492</v>
      </c>
      <c r="E216" s="5">
        <v>35520</v>
      </c>
      <c r="F216" s="5">
        <v>35507</v>
      </c>
      <c r="G216">
        <v>1</v>
      </c>
      <c r="H216" s="6">
        <v>6.17</v>
      </c>
      <c r="I216" t="s">
        <v>348</v>
      </c>
      <c r="J216" t="s">
        <v>349</v>
      </c>
      <c r="K216" t="s">
        <v>167</v>
      </c>
      <c r="L216" t="s">
        <v>18</v>
      </c>
      <c r="M216" s="7" t="s">
        <v>350</v>
      </c>
      <c r="N216" t="s">
        <v>169</v>
      </c>
    </row>
    <row r="217" spans="1:14" x14ac:dyDescent="0.2">
      <c r="A217">
        <v>10463</v>
      </c>
      <c r="B217" t="s">
        <v>36</v>
      </c>
      <c r="C217">
        <v>5</v>
      </c>
      <c r="D217" s="5">
        <v>35493</v>
      </c>
      <c r="E217" s="5">
        <v>35521</v>
      </c>
      <c r="F217" s="5">
        <v>35495</v>
      </c>
      <c r="G217">
        <v>3</v>
      </c>
      <c r="H217" s="6">
        <v>14.78</v>
      </c>
      <c r="I217" t="s">
        <v>37</v>
      </c>
      <c r="J217" t="s">
        <v>419</v>
      </c>
      <c r="K217" t="s">
        <v>39</v>
      </c>
      <c r="L217" t="s">
        <v>18</v>
      </c>
      <c r="M217" s="7" t="s">
        <v>40</v>
      </c>
      <c r="N217" t="s">
        <v>41</v>
      </c>
    </row>
    <row r="218" spans="1:14" x14ac:dyDescent="0.2">
      <c r="A218">
        <v>10464</v>
      </c>
      <c r="B218" t="s">
        <v>234</v>
      </c>
      <c r="C218">
        <v>4</v>
      </c>
      <c r="D218" s="5">
        <v>35493</v>
      </c>
      <c r="E218" s="5">
        <v>35521</v>
      </c>
      <c r="F218" s="5">
        <v>35503</v>
      </c>
      <c r="G218">
        <v>2</v>
      </c>
      <c r="H218" s="6">
        <v>89</v>
      </c>
      <c r="I218" t="s">
        <v>235</v>
      </c>
      <c r="J218" t="s">
        <v>236</v>
      </c>
      <c r="K218" t="s">
        <v>237</v>
      </c>
      <c r="L218" t="s">
        <v>18</v>
      </c>
      <c r="M218" s="7">
        <v>1675</v>
      </c>
      <c r="N218" t="s">
        <v>238</v>
      </c>
    </row>
    <row r="219" spans="1:14" x14ac:dyDescent="0.2">
      <c r="A219">
        <v>10465</v>
      </c>
      <c r="B219" t="s">
        <v>295</v>
      </c>
      <c r="C219">
        <v>1</v>
      </c>
      <c r="D219" s="5">
        <v>35494</v>
      </c>
      <c r="E219" s="5">
        <v>35522</v>
      </c>
      <c r="F219" s="5">
        <v>35503</v>
      </c>
      <c r="G219">
        <v>3</v>
      </c>
      <c r="H219" s="6">
        <v>145.04</v>
      </c>
      <c r="I219" t="s">
        <v>296</v>
      </c>
      <c r="J219" t="s">
        <v>297</v>
      </c>
      <c r="K219" t="s">
        <v>298</v>
      </c>
      <c r="L219" t="s">
        <v>18</v>
      </c>
      <c r="M219" s="7">
        <v>8200</v>
      </c>
      <c r="N219" t="s">
        <v>257</v>
      </c>
    </row>
    <row r="220" spans="1:14" x14ac:dyDescent="0.2">
      <c r="A220">
        <v>10466</v>
      </c>
      <c r="B220" t="s">
        <v>170</v>
      </c>
      <c r="C220">
        <v>4</v>
      </c>
      <c r="D220" s="5">
        <v>35495</v>
      </c>
      <c r="E220" s="5">
        <v>35523</v>
      </c>
      <c r="F220" s="5">
        <v>35502</v>
      </c>
      <c r="G220">
        <v>1</v>
      </c>
      <c r="H220" s="6">
        <v>11.93</v>
      </c>
      <c r="I220" t="s">
        <v>171</v>
      </c>
      <c r="J220" t="s">
        <v>425</v>
      </c>
      <c r="K220" t="s">
        <v>173</v>
      </c>
      <c r="L220" t="s">
        <v>55</v>
      </c>
      <c r="M220" s="7" t="s">
        <v>174</v>
      </c>
      <c r="N220" t="s">
        <v>31</v>
      </c>
    </row>
    <row r="221" spans="1:14" x14ac:dyDescent="0.2">
      <c r="A221">
        <v>10467</v>
      </c>
      <c r="B221" t="s">
        <v>125</v>
      </c>
      <c r="C221">
        <v>8</v>
      </c>
      <c r="D221" s="5">
        <v>35495</v>
      </c>
      <c r="E221" s="5">
        <v>35523</v>
      </c>
      <c r="F221" s="5">
        <v>35500</v>
      </c>
      <c r="G221">
        <v>2</v>
      </c>
      <c r="H221" s="6">
        <v>4.93</v>
      </c>
      <c r="I221" t="s">
        <v>126</v>
      </c>
      <c r="J221" t="s">
        <v>127</v>
      </c>
      <c r="K221" t="s">
        <v>128</v>
      </c>
      <c r="L221" t="s">
        <v>18</v>
      </c>
      <c r="M221" s="7">
        <v>24100</v>
      </c>
      <c r="N221" t="s">
        <v>129</v>
      </c>
    </row>
    <row r="222" spans="1:14" x14ac:dyDescent="0.2">
      <c r="A222">
        <v>10468</v>
      </c>
      <c r="B222" t="s">
        <v>222</v>
      </c>
      <c r="C222">
        <v>3</v>
      </c>
      <c r="D222" s="5">
        <v>35496</v>
      </c>
      <c r="E222" s="5">
        <v>35524</v>
      </c>
      <c r="F222" s="5">
        <v>35501</v>
      </c>
      <c r="G222">
        <v>3</v>
      </c>
      <c r="H222" s="6">
        <v>44.12</v>
      </c>
      <c r="I222" t="s">
        <v>223</v>
      </c>
      <c r="J222" t="s">
        <v>224</v>
      </c>
      <c r="K222" t="s">
        <v>225</v>
      </c>
      <c r="L222" t="s">
        <v>18</v>
      </c>
      <c r="M222" s="7">
        <v>14776</v>
      </c>
      <c r="N222" t="s">
        <v>24</v>
      </c>
    </row>
    <row r="223" spans="1:14" x14ac:dyDescent="0.2">
      <c r="A223">
        <v>10469</v>
      </c>
      <c r="B223" t="s">
        <v>111</v>
      </c>
      <c r="C223">
        <v>1</v>
      </c>
      <c r="D223" s="5">
        <v>35499</v>
      </c>
      <c r="E223" s="5">
        <v>35527</v>
      </c>
      <c r="F223" s="5">
        <v>35503</v>
      </c>
      <c r="G223">
        <v>1</v>
      </c>
      <c r="H223" s="6">
        <v>60.18</v>
      </c>
      <c r="I223" t="s">
        <v>112</v>
      </c>
      <c r="J223" t="s">
        <v>113</v>
      </c>
      <c r="K223" t="s">
        <v>114</v>
      </c>
      <c r="L223" t="s">
        <v>115</v>
      </c>
      <c r="M223" s="7">
        <v>98124</v>
      </c>
      <c r="N223" t="s">
        <v>86</v>
      </c>
    </row>
    <row r="224" spans="1:14" x14ac:dyDescent="0.2">
      <c r="A224">
        <v>10470</v>
      </c>
      <c r="B224" t="s">
        <v>239</v>
      </c>
      <c r="C224">
        <v>4</v>
      </c>
      <c r="D224" s="5">
        <v>35500</v>
      </c>
      <c r="E224" s="5">
        <v>35528</v>
      </c>
      <c r="F224" s="5">
        <v>35503</v>
      </c>
      <c r="G224">
        <v>2</v>
      </c>
      <c r="H224" s="6">
        <v>64.56</v>
      </c>
      <c r="I224" t="s">
        <v>240</v>
      </c>
      <c r="J224" t="s">
        <v>430</v>
      </c>
      <c r="K224" t="s">
        <v>242</v>
      </c>
      <c r="L224" t="s">
        <v>18</v>
      </c>
      <c r="M224" s="7">
        <v>13008</v>
      </c>
      <c r="N224" t="s">
        <v>19</v>
      </c>
    </row>
    <row r="225" spans="1:14" x14ac:dyDescent="0.2">
      <c r="A225">
        <v>10471</v>
      </c>
      <c r="B225" t="s">
        <v>164</v>
      </c>
      <c r="C225">
        <v>2</v>
      </c>
      <c r="D225" s="5">
        <v>35500</v>
      </c>
      <c r="E225" s="5">
        <v>35528</v>
      </c>
      <c r="F225" s="5">
        <v>35507</v>
      </c>
      <c r="G225">
        <v>3</v>
      </c>
      <c r="H225" s="6">
        <v>45.59</v>
      </c>
      <c r="I225" t="s">
        <v>165</v>
      </c>
      <c r="J225" t="s">
        <v>166</v>
      </c>
      <c r="K225" t="s">
        <v>167</v>
      </c>
      <c r="L225" t="s">
        <v>18</v>
      </c>
      <c r="M225" s="7" t="s">
        <v>168</v>
      </c>
      <c r="N225" t="s">
        <v>169</v>
      </c>
    </row>
    <row r="226" spans="1:14" x14ac:dyDescent="0.2">
      <c r="A226">
        <v>10472</v>
      </c>
      <c r="B226" t="s">
        <v>276</v>
      </c>
      <c r="C226">
        <v>8</v>
      </c>
      <c r="D226" s="5">
        <v>35501</v>
      </c>
      <c r="E226" s="5">
        <v>35529</v>
      </c>
      <c r="F226" s="5">
        <v>35508</v>
      </c>
      <c r="G226">
        <v>1</v>
      </c>
      <c r="H226" s="6">
        <v>4.2</v>
      </c>
      <c r="I226" t="s">
        <v>277</v>
      </c>
      <c r="J226" t="s">
        <v>278</v>
      </c>
      <c r="K226" t="s">
        <v>167</v>
      </c>
      <c r="L226" t="s">
        <v>18</v>
      </c>
      <c r="M226" s="7" t="s">
        <v>279</v>
      </c>
      <c r="N226" t="s">
        <v>169</v>
      </c>
    </row>
    <row r="227" spans="1:14" x14ac:dyDescent="0.2">
      <c r="A227">
        <v>10473</v>
      </c>
      <c r="B227" t="s">
        <v>213</v>
      </c>
      <c r="C227">
        <v>1</v>
      </c>
      <c r="D227" s="5">
        <v>35502</v>
      </c>
      <c r="E227" s="5">
        <v>35516</v>
      </c>
      <c r="F227" s="5">
        <v>35510</v>
      </c>
      <c r="G227">
        <v>3</v>
      </c>
      <c r="H227" s="6">
        <v>16.37</v>
      </c>
      <c r="I227" t="s">
        <v>214</v>
      </c>
      <c r="J227" t="s">
        <v>215</v>
      </c>
      <c r="K227" t="s">
        <v>216</v>
      </c>
      <c r="L227" t="s">
        <v>217</v>
      </c>
      <c r="M227" s="7" t="s">
        <v>218</v>
      </c>
      <c r="N227" t="s">
        <v>169</v>
      </c>
    </row>
    <row r="228" spans="1:14" x14ac:dyDescent="0.2">
      <c r="A228">
        <v>10474</v>
      </c>
      <c r="B228" t="s">
        <v>219</v>
      </c>
      <c r="C228">
        <v>5</v>
      </c>
      <c r="D228" s="5">
        <v>35502</v>
      </c>
      <c r="E228" s="5">
        <v>35530</v>
      </c>
      <c r="F228" s="5">
        <v>35510</v>
      </c>
      <c r="G228">
        <v>2</v>
      </c>
      <c r="H228" s="6">
        <v>83.49</v>
      </c>
      <c r="I228" t="s">
        <v>220</v>
      </c>
      <c r="J228" t="s">
        <v>221</v>
      </c>
      <c r="K228" t="s">
        <v>71</v>
      </c>
      <c r="L228" t="s">
        <v>18</v>
      </c>
      <c r="M228" s="7">
        <v>5033</v>
      </c>
      <c r="N228" t="s">
        <v>72</v>
      </c>
    </row>
    <row r="229" spans="1:14" x14ac:dyDescent="0.2">
      <c r="A229">
        <v>10475</v>
      </c>
      <c r="B229" t="s">
        <v>36</v>
      </c>
      <c r="C229">
        <v>9</v>
      </c>
      <c r="D229" s="5">
        <v>35503</v>
      </c>
      <c r="E229" s="5">
        <v>35531</v>
      </c>
      <c r="F229" s="5">
        <v>35524</v>
      </c>
      <c r="G229">
        <v>1</v>
      </c>
      <c r="H229" s="6">
        <v>68.52</v>
      </c>
      <c r="I229" t="s">
        <v>37</v>
      </c>
      <c r="J229" t="s">
        <v>419</v>
      </c>
      <c r="K229" t="s">
        <v>39</v>
      </c>
      <c r="L229" t="s">
        <v>18</v>
      </c>
      <c r="M229" s="7" t="s">
        <v>40</v>
      </c>
      <c r="N229" t="s">
        <v>41</v>
      </c>
    </row>
    <row r="230" spans="1:14" x14ac:dyDescent="0.2">
      <c r="A230">
        <v>10476</v>
      </c>
      <c r="B230" t="s">
        <v>57</v>
      </c>
      <c r="C230">
        <v>8</v>
      </c>
      <c r="D230" s="5">
        <v>35506</v>
      </c>
      <c r="E230" s="5">
        <v>35534</v>
      </c>
      <c r="F230" s="5">
        <v>35513</v>
      </c>
      <c r="G230">
        <v>3</v>
      </c>
      <c r="H230" s="6">
        <v>4.41</v>
      </c>
      <c r="I230" t="s">
        <v>58</v>
      </c>
      <c r="J230" t="s">
        <v>59</v>
      </c>
      <c r="K230" t="s">
        <v>60</v>
      </c>
      <c r="L230" t="s">
        <v>61</v>
      </c>
      <c r="M230" s="7">
        <v>5022</v>
      </c>
      <c r="N230" t="s">
        <v>62</v>
      </c>
    </row>
    <row r="231" spans="1:14" x14ac:dyDescent="0.2">
      <c r="A231">
        <v>10477</v>
      </c>
      <c r="B231" t="s">
        <v>250</v>
      </c>
      <c r="C231">
        <v>5</v>
      </c>
      <c r="D231" s="5">
        <v>35506</v>
      </c>
      <c r="E231" s="5">
        <v>35534</v>
      </c>
      <c r="F231" s="5">
        <v>35514</v>
      </c>
      <c r="G231">
        <v>2</v>
      </c>
      <c r="H231" s="6">
        <v>13.02</v>
      </c>
      <c r="I231" t="s">
        <v>251</v>
      </c>
      <c r="J231" t="s">
        <v>252</v>
      </c>
      <c r="K231" t="s">
        <v>237</v>
      </c>
      <c r="L231" t="s">
        <v>18</v>
      </c>
      <c r="M231" s="7">
        <v>1756</v>
      </c>
      <c r="N231" t="s">
        <v>238</v>
      </c>
    </row>
    <row r="232" spans="1:14" x14ac:dyDescent="0.2">
      <c r="A232">
        <v>10478</v>
      </c>
      <c r="B232" t="s">
        <v>32</v>
      </c>
      <c r="C232">
        <v>2</v>
      </c>
      <c r="D232" s="5">
        <v>35507</v>
      </c>
      <c r="E232" s="5">
        <v>35521</v>
      </c>
      <c r="F232" s="5">
        <v>35515</v>
      </c>
      <c r="G232">
        <v>3</v>
      </c>
      <c r="H232" s="6">
        <v>4.8099999999999996</v>
      </c>
      <c r="I232" t="s">
        <v>33</v>
      </c>
      <c r="J232" t="s">
        <v>418</v>
      </c>
      <c r="K232" t="s">
        <v>35</v>
      </c>
      <c r="L232" t="s">
        <v>18</v>
      </c>
      <c r="M232" s="7">
        <v>69004</v>
      </c>
      <c r="N232" t="s">
        <v>19</v>
      </c>
    </row>
    <row r="233" spans="1:14" x14ac:dyDescent="0.2">
      <c r="A233">
        <v>10479</v>
      </c>
      <c r="B233" t="s">
        <v>81</v>
      </c>
      <c r="C233">
        <v>3</v>
      </c>
      <c r="D233" s="5">
        <v>35508</v>
      </c>
      <c r="E233" s="5">
        <v>35536</v>
      </c>
      <c r="F233" s="5">
        <v>35510</v>
      </c>
      <c r="G233">
        <v>3</v>
      </c>
      <c r="H233" s="6">
        <v>708.95</v>
      </c>
      <c r="I233" t="s">
        <v>82</v>
      </c>
      <c r="J233" t="s">
        <v>83</v>
      </c>
      <c r="K233" t="s">
        <v>84</v>
      </c>
      <c r="L233" t="s">
        <v>85</v>
      </c>
      <c r="M233" s="7">
        <v>87110</v>
      </c>
      <c r="N233" t="s">
        <v>86</v>
      </c>
    </row>
    <row r="234" spans="1:14" x14ac:dyDescent="0.2">
      <c r="A234">
        <v>10480</v>
      </c>
      <c r="B234" t="s">
        <v>329</v>
      </c>
      <c r="C234">
        <v>6</v>
      </c>
      <c r="D234" s="5">
        <v>35509</v>
      </c>
      <c r="E234" s="5">
        <v>35537</v>
      </c>
      <c r="F234" s="5">
        <v>35513</v>
      </c>
      <c r="G234">
        <v>2</v>
      </c>
      <c r="H234" s="6">
        <v>1.35</v>
      </c>
      <c r="I234" t="s">
        <v>330</v>
      </c>
      <c r="J234" t="s">
        <v>434</v>
      </c>
      <c r="K234" t="s">
        <v>332</v>
      </c>
      <c r="L234" t="s">
        <v>18</v>
      </c>
      <c r="M234" s="7">
        <v>59000</v>
      </c>
      <c r="N234" t="s">
        <v>19</v>
      </c>
    </row>
    <row r="235" spans="1:14" x14ac:dyDescent="0.2">
      <c r="A235">
        <v>10481</v>
      </c>
      <c r="B235" t="s">
        <v>156</v>
      </c>
      <c r="C235">
        <v>8</v>
      </c>
      <c r="D235" s="5">
        <v>35509</v>
      </c>
      <c r="E235" s="5">
        <v>35537</v>
      </c>
      <c r="F235" s="5">
        <v>35514</v>
      </c>
      <c r="G235">
        <v>2</v>
      </c>
      <c r="H235" s="6">
        <v>64.33</v>
      </c>
      <c r="I235" t="s">
        <v>157</v>
      </c>
      <c r="J235" t="s">
        <v>424</v>
      </c>
      <c r="K235" t="s">
        <v>28</v>
      </c>
      <c r="L235" t="s">
        <v>29</v>
      </c>
      <c r="M235" s="7" t="s">
        <v>159</v>
      </c>
      <c r="N235" t="s">
        <v>31</v>
      </c>
    </row>
    <row r="236" spans="1:14" x14ac:dyDescent="0.2">
      <c r="A236">
        <v>10482</v>
      </c>
      <c r="B236" t="s">
        <v>354</v>
      </c>
      <c r="C236">
        <v>1</v>
      </c>
      <c r="D236" s="5">
        <v>35510</v>
      </c>
      <c r="E236" s="5">
        <v>35538</v>
      </c>
      <c r="F236" s="5">
        <v>35530</v>
      </c>
      <c r="G236">
        <v>3</v>
      </c>
      <c r="H236" s="6">
        <v>7.48</v>
      </c>
      <c r="I236" t="s">
        <v>355</v>
      </c>
      <c r="J236" t="s">
        <v>356</v>
      </c>
      <c r="K236" t="s">
        <v>357</v>
      </c>
      <c r="L236" t="s">
        <v>115</v>
      </c>
      <c r="M236" s="7">
        <v>99362</v>
      </c>
      <c r="N236" t="s">
        <v>86</v>
      </c>
    </row>
    <row r="237" spans="1:14" x14ac:dyDescent="0.2">
      <c r="A237">
        <v>10483</v>
      </c>
      <c r="B237" t="s">
        <v>111</v>
      </c>
      <c r="C237">
        <v>7</v>
      </c>
      <c r="D237" s="5">
        <v>35513</v>
      </c>
      <c r="E237" s="5">
        <v>35541</v>
      </c>
      <c r="F237" s="5">
        <v>35545</v>
      </c>
      <c r="G237">
        <v>2</v>
      </c>
      <c r="H237" s="6">
        <v>15.28</v>
      </c>
      <c r="I237" t="s">
        <v>112</v>
      </c>
      <c r="J237" t="s">
        <v>113</v>
      </c>
      <c r="K237" t="s">
        <v>114</v>
      </c>
      <c r="L237" t="s">
        <v>115</v>
      </c>
      <c r="M237" s="7">
        <v>98124</v>
      </c>
      <c r="N237" t="s">
        <v>86</v>
      </c>
    </row>
    <row r="238" spans="1:14" x14ac:dyDescent="0.2">
      <c r="A238">
        <v>10484</v>
      </c>
      <c r="B238" t="s">
        <v>164</v>
      </c>
      <c r="C238">
        <v>3</v>
      </c>
      <c r="D238" s="5">
        <v>35513</v>
      </c>
      <c r="E238" s="5">
        <v>35541</v>
      </c>
      <c r="F238" s="5">
        <v>35521</v>
      </c>
      <c r="G238">
        <v>3</v>
      </c>
      <c r="H238" s="6">
        <v>6.88</v>
      </c>
      <c r="I238" t="s">
        <v>165</v>
      </c>
      <c r="J238" t="s">
        <v>166</v>
      </c>
      <c r="K238" t="s">
        <v>167</v>
      </c>
      <c r="L238" t="s">
        <v>18</v>
      </c>
      <c r="M238" s="7" t="s">
        <v>168</v>
      </c>
      <c r="N238" t="s">
        <v>169</v>
      </c>
    </row>
    <row r="239" spans="1:14" x14ac:dyDescent="0.2">
      <c r="A239">
        <v>10485</v>
      </c>
      <c r="B239" t="s">
        <v>324</v>
      </c>
      <c r="C239">
        <v>4</v>
      </c>
      <c r="D239" s="5">
        <v>35514</v>
      </c>
      <c r="E239" s="5">
        <v>35528</v>
      </c>
      <c r="F239" s="5">
        <v>35520</v>
      </c>
      <c r="G239">
        <v>2</v>
      </c>
      <c r="H239" s="6">
        <v>64.45</v>
      </c>
      <c r="I239" t="s">
        <v>325</v>
      </c>
      <c r="J239" t="s">
        <v>326</v>
      </c>
      <c r="K239" t="s">
        <v>327</v>
      </c>
      <c r="L239" t="s">
        <v>328</v>
      </c>
      <c r="M239" s="7">
        <v>4980</v>
      </c>
      <c r="N239" t="s">
        <v>62</v>
      </c>
    </row>
    <row r="240" spans="1:14" x14ac:dyDescent="0.2">
      <c r="A240">
        <v>10486</v>
      </c>
      <c r="B240" t="s">
        <v>57</v>
      </c>
      <c r="C240">
        <v>1</v>
      </c>
      <c r="D240" s="5">
        <v>35515</v>
      </c>
      <c r="E240" s="5">
        <v>35543</v>
      </c>
      <c r="F240" s="5">
        <v>35522</v>
      </c>
      <c r="G240">
        <v>2</v>
      </c>
      <c r="H240" s="6">
        <v>30.53</v>
      </c>
      <c r="I240" t="s">
        <v>58</v>
      </c>
      <c r="J240" t="s">
        <v>59</v>
      </c>
      <c r="K240" t="s">
        <v>60</v>
      </c>
      <c r="L240" t="s">
        <v>61</v>
      </c>
      <c r="M240" s="7">
        <v>5022</v>
      </c>
      <c r="N240" t="s">
        <v>62</v>
      </c>
    </row>
    <row r="241" spans="1:14" x14ac:dyDescent="0.2">
      <c r="A241">
        <v>10487</v>
      </c>
      <c r="B241" t="s">
        <v>299</v>
      </c>
      <c r="C241">
        <v>2</v>
      </c>
      <c r="D241" s="5">
        <v>35515</v>
      </c>
      <c r="E241" s="5">
        <v>35543</v>
      </c>
      <c r="F241" s="5">
        <v>35517</v>
      </c>
      <c r="G241">
        <v>2</v>
      </c>
      <c r="H241" s="6">
        <v>71.069999999999993</v>
      </c>
      <c r="I241" t="s">
        <v>300</v>
      </c>
      <c r="J241" t="s">
        <v>433</v>
      </c>
      <c r="K241" t="s">
        <v>173</v>
      </c>
      <c r="L241" t="s">
        <v>55</v>
      </c>
      <c r="M241" s="7" t="s">
        <v>302</v>
      </c>
      <c r="N241" t="s">
        <v>31</v>
      </c>
    </row>
    <row r="242" spans="1:14" x14ac:dyDescent="0.2">
      <c r="A242">
        <v>10488</v>
      </c>
      <c r="B242" t="s">
        <v>102</v>
      </c>
      <c r="C242">
        <v>8</v>
      </c>
      <c r="D242" s="5">
        <v>35516</v>
      </c>
      <c r="E242" s="5">
        <v>35544</v>
      </c>
      <c r="F242" s="5">
        <v>35522</v>
      </c>
      <c r="G242">
        <v>2</v>
      </c>
      <c r="H242" s="6">
        <v>4.93</v>
      </c>
      <c r="I242" t="s">
        <v>103</v>
      </c>
      <c r="J242" t="s">
        <v>104</v>
      </c>
      <c r="K242" t="s">
        <v>105</v>
      </c>
      <c r="L242" t="s">
        <v>18</v>
      </c>
      <c r="M242" s="7">
        <v>80805</v>
      </c>
      <c r="N242" t="s">
        <v>24</v>
      </c>
    </row>
    <row r="243" spans="1:14" x14ac:dyDescent="0.2">
      <c r="A243">
        <v>10489</v>
      </c>
      <c r="B243" t="s">
        <v>266</v>
      </c>
      <c r="C243">
        <v>6</v>
      </c>
      <c r="D243" s="5">
        <v>35517</v>
      </c>
      <c r="E243" s="5">
        <v>35545</v>
      </c>
      <c r="F243" s="5">
        <v>35529</v>
      </c>
      <c r="G243">
        <v>2</v>
      </c>
      <c r="H243" s="6">
        <v>5.29</v>
      </c>
      <c r="I243" t="s">
        <v>267</v>
      </c>
      <c r="J243" t="s">
        <v>268</v>
      </c>
      <c r="K243" t="s">
        <v>269</v>
      </c>
      <c r="L243" t="s">
        <v>18</v>
      </c>
      <c r="M243" s="7">
        <v>5020</v>
      </c>
      <c r="N243" t="s">
        <v>67</v>
      </c>
    </row>
    <row r="244" spans="1:14" x14ac:dyDescent="0.2">
      <c r="A244">
        <v>10490</v>
      </c>
      <c r="B244" t="s">
        <v>57</v>
      </c>
      <c r="C244">
        <v>7</v>
      </c>
      <c r="D244" s="5">
        <v>35520</v>
      </c>
      <c r="E244" s="5">
        <v>35548</v>
      </c>
      <c r="F244" s="5">
        <v>35523</v>
      </c>
      <c r="G244">
        <v>2</v>
      </c>
      <c r="H244" s="6">
        <v>210.19</v>
      </c>
      <c r="I244" t="s">
        <v>58</v>
      </c>
      <c r="J244" t="s">
        <v>59</v>
      </c>
      <c r="K244" t="s">
        <v>60</v>
      </c>
      <c r="L244" t="s">
        <v>61</v>
      </c>
      <c r="M244" s="7">
        <v>5022</v>
      </c>
      <c r="N244" t="s">
        <v>62</v>
      </c>
    </row>
    <row r="245" spans="1:14" x14ac:dyDescent="0.2">
      <c r="A245">
        <v>10491</v>
      </c>
      <c r="B245" t="s">
        <v>234</v>
      </c>
      <c r="C245">
        <v>8</v>
      </c>
      <c r="D245" s="5">
        <v>35520</v>
      </c>
      <c r="E245" s="5">
        <v>35548</v>
      </c>
      <c r="F245" s="5">
        <v>35528</v>
      </c>
      <c r="G245">
        <v>3</v>
      </c>
      <c r="H245" s="6">
        <v>16.96</v>
      </c>
      <c r="I245" t="s">
        <v>235</v>
      </c>
      <c r="J245" t="s">
        <v>236</v>
      </c>
      <c r="K245" t="s">
        <v>237</v>
      </c>
      <c r="L245" t="s">
        <v>18</v>
      </c>
      <c r="M245" s="7">
        <v>1675</v>
      </c>
      <c r="N245" t="s">
        <v>238</v>
      </c>
    </row>
    <row r="246" spans="1:14" x14ac:dyDescent="0.2">
      <c r="A246">
        <v>10492</v>
      </c>
      <c r="B246" t="s">
        <v>318</v>
      </c>
      <c r="C246">
        <v>3</v>
      </c>
      <c r="D246" s="5">
        <v>35521</v>
      </c>
      <c r="E246" s="5">
        <v>35549</v>
      </c>
      <c r="F246" s="5">
        <v>35531</v>
      </c>
      <c r="G246">
        <v>1</v>
      </c>
      <c r="H246" s="6">
        <v>62.89</v>
      </c>
      <c r="I246" t="s">
        <v>319</v>
      </c>
      <c r="J246" t="s">
        <v>320</v>
      </c>
      <c r="K246" t="s">
        <v>321</v>
      </c>
      <c r="L246" t="s">
        <v>322</v>
      </c>
      <c r="M246" s="7" t="s">
        <v>323</v>
      </c>
      <c r="N246" t="s">
        <v>249</v>
      </c>
    </row>
    <row r="247" spans="1:14" x14ac:dyDescent="0.2">
      <c r="A247">
        <v>10493</v>
      </c>
      <c r="B247" t="s">
        <v>262</v>
      </c>
      <c r="C247">
        <v>4</v>
      </c>
      <c r="D247" s="5">
        <v>35522</v>
      </c>
      <c r="E247" s="5">
        <v>35550</v>
      </c>
      <c r="F247" s="5">
        <v>35530</v>
      </c>
      <c r="G247">
        <v>3</v>
      </c>
      <c r="H247" s="6">
        <v>10.64</v>
      </c>
      <c r="I247" t="s">
        <v>263</v>
      </c>
      <c r="J247" t="s">
        <v>264</v>
      </c>
      <c r="K247" t="s">
        <v>265</v>
      </c>
      <c r="L247" t="s">
        <v>18</v>
      </c>
      <c r="M247" s="7">
        <v>31000</v>
      </c>
      <c r="N247" t="s">
        <v>19</v>
      </c>
    </row>
    <row r="248" spans="1:14" x14ac:dyDescent="0.2">
      <c r="A248">
        <v>10494</v>
      </c>
      <c r="B248" t="s">
        <v>170</v>
      </c>
      <c r="C248">
        <v>4</v>
      </c>
      <c r="D248" s="5">
        <v>35522</v>
      </c>
      <c r="E248" s="5">
        <v>35550</v>
      </c>
      <c r="F248" s="5">
        <v>35529</v>
      </c>
      <c r="G248">
        <v>2</v>
      </c>
      <c r="H248" s="6">
        <v>65.989999999999995</v>
      </c>
      <c r="I248" t="s">
        <v>171</v>
      </c>
      <c r="J248" t="s">
        <v>425</v>
      </c>
      <c r="K248" t="s">
        <v>173</v>
      </c>
      <c r="L248" t="s">
        <v>55</v>
      </c>
      <c r="M248" s="7" t="s">
        <v>174</v>
      </c>
      <c r="N248" t="s">
        <v>31</v>
      </c>
    </row>
    <row r="249" spans="1:14" x14ac:dyDescent="0.2">
      <c r="A249">
        <v>10495</v>
      </c>
      <c r="B249" t="s">
        <v>358</v>
      </c>
      <c r="C249">
        <v>3</v>
      </c>
      <c r="D249" s="5">
        <v>35523</v>
      </c>
      <c r="E249" s="5">
        <v>35551</v>
      </c>
      <c r="F249" s="5">
        <v>35531</v>
      </c>
      <c r="G249">
        <v>3</v>
      </c>
      <c r="H249" s="6">
        <v>4.6500000000000004</v>
      </c>
      <c r="I249" t="s">
        <v>359</v>
      </c>
      <c r="J249" t="s">
        <v>360</v>
      </c>
      <c r="K249" t="s">
        <v>361</v>
      </c>
      <c r="L249" t="s">
        <v>322</v>
      </c>
      <c r="M249" s="7" t="s">
        <v>362</v>
      </c>
      <c r="N249" t="s">
        <v>249</v>
      </c>
    </row>
    <row r="250" spans="1:14" x14ac:dyDescent="0.2">
      <c r="A250">
        <v>10496</v>
      </c>
      <c r="B250" t="s">
        <v>175</v>
      </c>
      <c r="C250">
        <v>7</v>
      </c>
      <c r="D250" s="5">
        <v>35524</v>
      </c>
      <c r="E250" s="5">
        <v>35552</v>
      </c>
      <c r="F250" s="5">
        <v>35527</v>
      </c>
      <c r="G250">
        <v>2</v>
      </c>
      <c r="H250" s="6">
        <v>46.77</v>
      </c>
      <c r="I250" t="s">
        <v>176</v>
      </c>
      <c r="J250" t="s">
        <v>426</v>
      </c>
      <c r="K250" t="s">
        <v>173</v>
      </c>
      <c r="L250" t="s">
        <v>55</v>
      </c>
      <c r="M250" s="7" t="s">
        <v>178</v>
      </c>
      <c r="N250" t="s">
        <v>31</v>
      </c>
    </row>
    <row r="251" spans="1:14" x14ac:dyDescent="0.2">
      <c r="A251">
        <v>10497</v>
      </c>
      <c r="B251" t="s">
        <v>142</v>
      </c>
      <c r="C251">
        <v>7</v>
      </c>
      <c r="D251" s="5">
        <v>35524</v>
      </c>
      <c r="E251" s="5">
        <v>35552</v>
      </c>
      <c r="F251" s="5">
        <v>35527</v>
      </c>
      <c r="G251">
        <v>1</v>
      </c>
      <c r="H251" s="6">
        <v>36.21</v>
      </c>
      <c r="I251" t="s">
        <v>143</v>
      </c>
      <c r="J251" t="s">
        <v>144</v>
      </c>
      <c r="K251" t="s">
        <v>145</v>
      </c>
      <c r="L251" t="s">
        <v>18</v>
      </c>
      <c r="M251" s="7">
        <v>60528</v>
      </c>
      <c r="N251" t="s">
        <v>24</v>
      </c>
    </row>
    <row r="252" spans="1:14" x14ac:dyDescent="0.2">
      <c r="A252">
        <v>10498</v>
      </c>
      <c r="B252" t="s">
        <v>57</v>
      </c>
      <c r="C252">
        <v>8</v>
      </c>
      <c r="D252" s="5">
        <v>35527</v>
      </c>
      <c r="E252" s="5">
        <v>35555</v>
      </c>
      <c r="F252" s="5">
        <v>35531</v>
      </c>
      <c r="G252">
        <v>2</v>
      </c>
      <c r="H252" s="6">
        <v>29.75</v>
      </c>
      <c r="I252" t="s">
        <v>58</v>
      </c>
      <c r="J252" t="s">
        <v>59</v>
      </c>
      <c r="K252" t="s">
        <v>60</v>
      </c>
      <c r="L252" t="s">
        <v>61</v>
      </c>
      <c r="M252" s="7">
        <v>5022</v>
      </c>
      <c r="N252" t="s">
        <v>62</v>
      </c>
    </row>
    <row r="253" spans="1:14" x14ac:dyDescent="0.2">
      <c r="A253">
        <v>10499</v>
      </c>
      <c r="B253" t="s">
        <v>151</v>
      </c>
      <c r="C253">
        <v>4</v>
      </c>
      <c r="D253" s="5">
        <v>35528</v>
      </c>
      <c r="E253" s="5">
        <v>35556</v>
      </c>
      <c r="F253" s="5">
        <v>35536</v>
      </c>
      <c r="G253">
        <v>2</v>
      </c>
      <c r="H253" s="6">
        <v>102.02</v>
      </c>
      <c r="I253" t="s">
        <v>152</v>
      </c>
      <c r="J253" t="s">
        <v>153</v>
      </c>
      <c r="K253" t="s">
        <v>154</v>
      </c>
      <c r="L253" t="s">
        <v>155</v>
      </c>
      <c r="M253" s="7">
        <v>3508</v>
      </c>
      <c r="N253" t="s">
        <v>62</v>
      </c>
    </row>
    <row r="254" spans="1:14" x14ac:dyDescent="0.2">
      <c r="A254">
        <v>10500</v>
      </c>
      <c r="B254" t="s">
        <v>262</v>
      </c>
      <c r="C254">
        <v>6</v>
      </c>
      <c r="D254" s="5">
        <v>35529</v>
      </c>
      <c r="E254" s="5">
        <v>35557</v>
      </c>
      <c r="F254" s="5">
        <v>35537</v>
      </c>
      <c r="G254">
        <v>1</v>
      </c>
      <c r="H254" s="6">
        <v>42.68</v>
      </c>
      <c r="I254" t="s">
        <v>263</v>
      </c>
      <c r="J254" t="s">
        <v>264</v>
      </c>
      <c r="K254" t="s">
        <v>265</v>
      </c>
      <c r="L254" t="s">
        <v>18</v>
      </c>
      <c r="M254" s="7">
        <v>31000</v>
      </c>
      <c r="N254" t="s">
        <v>19</v>
      </c>
    </row>
    <row r="255" spans="1:14" x14ac:dyDescent="0.2">
      <c r="A255">
        <v>10501</v>
      </c>
      <c r="B255" t="s">
        <v>363</v>
      </c>
      <c r="C255">
        <v>9</v>
      </c>
      <c r="D255" s="5">
        <v>35529</v>
      </c>
      <c r="E255" s="5">
        <v>35557</v>
      </c>
      <c r="F255" s="5">
        <v>35536</v>
      </c>
      <c r="G255">
        <v>3</v>
      </c>
      <c r="H255" s="6">
        <v>8.85</v>
      </c>
      <c r="I255" t="s">
        <v>364</v>
      </c>
      <c r="J255" t="s">
        <v>365</v>
      </c>
      <c r="K255" t="s">
        <v>366</v>
      </c>
      <c r="L255" t="s">
        <v>18</v>
      </c>
      <c r="M255" s="7">
        <v>68306</v>
      </c>
      <c r="N255" t="s">
        <v>24</v>
      </c>
    </row>
    <row r="256" spans="1:14" x14ac:dyDescent="0.2">
      <c r="A256">
        <v>10502</v>
      </c>
      <c r="B256" t="s">
        <v>219</v>
      </c>
      <c r="C256">
        <v>2</v>
      </c>
      <c r="D256" s="5">
        <v>35530</v>
      </c>
      <c r="E256" s="5">
        <v>35558</v>
      </c>
      <c r="F256" s="5">
        <v>35549</v>
      </c>
      <c r="G256">
        <v>1</v>
      </c>
      <c r="H256" s="6">
        <v>69.319999999999993</v>
      </c>
      <c r="I256" t="s">
        <v>220</v>
      </c>
      <c r="J256" t="s">
        <v>221</v>
      </c>
      <c r="K256" t="s">
        <v>71</v>
      </c>
      <c r="L256" t="s">
        <v>18</v>
      </c>
      <c r="M256" s="7">
        <v>5033</v>
      </c>
      <c r="N256" t="s">
        <v>72</v>
      </c>
    </row>
    <row r="257" spans="1:14" x14ac:dyDescent="0.2">
      <c r="A257">
        <v>10503</v>
      </c>
      <c r="B257" t="s">
        <v>179</v>
      </c>
      <c r="C257">
        <v>6</v>
      </c>
      <c r="D257" s="5">
        <v>35531</v>
      </c>
      <c r="E257" s="5">
        <v>35559</v>
      </c>
      <c r="F257" s="5">
        <v>35536</v>
      </c>
      <c r="G257">
        <v>2</v>
      </c>
      <c r="H257" s="6">
        <v>16.739999999999998</v>
      </c>
      <c r="I257" t="s">
        <v>180</v>
      </c>
      <c r="J257" t="s">
        <v>181</v>
      </c>
      <c r="K257" t="s">
        <v>182</v>
      </c>
      <c r="L257" t="s">
        <v>183</v>
      </c>
      <c r="M257" s="7" t="s">
        <v>18</v>
      </c>
      <c r="N257" t="s">
        <v>184</v>
      </c>
    </row>
    <row r="258" spans="1:14" x14ac:dyDescent="0.2">
      <c r="A258">
        <v>10504</v>
      </c>
      <c r="B258" t="s">
        <v>111</v>
      </c>
      <c r="C258">
        <v>4</v>
      </c>
      <c r="D258" s="5">
        <v>35531</v>
      </c>
      <c r="E258" s="5">
        <v>35559</v>
      </c>
      <c r="F258" s="5">
        <v>35538</v>
      </c>
      <c r="G258">
        <v>3</v>
      </c>
      <c r="H258" s="6">
        <v>59.13</v>
      </c>
      <c r="I258" t="s">
        <v>112</v>
      </c>
      <c r="J258" t="s">
        <v>113</v>
      </c>
      <c r="K258" t="s">
        <v>114</v>
      </c>
      <c r="L258" t="s">
        <v>115</v>
      </c>
      <c r="M258" s="7">
        <v>98124</v>
      </c>
      <c r="N258" t="s">
        <v>86</v>
      </c>
    </row>
    <row r="259" spans="1:14" x14ac:dyDescent="0.2">
      <c r="A259">
        <v>10505</v>
      </c>
      <c r="B259" t="s">
        <v>243</v>
      </c>
      <c r="C259">
        <v>3</v>
      </c>
      <c r="D259" s="5">
        <v>35534</v>
      </c>
      <c r="E259" s="5">
        <v>35562</v>
      </c>
      <c r="F259" s="5">
        <v>35541</v>
      </c>
      <c r="G259">
        <v>3</v>
      </c>
      <c r="H259" s="6">
        <v>7.13</v>
      </c>
      <c r="I259" t="s">
        <v>244</v>
      </c>
      <c r="J259" t="s">
        <v>245</v>
      </c>
      <c r="K259" t="s">
        <v>246</v>
      </c>
      <c r="L259" t="s">
        <v>247</v>
      </c>
      <c r="M259" s="7" t="s">
        <v>248</v>
      </c>
      <c r="N259" t="s">
        <v>249</v>
      </c>
    </row>
    <row r="260" spans="1:14" x14ac:dyDescent="0.2">
      <c r="A260">
        <v>10506</v>
      </c>
      <c r="B260" t="s">
        <v>222</v>
      </c>
      <c r="C260">
        <v>9</v>
      </c>
      <c r="D260" s="5">
        <v>35535</v>
      </c>
      <c r="E260" s="5">
        <v>35563</v>
      </c>
      <c r="F260" s="5">
        <v>35552</v>
      </c>
      <c r="G260">
        <v>2</v>
      </c>
      <c r="H260" s="6">
        <v>21.19</v>
      </c>
      <c r="I260" t="s">
        <v>223</v>
      </c>
      <c r="J260" t="s">
        <v>224</v>
      </c>
      <c r="K260" t="s">
        <v>225</v>
      </c>
      <c r="L260" t="s">
        <v>18</v>
      </c>
      <c r="M260" s="7">
        <v>14776</v>
      </c>
      <c r="N260" t="s">
        <v>24</v>
      </c>
    </row>
    <row r="261" spans="1:14" x14ac:dyDescent="0.2">
      <c r="A261">
        <v>10507</v>
      </c>
      <c r="B261" t="s">
        <v>288</v>
      </c>
      <c r="C261">
        <v>7</v>
      </c>
      <c r="D261" s="5">
        <v>35535</v>
      </c>
      <c r="E261" s="5">
        <v>35563</v>
      </c>
      <c r="F261" s="5">
        <v>35542</v>
      </c>
      <c r="G261">
        <v>1</v>
      </c>
      <c r="H261" s="6">
        <v>47.45</v>
      </c>
      <c r="I261" t="s">
        <v>289</v>
      </c>
      <c r="J261" t="s">
        <v>290</v>
      </c>
      <c r="K261" t="s">
        <v>71</v>
      </c>
      <c r="L261" t="s">
        <v>18</v>
      </c>
      <c r="M261" s="7">
        <v>5023</v>
      </c>
      <c r="N261" t="s">
        <v>72</v>
      </c>
    </row>
    <row r="262" spans="1:14" x14ac:dyDescent="0.2">
      <c r="A262">
        <v>10508</v>
      </c>
      <c r="B262" t="s">
        <v>73</v>
      </c>
      <c r="C262">
        <v>1</v>
      </c>
      <c r="D262" s="5">
        <v>35536</v>
      </c>
      <c r="E262" s="5">
        <v>35564</v>
      </c>
      <c r="F262" s="5">
        <v>35563</v>
      </c>
      <c r="G262">
        <v>2</v>
      </c>
      <c r="H262" s="6">
        <v>4.99</v>
      </c>
      <c r="I262" t="s">
        <v>74</v>
      </c>
      <c r="J262" t="s">
        <v>75</v>
      </c>
      <c r="K262" t="s">
        <v>76</v>
      </c>
      <c r="L262" t="s">
        <v>18</v>
      </c>
      <c r="M262" s="7">
        <v>50739</v>
      </c>
      <c r="N262" t="s">
        <v>24</v>
      </c>
    </row>
    <row r="263" spans="1:14" x14ac:dyDescent="0.2">
      <c r="A263">
        <v>10509</v>
      </c>
      <c r="B263" t="s">
        <v>363</v>
      </c>
      <c r="C263">
        <v>4</v>
      </c>
      <c r="D263" s="5">
        <v>35537</v>
      </c>
      <c r="E263" s="5">
        <v>35565</v>
      </c>
      <c r="F263" s="5">
        <v>35549</v>
      </c>
      <c r="G263">
        <v>1</v>
      </c>
      <c r="H263" s="6">
        <v>0.15</v>
      </c>
      <c r="I263" t="s">
        <v>364</v>
      </c>
      <c r="J263" t="s">
        <v>365</v>
      </c>
      <c r="K263" t="s">
        <v>366</v>
      </c>
      <c r="L263" t="s">
        <v>18</v>
      </c>
      <c r="M263" s="7">
        <v>68306</v>
      </c>
      <c r="N263" t="s">
        <v>24</v>
      </c>
    </row>
    <row r="264" spans="1:14" x14ac:dyDescent="0.2">
      <c r="A264">
        <v>10510</v>
      </c>
      <c r="B264" t="s">
        <v>226</v>
      </c>
      <c r="C264">
        <v>6</v>
      </c>
      <c r="D264" s="5">
        <v>35538</v>
      </c>
      <c r="E264" s="5">
        <v>35566</v>
      </c>
      <c r="F264" s="5">
        <v>35548</v>
      </c>
      <c r="G264">
        <v>3</v>
      </c>
      <c r="H264" s="6">
        <v>367.63</v>
      </c>
      <c r="I264" t="s">
        <v>227</v>
      </c>
      <c r="J264" t="s">
        <v>228</v>
      </c>
      <c r="K264" t="s">
        <v>229</v>
      </c>
      <c r="L264" t="s">
        <v>230</v>
      </c>
      <c r="M264" s="7">
        <v>83720</v>
      </c>
      <c r="N264" t="s">
        <v>86</v>
      </c>
    </row>
    <row r="265" spans="1:14" x14ac:dyDescent="0.2">
      <c r="A265">
        <v>10511</v>
      </c>
      <c r="B265" t="s">
        <v>239</v>
      </c>
      <c r="C265">
        <v>4</v>
      </c>
      <c r="D265" s="5">
        <v>35538</v>
      </c>
      <c r="E265" s="5">
        <v>35566</v>
      </c>
      <c r="F265" s="5">
        <v>35541</v>
      </c>
      <c r="G265">
        <v>3</v>
      </c>
      <c r="H265" s="6">
        <v>350.64</v>
      </c>
      <c r="I265" t="s">
        <v>240</v>
      </c>
      <c r="J265" t="s">
        <v>430</v>
      </c>
      <c r="K265" t="s">
        <v>242</v>
      </c>
      <c r="L265" t="s">
        <v>18</v>
      </c>
      <c r="M265" s="7">
        <v>13008</v>
      </c>
      <c r="N265" t="s">
        <v>19</v>
      </c>
    </row>
    <row r="266" spans="1:14" x14ac:dyDescent="0.2">
      <c r="A266">
        <v>10512</v>
      </c>
      <c r="B266" t="s">
        <v>258</v>
      </c>
      <c r="C266">
        <v>7</v>
      </c>
      <c r="D266" s="5">
        <v>35541</v>
      </c>
      <c r="E266" s="5">
        <v>35569</v>
      </c>
      <c r="F266" s="5">
        <v>35544</v>
      </c>
      <c r="G266">
        <v>2</v>
      </c>
      <c r="H266" s="6">
        <v>3.53</v>
      </c>
      <c r="I266" t="s">
        <v>259</v>
      </c>
      <c r="J266" t="s">
        <v>431</v>
      </c>
      <c r="K266" t="s">
        <v>173</v>
      </c>
      <c r="L266" t="s">
        <v>55</v>
      </c>
      <c r="M266" s="7" t="s">
        <v>261</v>
      </c>
      <c r="N266" t="s">
        <v>31</v>
      </c>
    </row>
    <row r="267" spans="1:14" x14ac:dyDescent="0.2">
      <c r="A267">
        <v>10513</v>
      </c>
      <c r="B267" t="s">
        <v>185</v>
      </c>
      <c r="C267">
        <v>7</v>
      </c>
      <c r="D267" s="5">
        <v>35542</v>
      </c>
      <c r="E267" s="5">
        <v>35584</v>
      </c>
      <c r="F267" s="5">
        <v>35548</v>
      </c>
      <c r="G267">
        <v>1</v>
      </c>
      <c r="H267" s="6">
        <v>105.65</v>
      </c>
      <c r="I267" t="s">
        <v>186</v>
      </c>
      <c r="J267" t="s">
        <v>187</v>
      </c>
      <c r="K267" t="s">
        <v>188</v>
      </c>
      <c r="L267" t="s">
        <v>18</v>
      </c>
      <c r="M267" s="7">
        <v>70563</v>
      </c>
      <c r="N267" t="s">
        <v>24</v>
      </c>
    </row>
    <row r="268" spans="1:14" x14ac:dyDescent="0.2">
      <c r="A268">
        <v>10514</v>
      </c>
      <c r="B268" t="s">
        <v>63</v>
      </c>
      <c r="C268">
        <v>3</v>
      </c>
      <c r="D268" s="5">
        <v>35542</v>
      </c>
      <c r="E268" s="5">
        <v>35570</v>
      </c>
      <c r="F268" s="5">
        <v>35566</v>
      </c>
      <c r="G268">
        <v>2</v>
      </c>
      <c r="H268" s="6">
        <v>789.95</v>
      </c>
      <c r="I268" t="s">
        <v>64</v>
      </c>
      <c r="J268" t="s">
        <v>65</v>
      </c>
      <c r="K268" t="s">
        <v>66</v>
      </c>
      <c r="L268" t="s">
        <v>18</v>
      </c>
      <c r="M268" s="7">
        <v>8010</v>
      </c>
      <c r="N268" t="s">
        <v>67</v>
      </c>
    </row>
    <row r="269" spans="1:14" x14ac:dyDescent="0.2">
      <c r="A269">
        <v>10515</v>
      </c>
      <c r="B269" t="s">
        <v>121</v>
      </c>
      <c r="C269">
        <v>2</v>
      </c>
      <c r="D269" s="5">
        <v>35543</v>
      </c>
      <c r="E269" s="5">
        <v>35557</v>
      </c>
      <c r="F269" s="5">
        <v>35573</v>
      </c>
      <c r="G269">
        <v>1</v>
      </c>
      <c r="H269" s="6">
        <v>204.47</v>
      </c>
      <c r="I269" t="s">
        <v>122</v>
      </c>
      <c r="J269" t="s">
        <v>123</v>
      </c>
      <c r="K269" t="s">
        <v>124</v>
      </c>
      <c r="L269" t="s">
        <v>18</v>
      </c>
      <c r="M269" s="7">
        <v>1307</v>
      </c>
      <c r="N269" t="s">
        <v>24</v>
      </c>
    </row>
    <row r="270" spans="1:14" x14ac:dyDescent="0.2">
      <c r="A270">
        <v>10516</v>
      </c>
      <c r="B270" t="s">
        <v>179</v>
      </c>
      <c r="C270">
        <v>2</v>
      </c>
      <c r="D270" s="5">
        <v>35544</v>
      </c>
      <c r="E270" s="5">
        <v>35572</v>
      </c>
      <c r="F270" s="5">
        <v>35551</v>
      </c>
      <c r="G270">
        <v>3</v>
      </c>
      <c r="H270" s="6">
        <v>62.78</v>
      </c>
      <c r="I270" t="s">
        <v>180</v>
      </c>
      <c r="J270" t="s">
        <v>181</v>
      </c>
      <c r="K270" t="s">
        <v>182</v>
      </c>
      <c r="L270" t="s">
        <v>183</v>
      </c>
      <c r="M270" s="7" t="s">
        <v>18</v>
      </c>
      <c r="N270" t="s">
        <v>184</v>
      </c>
    </row>
    <row r="271" spans="1:14" x14ac:dyDescent="0.2">
      <c r="A271">
        <v>10517</v>
      </c>
      <c r="B271" t="s">
        <v>367</v>
      </c>
      <c r="C271">
        <v>3</v>
      </c>
      <c r="D271" s="5">
        <v>35544</v>
      </c>
      <c r="E271" s="5">
        <v>35572</v>
      </c>
      <c r="F271" s="5">
        <v>35549</v>
      </c>
      <c r="G271">
        <v>3</v>
      </c>
      <c r="H271" s="6">
        <v>32.07</v>
      </c>
      <c r="I271" t="s">
        <v>368</v>
      </c>
      <c r="J271" t="s">
        <v>369</v>
      </c>
      <c r="K271" t="s">
        <v>167</v>
      </c>
      <c r="L271" t="s">
        <v>18</v>
      </c>
      <c r="M271" s="7" t="s">
        <v>370</v>
      </c>
      <c r="N271" t="s">
        <v>169</v>
      </c>
    </row>
    <row r="272" spans="1:14" x14ac:dyDescent="0.2">
      <c r="A272">
        <v>10518</v>
      </c>
      <c r="B272" t="s">
        <v>130</v>
      </c>
      <c r="C272">
        <v>4</v>
      </c>
      <c r="D272" s="5">
        <v>35545</v>
      </c>
      <c r="E272" s="5">
        <v>35559</v>
      </c>
      <c r="F272" s="5">
        <v>35555</v>
      </c>
      <c r="G272">
        <v>2</v>
      </c>
      <c r="H272" s="6">
        <v>218.15</v>
      </c>
      <c r="I272" t="s">
        <v>131</v>
      </c>
      <c r="J272" t="s">
        <v>132</v>
      </c>
      <c r="K272" t="s">
        <v>71</v>
      </c>
      <c r="L272" t="s">
        <v>18</v>
      </c>
      <c r="M272" s="7">
        <v>5033</v>
      </c>
      <c r="N272" t="s">
        <v>72</v>
      </c>
    </row>
    <row r="273" spans="1:14" x14ac:dyDescent="0.2">
      <c r="A273">
        <v>10519</v>
      </c>
      <c r="B273" t="s">
        <v>42</v>
      </c>
      <c r="C273">
        <v>6</v>
      </c>
      <c r="D273" s="5">
        <v>35548</v>
      </c>
      <c r="E273" s="5">
        <v>35576</v>
      </c>
      <c r="F273" s="5">
        <v>35551</v>
      </c>
      <c r="G273">
        <v>3</v>
      </c>
      <c r="H273" s="6">
        <v>91.76</v>
      </c>
      <c r="I273" t="s">
        <v>43</v>
      </c>
      <c r="J273" t="s">
        <v>44</v>
      </c>
      <c r="K273" t="s">
        <v>45</v>
      </c>
      <c r="L273" t="s">
        <v>18</v>
      </c>
      <c r="M273" s="7">
        <v>3012</v>
      </c>
      <c r="N273" t="s">
        <v>46</v>
      </c>
    </row>
    <row r="274" spans="1:14" x14ac:dyDescent="0.2">
      <c r="A274">
        <v>10520</v>
      </c>
      <c r="B274" t="s">
        <v>313</v>
      </c>
      <c r="C274">
        <v>7</v>
      </c>
      <c r="D274" s="5">
        <v>35549</v>
      </c>
      <c r="E274" s="5">
        <v>35577</v>
      </c>
      <c r="F274" s="5">
        <v>35551</v>
      </c>
      <c r="G274">
        <v>1</v>
      </c>
      <c r="H274" s="6">
        <v>13.37</v>
      </c>
      <c r="I274" t="s">
        <v>314</v>
      </c>
      <c r="J274" t="s">
        <v>315</v>
      </c>
      <c r="K274" t="s">
        <v>316</v>
      </c>
      <c r="L274" t="s">
        <v>18</v>
      </c>
      <c r="M274" s="7">
        <v>4110</v>
      </c>
      <c r="N274" t="s">
        <v>317</v>
      </c>
    </row>
    <row r="275" spans="1:14" x14ac:dyDescent="0.2">
      <c r="A275">
        <v>10521</v>
      </c>
      <c r="B275" t="s">
        <v>371</v>
      </c>
      <c r="C275">
        <v>8</v>
      </c>
      <c r="D275" s="5">
        <v>35549</v>
      </c>
      <c r="E275" s="5">
        <v>35577</v>
      </c>
      <c r="F275" s="5">
        <v>35552</v>
      </c>
      <c r="G275">
        <v>2</v>
      </c>
      <c r="H275" s="6">
        <v>17.22</v>
      </c>
      <c r="I275" t="s">
        <v>372</v>
      </c>
      <c r="J275" t="s">
        <v>373</v>
      </c>
      <c r="K275" t="s">
        <v>336</v>
      </c>
      <c r="L275" t="s">
        <v>18</v>
      </c>
      <c r="M275" s="7">
        <v>1010</v>
      </c>
      <c r="N275" t="s">
        <v>337</v>
      </c>
    </row>
    <row r="276" spans="1:14" x14ac:dyDescent="0.2">
      <c r="A276">
        <v>10522</v>
      </c>
      <c r="B276" t="s">
        <v>142</v>
      </c>
      <c r="C276">
        <v>4</v>
      </c>
      <c r="D276" s="5">
        <v>35550</v>
      </c>
      <c r="E276" s="5">
        <v>35578</v>
      </c>
      <c r="F276" s="5">
        <v>35556</v>
      </c>
      <c r="G276">
        <v>1</v>
      </c>
      <c r="H276" s="6">
        <v>45.33</v>
      </c>
      <c r="I276" t="s">
        <v>143</v>
      </c>
      <c r="J276" t="s">
        <v>144</v>
      </c>
      <c r="K276" t="s">
        <v>145</v>
      </c>
      <c r="L276" t="s">
        <v>18</v>
      </c>
      <c r="M276" s="7">
        <v>60528</v>
      </c>
      <c r="N276" t="s">
        <v>24</v>
      </c>
    </row>
    <row r="277" spans="1:14" x14ac:dyDescent="0.2">
      <c r="A277">
        <v>10523</v>
      </c>
      <c r="B277" t="s">
        <v>276</v>
      </c>
      <c r="C277">
        <v>7</v>
      </c>
      <c r="D277" s="5">
        <v>35551</v>
      </c>
      <c r="E277" s="5">
        <v>35579</v>
      </c>
      <c r="F277" s="5">
        <v>35580</v>
      </c>
      <c r="G277">
        <v>2</v>
      </c>
      <c r="H277" s="6">
        <v>77.63</v>
      </c>
      <c r="I277" t="s">
        <v>277</v>
      </c>
      <c r="J277" t="s">
        <v>278</v>
      </c>
      <c r="K277" t="s">
        <v>167</v>
      </c>
      <c r="L277" t="s">
        <v>18</v>
      </c>
      <c r="M277" s="7" t="s">
        <v>279</v>
      </c>
      <c r="N277" t="s">
        <v>169</v>
      </c>
    </row>
    <row r="278" spans="1:14" x14ac:dyDescent="0.2">
      <c r="A278">
        <v>10524</v>
      </c>
      <c r="B278" t="s">
        <v>137</v>
      </c>
      <c r="C278">
        <v>1</v>
      </c>
      <c r="D278" s="5">
        <v>35551</v>
      </c>
      <c r="E278" s="5">
        <v>35579</v>
      </c>
      <c r="F278" s="5">
        <v>35557</v>
      </c>
      <c r="G278">
        <v>2</v>
      </c>
      <c r="H278" s="6">
        <v>244.79</v>
      </c>
      <c r="I278" t="s">
        <v>138</v>
      </c>
      <c r="J278" t="s">
        <v>139</v>
      </c>
      <c r="K278" t="s">
        <v>140</v>
      </c>
      <c r="L278" t="s">
        <v>18</v>
      </c>
      <c r="M278" s="7" t="s">
        <v>141</v>
      </c>
      <c r="N278" t="s">
        <v>92</v>
      </c>
    </row>
    <row r="279" spans="1:14" x14ac:dyDescent="0.2">
      <c r="A279">
        <v>10525</v>
      </c>
      <c r="B279" t="s">
        <v>239</v>
      </c>
      <c r="C279">
        <v>1</v>
      </c>
      <c r="D279" s="5">
        <v>35552</v>
      </c>
      <c r="E279" s="5">
        <v>35580</v>
      </c>
      <c r="F279" s="5">
        <v>35573</v>
      </c>
      <c r="G279">
        <v>2</v>
      </c>
      <c r="H279" s="6">
        <v>11.06</v>
      </c>
      <c r="I279" t="s">
        <v>240</v>
      </c>
      <c r="J279" t="s">
        <v>430</v>
      </c>
      <c r="K279" t="s">
        <v>242</v>
      </c>
      <c r="L279" t="s">
        <v>18</v>
      </c>
      <c r="M279" s="7">
        <v>13008</v>
      </c>
      <c r="N279" t="s">
        <v>19</v>
      </c>
    </row>
    <row r="280" spans="1:14" x14ac:dyDescent="0.2">
      <c r="A280">
        <v>10526</v>
      </c>
      <c r="B280" t="s">
        <v>97</v>
      </c>
      <c r="C280">
        <v>4</v>
      </c>
      <c r="D280" s="5">
        <v>35555</v>
      </c>
      <c r="E280" s="5">
        <v>35583</v>
      </c>
      <c r="F280" s="5">
        <v>35565</v>
      </c>
      <c r="G280">
        <v>2</v>
      </c>
      <c r="H280" s="6">
        <v>58.59</v>
      </c>
      <c r="I280" t="s">
        <v>98</v>
      </c>
      <c r="J280" t="s">
        <v>99</v>
      </c>
      <c r="K280" t="s">
        <v>100</v>
      </c>
      <c r="L280" t="s">
        <v>18</v>
      </c>
      <c r="M280" s="7">
        <v>90110</v>
      </c>
      <c r="N280" t="s">
        <v>101</v>
      </c>
    </row>
    <row r="281" spans="1:14" x14ac:dyDescent="0.2">
      <c r="A281">
        <v>10527</v>
      </c>
      <c r="B281" t="s">
        <v>121</v>
      </c>
      <c r="C281">
        <v>7</v>
      </c>
      <c r="D281" s="5">
        <v>35555</v>
      </c>
      <c r="E281" s="5">
        <v>35583</v>
      </c>
      <c r="F281" s="5">
        <v>35557</v>
      </c>
      <c r="G281">
        <v>1</v>
      </c>
      <c r="H281" s="6">
        <v>41.9</v>
      </c>
      <c r="I281" t="s">
        <v>122</v>
      </c>
      <c r="J281" t="s">
        <v>123</v>
      </c>
      <c r="K281" t="s">
        <v>124</v>
      </c>
      <c r="L281" t="s">
        <v>18</v>
      </c>
      <c r="M281" s="7">
        <v>1307</v>
      </c>
      <c r="N281" t="s">
        <v>24</v>
      </c>
    </row>
    <row r="282" spans="1:14" x14ac:dyDescent="0.2">
      <c r="A282">
        <v>10528</v>
      </c>
      <c r="B282" t="s">
        <v>374</v>
      </c>
      <c r="C282">
        <v>6</v>
      </c>
      <c r="D282" s="5">
        <v>35556</v>
      </c>
      <c r="E282" s="5">
        <v>35570</v>
      </c>
      <c r="F282" s="5">
        <v>35559</v>
      </c>
      <c r="G282">
        <v>2</v>
      </c>
      <c r="H282" s="6">
        <v>3.35</v>
      </c>
      <c r="I282" t="s">
        <v>375</v>
      </c>
      <c r="J282" t="s">
        <v>376</v>
      </c>
      <c r="K282" t="s">
        <v>377</v>
      </c>
      <c r="L282" t="s">
        <v>202</v>
      </c>
      <c r="M282" s="7">
        <v>97403</v>
      </c>
      <c r="N282" t="s">
        <v>86</v>
      </c>
    </row>
    <row r="283" spans="1:14" x14ac:dyDescent="0.2">
      <c r="A283">
        <v>10529</v>
      </c>
      <c r="B283" t="s">
        <v>378</v>
      </c>
      <c r="C283">
        <v>5</v>
      </c>
      <c r="D283" s="5">
        <v>35557</v>
      </c>
      <c r="E283" s="5">
        <v>35585</v>
      </c>
      <c r="F283" s="5">
        <v>35559</v>
      </c>
      <c r="G283">
        <v>2</v>
      </c>
      <c r="H283" s="6">
        <v>66.69</v>
      </c>
      <c r="I283" t="s">
        <v>379</v>
      </c>
      <c r="J283" t="s">
        <v>380</v>
      </c>
      <c r="K283" t="s">
        <v>381</v>
      </c>
      <c r="L283" t="s">
        <v>18</v>
      </c>
      <c r="M283" s="7" t="s">
        <v>382</v>
      </c>
      <c r="N283" t="s">
        <v>41</v>
      </c>
    </row>
    <row r="284" spans="1:14" x14ac:dyDescent="0.2">
      <c r="A284">
        <v>10530</v>
      </c>
      <c r="B284" t="s">
        <v>266</v>
      </c>
      <c r="C284">
        <v>3</v>
      </c>
      <c r="D284" s="5">
        <v>35558</v>
      </c>
      <c r="E284" s="5">
        <v>35586</v>
      </c>
      <c r="F284" s="5">
        <v>35562</v>
      </c>
      <c r="G284">
        <v>2</v>
      </c>
      <c r="H284" s="6">
        <v>339.22</v>
      </c>
      <c r="I284" t="s">
        <v>267</v>
      </c>
      <c r="J284" t="s">
        <v>268</v>
      </c>
      <c r="K284" t="s">
        <v>269</v>
      </c>
      <c r="L284" t="s">
        <v>18</v>
      </c>
      <c r="M284" s="7">
        <v>5020</v>
      </c>
      <c r="N284" t="s">
        <v>67</v>
      </c>
    </row>
    <row r="285" spans="1:14" x14ac:dyDescent="0.2">
      <c r="A285">
        <v>10531</v>
      </c>
      <c r="B285" t="s">
        <v>333</v>
      </c>
      <c r="C285">
        <v>7</v>
      </c>
      <c r="D285" s="5">
        <v>35558</v>
      </c>
      <c r="E285" s="5">
        <v>35586</v>
      </c>
      <c r="F285" s="5">
        <v>35569</v>
      </c>
      <c r="G285">
        <v>1</v>
      </c>
      <c r="H285" s="6">
        <v>8.1199999999999992</v>
      </c>
      <c r="I285" t="s">
        <v>334</v>
      </c>
      <c r="J285" t="s">
        <v>335</v>
      </c>
      <c r="K285" t="s">
        <v>336</v>
      </c>
      <c r="L285" t="s">
        <v>18</v>
      </c>
      <c r="M285" s="7">
        <v>1010</v>
      </c>
      <c r="N285" t="s">
        <v>337</v>
      </c>
    </row>
    <row r="286" spans="1:14" x14ac:dyDescent="0.2">
      <c r="A286">
        <v>10532</v>
      </c>
      <c r="B286" t="s">
        <v>284</v>
      </c>
      <c r="C286">
        <v>7</v>
      </c>
      <c r="D286" s="5">
        <v>35559</v>
      </c>
      <c r="E286" s="5">
        <v>35587</v>
      </c>
      <c r="F286" s="5">
        <v>35562</v>
      </c>
      <c r="G286">
        <v>3</v>
      </c>
      <c r="H286" s="6">
        <v>74.459999999999994</v>
      </c>
      <c r="I286" t="s">
        <v>285</v>
      </c>
      <c r="J286" t="s">
        <v>286</v>
      </c>
      <c r="K286" t="s">
        <v>167</v>
      </c>
      <c r="L286" t="s">
        <v>18</v>
      </c>
      <c r="M286" s="7" t="s">
        <v>287</v>
      </c>
      <c r="N286" t="s">
        <v>169</v>
      </c>
    </row>
    <row r="287" spans="1:14" x14ac:dyDescent="0.2">
      <c r="A287">
        <v>10533</v>
      </c>
      <c r="B287" t="s">
        <v>87</v>
      </c>
      <c r="C287">
        <v>8</v>
      </c>
      <c r="D287" s="5">
        <v>35562</v>
      </c>
      <c r="E287" s="5">
        <v>35590</v>
      </c>
      <c r="F287" s="5">
        <v>35572</v>
      </c>
      <c r="G287">
        <v>1</v>
      </c>
      <c r="H287" s="6">
        <v>188.04</v>
      </c>
      <c r="I287" t="s">
        <v>88</v>
      </c>
      <c r="J287" t="s">
        <v>89</v>
      </c>
      <c r="K287" t="s">
        <v>90</v>
      </c>
      <c r="L287" t="s">
        <v>18</v>
      </c>
      <c r="M287" s="7" t="s">
        <v>91</v>
      </c>
      <c r="N287" t="s">
        <v>92</v>
      </c>
    </row>
    <row r="288" spans="1:14" x14ac:dyDescent="0.2">
      <c r="A288">
        <v>10534</v>
      </c>
      <c r="B288" t="s">
        <v>142</v>
      </c>
      <c r="C288">
        <v>8</v>
      </c>
      <c r="D288" s="5">
        <v>35562</v>
      </c>
      <c r="E288" s="5">
        <v>35590</v>
      </c>
      <c r="F288" s="5">
        <v>35564</v>
      </c>
      <c r="G288">
        <v>2</v>
      </c>
      <c r="H288" s="6">
        <v>27.94</v>
      </c>
      <c r="I288" t="s">
        <v>143</v>
      </c>
      <c r="J288" t="s">
        <v>144</v>
      </c>
      <c r="K288" t="s">
        <v>145</v>
      </c>
      <c r="L288" t="s">
        <v>18</v>
      </c>
      <c r="M288" s="7">
        <v>60528</v>
      </c>
      <c r="N288" t="s">
        <v>24</v>
      </c>
    </row>
    <row r="289" spans="1:14" x14ac:dyDescent="0.2">
      <c r="A289">
        <v>10535</v>
      </c>
      <c r="B289" t="s">
        <v>288</v>
      </c>
      <c r="C289">
        <v>4</v>
      </c>
      <c r="D289" s="5">
        <v>35563</v>
      </c>
      <c r="E289" s="5">
        <v>35591</v>
      </c>
      <c r="F289" s="5">
        <v>35571</v>
      </c>
      <c r="G289">
        <v>1</v>
      </c>
      <c r="H289" s="6">
        <v>15.64</v>
      </c>
      <c r="I289" t="s">
        <v>289</v>
      </c>
      <c r="J289" t="s">
        <v>290</v>
      </c>
      <c r="K289" t="s">
        <v>71</v>
      </c>
      <c r="L289" t="s">
        <v>18</v>
      </c>
      <c r="M289" s="7">
        <v>5023</v>
      </c>
      <c r="N289" t="s">
        <v>72</v>
      </c>
    </row>
    <row r="290" spans="1:14" x14ac:dyDescent="0.2">
      <c r="A290">
        <v>10536</v>
      </c>
      <c r="B290" t="s">
        <v>142</v>
      </c>
      <c r="C290">
        <v>3</v>
      </c>
      <c r="D290" s="5">
        <v>35564</v>
      </c>
      <c r="E290" s="5">
        <v>35592</v>
      </c>
      <c r="F290" s="5">
        <v>35587</v>
      </c>
      <c r="G290">
        <v>2</v>
      </c>
      <c r="H290" s="6">
        <v>58.88</v>
      </c>
      <c r="I290" t="s">
        <v>143</v>
      </c>
      <c r="J290" t="s">
        <v>144</v>
      </c>
      <c r="K290" t="s">
        <v>145</v>
      </c>
      <c r="L290" t="s">
        <v>18</v>
      </c>
      <c r="M290" s="7">
        <v>60528</v>
      </c>
      <c r="N290" t="s">
        <v>24</v>
      </c>
    </row>
    <row r="291" spans="1:14" x14ac:dyDescent="0.2">
      <c r="A291">
        <v>10537</v>
      </c>
      <c r="B291" t="s">
        <v>47</v>
      </c>
      <c r="C291">
        <v>1</v>
      </c>
      <c r="D291" s="5">
        <v>35564</v>
      </c>
      <c r="E291" s="5">
        <v>35578</v>
      </c>
      <c r="F291" s="5">
        <v>35569</v>
      </c>
      <c r="G291">
        <v>1</v>
      </c>
      <c r="H291" s="6">
        <v>78.849999999999994</v>
      </c>
      <c r="I291" t="s">
        <v>48</v>
      </c>
      <c r="J291" t="s">
        <v>49</v>
      </c>
      <c r="K291" t="s">
        <v>50</v>
      </c>
      <c r="L291" t="s">
        <v>18</v>
      </c>
      <c r="M291" s="7">
        <v>1204</v>
      </c>
      <c r="N291" t="s">
        <v>46</v>
      </c>
    </row>
    <row r="292" spans="1:14" x14ac:dyDescent="0.2">
      <c r="A292">
        <v>10538</v>
      </c>
      <c r="B292" t="s">
        <v>164</v>
      </c>
      <c r="C292">
        <v>9</v>
      </c>
      <c r="D292" s="5">
        <v>35565</v>
      </c>
      <c r="E292" s="5">
        <v>35593</v>
      </c>
      <c r="F292" s="5">
        <v>35566</v>
      </c>
      <c r="G292">
        <v>3</v>
      </c>
      <c r="H292" s="6">
        <v>4.87</v>
      </c>
      <c r="I292" t="s">
        <v>165</v>
      </c>
      <c r="J292" t="s">
        <v>166</v>
      </c>
      <c r="K292" t="s">
        <v>167</v>
      </c>
      <c r="L292" t="s">
        <v>18</v>
      </c>
      <c r="M292" s="7" t="s">
        <v>168</v>
      </c>
      <c r="N292" t="s">
        <v>169</v>
      </c>
    </row>
    <row r="293" spans="1:14" x14ac:dyDescent="0.2">
      <c r="A293">
        <v>10539</v>
      </c>
      <c r="B293" t="s">
        <v>164</v>
      </c>
      <c r="C293">
        <v>6</v>
      </c>
      <c r="D293" s="5">
        <v>35566</v>
      </c>
      <c r="E293" s="5">
        <v>35594</v>
      </c>
      <c r="F293" s="5">
        <v>35573</v>
      </c>
      <c r="G293">
        <v>3</v>
      </c>
      <c r="H293" s="6">
        <v>12.36</v>
      </c>
      <c r="I293" t="s">
        <v>165</v>
      </c>
      <c r="J293" t="s">
        <v>166</v>
      </c>
      <c r="K293" t="s">
        <v>167</v>
      </c>
      <c r="L293" t="s">
        <v>18</v>
      </c>
      <c r="M293" s="7" t="s">
        <v>168</v>
      </c>
      <c r="N293" t="s">
        <v>169</v>
      </c>
    </row>
    <row r="294" spans="1:14" x14ac:dyDescent="0.2">
      <c r="A294">
        <v>10540</v>
      </c>
      <c r="B294" t="s">
        <v>121</v>
      </c>
      <c r="C294">
        <v>3</v>
      </c>
      <c r="D294" s="5">
        <v>35569</v>
      </c>
      <c r="E294" s="5">
        <v>35597</v>
      </c>
      <c r="F294" s="5">
        <v>35594</v>
      </c>
      <c r="G294">
        <v>3</v>
      </c>
      <c r="H294" s="6">
        <v>1007.64</v>
      </c>
      <c r="I294" t="s">
        <v>122</v>
      </c>
      <c r="J294" t="s">
        <v>123</v>
      </c>
      <c r="K294" t="s">
        <v>124</v>
      </c>
      <c r="L294" t="s">
        <v>18</v>
      </c>
      <c r="M294" s="7">
        <v>1307</v>
      </c>
      <c r="N294" t="s">
        <v>24</v>
      </c>
    </row>
    <row r="295" spans="1:14" x14ac:dyDescent="0.2">
      <c r="A295">
        <v>10541</v>
      </c>
      <c r="B295" t="s">
        <v>25</v>
      </c>
      <c r="C295">
        <v>2</v>
      </c>
      <c r="D295" s="5">
        <v>35569</v>
      </c>
      <c r="E295" s="5">
        <v>35597</v>
      </c>
      <c r="F295" s="5">
        <v>35579</v>
      </c>
      <c r="G295">
        <v>1</v>
      </c>
      <c r="H295" s="6">
        <v>68.650000000000006</v>
      </c>
      <c r="I295" t="s">
        <v>26</v>
      </c>
      <c r="J295" t="s">
        <v>417</v>
      </c>
      <c r="K295" t="s">
        <v>28</v>
      </c>
      <c r="L295" t="s">
        <v>29</v>
      </c>
      <c r="M295" s="7" t="s">
        <v>30</v>
      </c>
      <c r="N295" t="s">
        <v>31</v>
      </c>
    </row>
    <row r="296" spans="1:14" x14ac:dyDescent="0.2">
      <c r="A296">
        <v>10542</v>
      </c>
      <c r="B296" t="s">
        <v>222</v>
      </c>
      <c r="C296">
        <v>1</v>
      </c>
      <c r="D296" s="5">
        <v>35570</v>
      </c>
      <c r="E296" s="5">
        <v>35598</v>
      </c>
      <c r="F296" s="5">
        <v>35576</v>
      </c>
      <c r="G296">
        <v>3</v>
      </c>
      <c r="H296" s="6">
        <v>10.95</v>
      </c>
      <c r="I296" t="s">
        <v>223</v>
      </c>
      <c r="J296" t="s">
        <v>224</v>
      </c>
      <c r="K296" t="s">
        <v>225</v>
      </c>
      <c r="L296" t="s">
        <v>18</v>
      </c>
      <c r="M296" s="7">
        <v>14776</v>
      </c>
      <c r="N296" t="s">
        <v>24</v>
      </c>
    </row>
    <row r="297" spans="1:14" x14ac:dyDescent="0.2">
      <c r="A297">
        <v>10543</v>
      </c>
      <c r="B297" t="s">
        <v>151</v>
      </c>
      <c r="C297">
        <v>8</v>
      </c>
      <c r="D297" s="5">
        <v>35571</v>
      </c>
      <c r="E297" s="5">
        <v>35599</v>
      </c>
      <c r="F297" s="5">
        <v>35573</v>
      </c>
      <c r="G297">
        <v>2</v>
      </c>
      <c r="H297" s="6">
        <v>48.17</v>
      </c>
      <c r="I297" t="s">
        <v>152</v>
      </c>
      <c r="J297" t="s">
        <v>153</v>
      </c>
      <c r="K297" t="s">
        <v>154</v>
      </c>
      <c r="L297" t="s">
        <v>155</v>
      </c>
      <c r="M297" s="7">
        <v>3508</v>
      </c>
      <c r="N297" t="s">
        <v>62</v>
      </c>
    </row>
    <row r="298" spans="1:14" x14ac:dyDescent="0.2">
      <c r="A298">
        <v>10544</v>
      </c>
      <c r="B298" t="s">
        <v>198</v>
      </c>
      <c r="C298">
        <v>4</v>
      </c>
      <c r="D298" s="5">
        <v>35571</v>
      </c>
      <c r="E298" s="5">
        <v>35599</v>
      </c>
      <c r="F298" s="5">
        <v>35580</v>
      </c>
      <c r="G298">
        <v>1</v>
      </c>
      <c r="H298" s="6">
        <v>24.91</v>
      </c>
      <c r="I298" t="s">
        <v>199</v>
      </c>
      <c r="J298" t="s">
        <v>200</v>
      </c>
      <c r="K298" t="s">
        <v>201</v>
      </c>
      <c r="L298" t="s">
        <v>202</v>
      </c>
      <c r="M298" s="7">
        <v>97219</v>
      </c>
      <c r="N298" t="s">
        <v>86</v>
      </c>
    </row>
    <row r="299" spans="1:14" x14ac:dyDescent="0.2">
      <c r="A299">
        <v>10545</v>
      </c>
      <c r="B299" t="s">
        <v>354</v>
      </c>
      <c r="C299">
        <v>8</v>
      </c>
      <c r="D299" s="5">
        <v>35572</v>
      </c>
      <c r="E299" s="5">
        <v>35600</v>
      </c>
      <c r="F299" s="5">
        <v>35607</v>
      </c>
      <c r="G299">
        <v>2</v>
      </c>
      <c r="H299" s="6">
        <v>11.92</v>
      </c>
      <c r="I299" t="s">
        <v>355</v>
      </c>
      <c r="J299" t="s">
        <v>356</v>
      </c>
      <c r="K299" t="s">
        <v>357</v>
      </c>
      <c r="L299" t="s">
        <v>115</v>
      </c>
      <c r="M299" s="7">
        <v>99362</v>
      </c>
      <c r="N299" t="s">
        <v>86</v>
      </c>
    </row>
    <row r="300" spans="1:14" x14ac:dyDescent="0.2">
      <c r="A300">
        <v>10546</v>
      </c>
      <c r="B300" t="s">
        <v>32</v>
      </c>
      <c r="C300">
        <v>1</v>
      </c>
      <c r="D300" s="5">
        <v>35573</v>
      </c>
      <c r="E300" s="5">
        <v>35601</v>
      </c>
      <c r="F300" s="5">
        <v>35577</v>
      </c>
      <c r="G300">
        <v>3</v>
      </c>
      <c r="H300" s="6">
        <v>194.72</v>
      </c>
      <c r="I300" t="s">
        <v>33</v>
      </c>
      <c r="J300" t="s">
        <v>418</v>
      </c>
      <c r="K300" t="s">
        <v>35</v>
      </c>
      <c r="L300" t="s">
        <v>18</v>
      </c>
      <c r="M300" s="7">
        <v>69004</v>
      </c>
      <c r="N300" t="s">
        <v>19</v>
      </c>
    </row>
    <row r="301" spans="1:14" x14ac:dyDescent="0.2">
      <c r="A301">
        <v>10547</v>
      </c>
      <c r="B301" t="s">
        <v>276</v>
      </c>
      <c r="C301">
        <v>3</v>
      </c>
      <c r="D301" s="5">
        <v>35573</v>
      </c>
      <c r="E301" s="5">
        <v>35601</v>
      </c>
      <c r="F301" s="5">
        <v>35583</v>
      </c>
      <c r="G301">
        <v>2</v>
      </c>
      <c r="H301" s="6">
        <v>178.43</v>
      </c>
      <c r="I301" t="s">
        <v>277</v>
      </c>
      <c r="J301" t="s">
        <v>278</v>
      </c>
      <c r="K301" t="s">
        <v>167</v>
      </c>
      <c r="L301" t="s">
        <v>18</v>
      </c>
      <c r="M301" s="7" t="s">
        <v>279</v>
      </c>
      <c r="N301" t="s">
        <v>169</v>
      </c>
    </row>
    <row r="302" spans="1:14" x14ac:dyDescent="0.2">
      <c r="A302">
        <v>10548</v>
      </c>
      <c r="B302" t="s">
        <v>20</v>
      </c>
      <c r="C302">
        <v>3</v>
      </c>
      <c r="D302" s="5">
        <v>35576</v>
      </c>
      <c r="E302" s="5">
        <v>35604</v>
      </c>
      <c r="F302" s="5">
        <v>35583</v>
      </c>
      <c r="G302">
        <v>2</v>
      </c>
      <c r="H302" s="6">
        <v>1.43</v>
      </c>
      <c r="I302" t="s">
        <v>21</v>
      </c>
      <c r="J302" t="s">
        <v>22</v>
      </c>
      <c r="K302" t="s">
        <v>23</v>
      </c>
      <c r="L302" t="s">
        <v>18</v>
      </c>
      <c r="M302" s="7">
        <v>44087</v>
      </c>
      <c r="N302" t="s">
        <v>24</v>
      </c>
    </row>
    <row r="303" spans="1:14" x14ac:dyDescent="0.2">
      <c r="A303">
        <v>10549</v>
      </c>
      <c r="B303" t="s">
        <v>121</v>
      </c>
      <c r="C303">
        <v>5</v>
      </c>
      <c r="D303" s="5">
        <v>35577</v>
      </c>
      <c r="E303" s="5">
        <v>35591</v>
      </c>
      <c r="F303" s="5">
        <v>35580</v>
      </c>
      <c r="G303">
        <v>1</v>
      </c>
      <c r="H303" s="6">
        <v>171.24</v>
      </c>
      <c r="I303" t="s">
        <v>122</v>
      </c>
      <c r="J303" t="s">
        <v>123</v>
      </c>
      <c r="K303" t="s">
        <v>124</v>
      </c>
      <c r="L303" t="s">
        <v>18</v>
      </c>
      <c r="M303" s="7">
        <v>1307</v>
      </c>
      <c r="N303" t="s">
        <v>24</v>
      </c>
    </row>
    <row r="304" spans="1:14" x14ac:dyDescent="0.2">
      <c r="A304">
        <v>10550</v>
      </c>
      <c r="B304" t="s">
        <v>189</v>
      </c>
      <c r="C304">
        <v>7</v>
      </c>
      <c r="D304" s="5">
        <v>35578</v>
      </c>
      <c r="E304" s="5">
        <v>35606</v>
      </c>
      <c r="F304" s="5">
        <v>35587</v>
      </c>
      <c r="G304">
        <v>3</v>
      </c>
      <c r="H304" s="6">
        <v>4.32</v>
      </c>
      <c r="I304" t="s">
        <v>190</v>
      </c>
      <c r="J304" t="s">
        <v>427</v>
      </c>
      <c r="K304" t="s">
        <v>192</v>
      </c>
      <c r="L304" t="s">
        <v>18</v>
      </c>
      <c r="M304" s="7">
        <v>41101</v>
      </c>
      <c r="N304" t="s">
        <v>150</v>
      </c>
    </row>
    <row r="305" spans="1:14" x14ac:dyDescent="0.2">
      <c r="A305">
        <v>10551</v>
      </c>
      <c r="B305" t="s">
        <v>234</v>
      </c>
      <c r="C305">
        <v>4</v>
      </c>
      <c r="D305" s="5">
        <v>35578</v>
      </c>
      <c r="E305" s="5">
        <v>35620</v>
      </c>
      <c r="F305" s="5">
        <v>35587</v>
      </c>
      <c r="G305">
        <v>3</v>
      </c>
      <c r="H305" s="6">
        <v>72.95</v>
      </c>
      <c r="I305" t="s">
        <v>235</v>
      </c>
      <c r="J305" t="s">
        <v>236</v>
      </c>
      <c r="K305" t="s">
        <v>237</v>
      </c>
      <c r="L305" t="s">
        <v>18</v>
      </c>
      <c r="M305" s="7">
        <v>1675</v>
      </c>
      <c r="N305" t="s">
        <v>238</v>
      </c>
    </row>
    <row r="306" spans="1:14" x14ac:dyDescent="0.2">
      <c r="A306">
        <v>10552</v>
      </c>
      <c r="B306" t="s">
        <v>57</v>
      </c>
      <c r="C306">
        <v>2</v>
      </c>
      <c r="D306" s="5">
        <v>35579</v>
      </c>
      <c r="E306" s="5">
        <v>35607</v>
      </c>
      <c r="F306" s="5">
        <v>35586</v>
      </c>
      <c r="G306">
        <v>1</v>
      </c>
      <c r="H306" s="6">
        <v>83.22</v>
      </c>
      <c r="I306" t="s">
        <v>58</v>
      </c>
      <c r="J306" t="s">
        <v>59</v>
      </c>
      <c r="K306" t="s">
        <v>60</v>
      </c>
      <c r="L306" t="s">
        <v>61</v>
      </c>
      <c r="M306" s="7">
        <v>5022</v>
      </c>
      <c r="N306" t="s">
        <v>62</v>
      </c>
    </row>
    <row r="307" spans="1:14" x14ac:dyDescent="0.2">
      <c r="A307">
        <v>10553</v>
      </c>
      <c r="B307" t="s">
        <v>97</v>
      </c>
      <c r="C307">
        <v>2</v>
      </c>
      <c r="D307" s="5">
        <v>35580</v>
      </c>
      <c r="E307" s="5">
        <v>35608</v>
      </c>
      <c r="F307" s="5">
        <v>35584</v>
      </c>
      <c r="G307">
        <v>2</v>
      </c>
      <c r="H307" s="6">
        <v>149.49</v>
      </c>
      <c r="I307" t="s">
        <v>98</v>
      </c>
      <c r="J307" t="s">
        <v>99</v>
      </c>
      <c r="K307" t="s">
        <v>100</v>
      </c>
      <c r="L307" t="s">
        <v>18</v>
      </c>
      <c r="M307" s="7">
        <v>90110</v>
      </c>
      <c r="N307" t="s">
        <v>101</v>
      </c>
    </row>
    <row r="308" spans="1:14" x14ac:dyDescent="0.2">
      <c r="A308">
        <v>10554</v>
      </c>
      <c r="B308" t="s">
        <v>73</v>
      </c>
      <c r="C308">
        <v>4</v>
      </c>
      <c r="D308" s="5">
        <v>35580</v>
      </c>
      <c r="E308" s="5">
        <v>35608</v>
      </c>
      <c r="F308" s="5">
        <v>35586</v>
      </c>
      <c r="G308">
        <v>3</v>
      </c>
      <c r="H308" s="6">
        <v>120.97</v>
      </c>
      <c r="I308" t="s">
        <v>74</v>
      </c>
      <c r="J308" t="s">
        <v>75</v>
      </c>
      <c r="K308" t="s">
        <v>76</v>
      </c>
      <c r="L308" t="s">
        <v>18</v>
      </c>
      <c r="M308" s="7">
        <v>50739</v>
      </c>
      <c r="N308" t="s">
        <v>24</v>
      </c>
    </row>
    <row r="309" spans="1:14" x14ac:dyDescent="0.2">
      <c r="A309">
        <v>10555</v>
      </c>
      <c r="B309" t="s">
        <v>226</v>
      </c>
      <c r="C309">
        <v>6</v>
      </c>
      <c r="D309" s="5">
        <v>35583</v>
      </c>
      <c r="E309" s="5">
        <v>35611</v>
      </c>
      <c r="F309" s="5">
        <v>35585</v>
      </c>
      <c r="G309">
        <v>3</v>
      </c>
      <c r="H309" s="6">
        <v>252.49</v>
      </c>
      <c r="I309" t="s">
        <v>227</v>
      </c>
      <c r="J309" t="s">
        <v>228</v>
      </c>
      <c r="K309" t="s">
        <v>229</v>
      </c>
      <c r="L309" t="s">
        <v>230</v>
      </c>
      <c r="M309" s="7">
        <v>83720</v>
      </c>
      <c r="N309" t="s">
        <v>86</v>
      </c>
    </row>
    <row r="310" spans="1:14" x14ac:dyDescent="0.2">
      <c r="A310">
        <v>10556</v>
      </c>
      <c r="B310" t="s">
        <v>253</v>
      </c>
      <c r="C310">
        <v>2</v>
      </c>
      <c r="D310" s="5">
        <v>35584</v>
      </c>
      <c r="E310" s="5">
        <v>35626</v>
      </c>
      <c r="F310" s="5">
        <v>35594</v>
      </c>
      <c r="G310">
        <v>1</v>
      </c>
      <c r="H310" s="6">
        <v>9.8000000000000007</v>
      </c>
      <c r="I310" t="s">
        <v>254</v>
      </c>
      <c r="J310" t="s">
        <v>255</v>
      </c>
      <c r="K310" t="s">
        <v>256</v>
      </c>
      <c r="L310" t="s">
        <v>18</v>
      </c>
      <c r="M310" s="7">
        <v>1734</v>
      </c>
      <c r="N310" t="s">
        <v>257</v>
      </c>
    </row>
    <row r="311" spans="1:14" x14ac:dyDescent="0.2">
      <c r="A311">
        <v>10557</v>
      </c>
      <c r="B311" t="s">
        <v>142</v>
      </c>
      <c r="C311">
        <v>9</v>
      </c>
      <c r="D311" s="5">
        <v>35584</v>
      </c>
      <c r="E311" s="5">
        <v>35598</v>
      </c>
      <c r="F311" s="5">
        <v>35587</v>
      </c>
      <c r="G311">
        <v>2</v>
      </c>
      <c r="H311" s="6">
        <v>96.72</v>
      </c>
      <c r="I311" t="s">
        <v>143</v>
      </c>
      <c r="J311" t="s">
        <v>144</v>
      </c>
      <c r="K311" t="s">
        <v>145</v>
      </c>
      <c r="L311" t="s">
        <v>18</v>
      </c>
      <c r="M311" s="7">
        <v>60528</v>
      </c>
      <c r="N311" t="s">
        <v>24</v>
      </c>
    </row>
    <row r="312" spans="1:14" x14ac:dyDescent="0.2">
      <c r="A312">
        <v>10558</v>
      </c>
      <c r="B312" t="s">
        <v>270</v>
      </c>
      <c r="C312">
        <v>1</v>
      </c>
      <c r="D312" s="5">
        <v>35585</v>
      </c>
      <c r="E312" s="5">
        <v>35613</v>
      </c>
      <c r="F312" s="5">
        <v>35591</v>
      </c>
      <c r="G312">
        <v>2</v>
      </c>
      <c r="H312" s="6">
        <v>72.97</v>
      </c>
      <c r="I312" t="s">
        <v>271</v>
      </c>
      <c r="J312" t="s">
        <v>272</v>
      </c>
      <c r="K312" t="s">
        <v>273</v>
      </c>
      <c r="L312" t="s">
        <v>274</v>
      </c>
      <c r="M312" s="7" t="s">
        <v>275</v>
      </c>
      <c r="N312" t="s">
        <v>169</v>
      </c>
    </row>
    <row r="313" spans="1:14" x14ac:dyDescent="0.2">
      <c r="A313">
        <v>10559</v>
      </c>
      <c r="B313" t="s">
        <v>93</v>
      </c>
      <c r="C313">
        <v>6</v>
      </c>
      <c r="D313" s="5">
        <v>35586</v>
      </c>
      <c r="E313" s="5">
        <v>35614</v>
      </c>
      <c r="F313" s="5">
        <v>35594</v>
      </c>
      <c r="G313">
        <v>1</v>
      </c>
      <c r="H313" s="6">
        <v>8.0500000000000007</v>
      </c>
      <c r="I313" t="s">
        <v>94</v>
      </c>
      <c r="J313" t="s">
        <v>422</v>
      </c>
      <c r="K313" t="s">
        <v>96</v>
      </c>
      <c r="L313" t="s">
        <v>18</v>
      </c>
      <c r="M313" s="7">
        <v>67000</v>
      </c>
      <c r="N313" t="s">
        <v>19</v>
      </c>
    </row>
    <row r="314" spans="1:14" x14ac:dyDescent="0.2">
      <c r="A314">
        <v>10560</v>
      </c>
      <c r="B314" t="s">
        <v>102</v>
      </c>
      <c r="C314">
        <v>8</v>
      </c>
      <c r="D314" s="5">
        <v>35587</v>
      </c>
      <c r="E314" s="5">
        <v>35615</v>
      </c>
      <c r="F314" s="5">
        <v>35590</v>
      </c>
      <c r="G314">
        <v>1</v>
      </c>
      <c r="H314" s="6">
        <v>36.65</v>
      </c>
      <c r="I314" t="s">
        <v>103</v>
      </c>
      <c r="J314" t="s">
        <v>104</v>
      </c>
      <c r="K314" t="s">
        <v>105</v>
      </c>
      <c r="L314" t="s">
        <v>18</v>
      </c>
      <c r="M314" s="7">
        <v>80805</v>
      </c>
      <c r="N314" t="s">
        <v>24</v>
      </c>
    </row>
    <row r="315" spans="1:14" x14ac:dyDescent="0.2">
      <c r="A315">
        <v>10561</v>
      </c>
      <c r="B315" t="s">
        <v>87</v>
      </c>
      <c r="C315">
        <v>2</v>
      </c>
      <c r="D315" s="5">
        <v>35587</v>
      </c>
      <c r="E315" s="5">
        <v>35615</v>
      </c>
      <c r="F315" s="5">
        <v>35590</v>
      </c>
      <c r="G315">
        <v>2</v>
      </c>
      <c r="H315" s="6">
        <v>242.21</v>
      </c>
      <c r="I315" t="s">
        <v>88</v>
      </c>
      <c r="J315" t="s">
        <v>89</v>
      </c>
      <c r="K315" t="s">
        <v>90</v>
      </c>
      <c r="L315" t="s">
        <v>18</v>
      </c>
      <c r="M315" s="7" t="s">
        <v>91</v>
      </c>
      <c r="N315" t="s">
        <v>92</v>
      </c>
    </row>
    <row r="316" spans="1:14" x14ac:dyDescent="0.2">
      <c r="A316">
        <v>10562</v>
      </c>
      <c r="B316" t="s">
        <v>160</v>
      </c>
      <c r="C316">
        <v>1</v>
      </c>
      <c r="D316" s="5">
        <v>35590</v>
      </c>
      <c r="E316" s="5">
        <v>35618</v>
      </c>
      <c r="F316" s="5">
        <v>35593</v>
      </c>
      <c r="G316">
        <v>1</v>
      </c>
      <c r="H316" s="6">
        <v>22.95</v>
      </c>
      <c r="I316" t="s">
        <v>161</v>
      </c>
      <c r="J316" t="s">
        <v>162</v>
      </c>
      <c r="K316" t="s">
        <v>163</v>
      </c>
      <c r="L316" t="s">
        <v>18</v>
      </c>
      <c r="M316" s="7">
        <v>42100</v>
      </c>
      <c r="N316" t="s">
        <v>129</v>
      </c>
    </row>
    <row r="317" spans="1:14" x14ac:dyDescent="0.2">
      <c r="A317">
        <v>10563</v>
      </c>
      <c r="B317" t="s">
        <v>156</v>
      </c>
      <c r="C317">
        <v>2</v>
      </c>
      <c r="D317" s="5">
        <v>35591</v>
      </c>
      <c r="E317" s="5">
        <v>35633</v>
      </c>
      <c r="F317" s="5">
        <v>35605</v>
      </c>
      <c r="G317">
        <v>2</v>
      </c>
      <c r="H317" s="6">
        <v>60.43</v>
      </c>
      <c r="I317" t="s">
        <v>157</v>
      </c>
      <c r="J317" t="s">
        <v>424</v>
      </c>
      <c r="K317" t="s">
        <v>28</v>
      </c>
      <c r="L317" t="s">
        <v>29</v>
      </c>
      <c r="M317" s="7" t="s">
        <v>159</v>
      </c>
      <c r="N317" t="s">
        <v>31</v>
      </c>
    </row>
    <row r="318" spans="1:14" x14ac:dyDescent="0.2">
      <c r="A318">
        <v>10564</v>
      </c>
      <c r="B318" t="s">
        <v>81</v>
      </c>
      <c r="C318">
        <v>4</v>
      </c>
      <c r="D318" s="5">
        <v>35591</v>
      </c>
      <c r="E318" s="5">
        <v>35619</v>
      </c>
      <c r="F318" s="5">
        <v>35597</v>
      </c>
      <c r="G318">
        <v>3</v>
      </c>
      <c r="H318" s="6">
        <v>13.75</v>
      </c>
      <c r="I318" t="s">
        <v>82</v>
      </c>
      <c r="J318" t="s">
        <v>83</v>
      </c>
      <c r="K318" t="s">
        <v>84</v>
      </c>
      <c r="L318" t="s">
        <v>85</v>
      </c>
      <c r="M318" s="7">
        <v>87110</v>
      </c>
      <c r="N318" t="s">
        <v>86</v>
      </c>
    </row>
    <row r="319" spans="1:14" x14ac:dyDescent="0.2">
      <c r="A319">
        <v>10565</v>
      </c>
      <c r="B319" t="s">
        <v>243</v>
      </c>
      <c r="C319">
        <v>8</v>
      </c>
      <c r="D319" s="5">
        <v>35592</v>
      </c>
      <c r="E319" s="5">
        <v>35620</v>
      </c>
      <c r="F319" s="5">
        <v>35599</v>
      </c>
      <c r="G319">
        <v>2</v>
      </c>
      <c r="H319" s="6">
        <v>7.15</v>
      </c>
      <c r="I319" t="s">
        <v>244</v>
      </c>
      <c r="J319" t="s">
        <v>245</v>
      </c>
      <c r="K319" t="s">
        <v>246</v>
      </c>
      <c r="L319" t="s">
        <v>247</v>
      </c>
      <c r="M319" s="7" t="s">
        <v>248</v>
      </c>
      <c r="N319" t="s">
        <v>249</v>
      </c>
    </row>
    <row r="320" spans="1:14" x14ac:dyDescent="0.2">
      <c r="A320">
        <v>10566</v>
      </c>
      <c r="B320" t="s">
        <v>93</v>
      </c>
      <c r="C320">
        <v>9</v>
      </c>
      <c r="D320" s="5">
        <v>35593</v>
      </c>
      <c r="E320" s="5">
        <v>35621</v>
      </c>
      <c r="F320" s="5">
        <v>35599</v>
      </c>
      <c r="G320">
        <v>1</v>
      </c>
      <c r="H320" s="6">
        <v>88.4</v>
      </c>
      <c r="I320" t="s">
        <v>94</v>
      </c>
      <c r="J320" t="s">
        <v>422</v>
      </c>
      <c r="K320" t="s">
        <v>96</v>
      </c>
      <c r="L320" t="s">
        <v>18</v>
      </c>
      <c r="M320" s="7">
        <v>67000</v>
      </c>
      <c r="N320" t="s">
        <v>19</v>
      </c>
    </row>
    <row r="321" spans="1:14" x14ac:dyDescent="0.2">
      <c r="A321">
        <v>10567</v>
      </c>
      <c r="B321" t="s">
        <v>179</v>
      </c>
      <c r="C321">
        <v>1</v>
      </c>
      <c r="D321" s="5">
        <v>35593</v>
      </c>
      <c r="E321" s="5">
        <v>35621</v>
      </c>
      <c r="F321" s="5">
        <v>35598</v>
      </c>
      <c r="G321">
        <v>1</v>
      </c>
      <c r="H321" s="6">
        <v>33.97</v>
      </c>
      <c r="I321" t="s">
        <v>180</v>
      </c>
      <c r="J321" t="s">
        <v>181</v>
      </c>
      <c r="K321" t="s">
        <v>182</v>
      </c>
      <c r="L321" t="s">
        <v>183</v>
      </c>
      <c r="M321" s="7" t="s">
        <v>18</v>
      </c>
      <c r="N321" t="s">
        <v>184</v>
      </c>
    </row>
    <row r="322" spans="1:14" x14ac:dyDescent="0.2">
      <c r="A322">
        <v>10568</v>
      </c>
      <c r="B322" t="s">
        <v>291</v>
      </c>
      <c r="C322">
        <v>3</v>
      </c>
      <c r="D322" s="5">
        <v>35594</v>
      </c>
      <c r="E322" s="5">
        <v>35622</v>
      </c>
      <c r="F322" s="5">
        <v>35620</v>
      </c>
      <c r="G322">
        <v>3</v>
      </c>
      <c r="H322" s="6">
        <v>6.54</v>
      </c>
      <c r="I322" t="s">
        <v>292</v>
      </c>
      <c r="J322" t="s">
        <v>432</v>
      </c>
      <c r="K322" t="s">
        <v>294</v>
      </c>
      <c r="L322" t="s">
        <v>18</v>
      </c>
      <c r="M322" s="7">
        <v>8022</v>
      </c>
      <c r="N322" t="s">
        <v>150</v>
      </c>
    </row>
    <row r="323" spans="1:14" x14ac:dyDescent="0.2">
      <c r="A323">
        <v>10569</v>
      </c>
      <c r="B323" t="s">
        <v>81</v>
      </c>
      <c r="C323">
        <v>5</v>
      </c>
      <c r="D323" s="5">
        <v>35597</v>
      </c>
      <c r="E323" s="5">
        <v>35625</v>
      </c>
      <c r="F323" s="5">
        <v>35622</v>
      </c>
      <c r="G323">
        <v>1</v>
      </c>
      <c r="H323" s="6">
        <v>58.98</v>
      </c>
      <c r="I323" t="s">
        <v>82</v>
      </c>
      <c r="J323" t="s">
        <v>83</v>
      </c>
      <c r="K323" t="s">
        <v>84</v>
      </c>
      <c r="L323" t="s">
        <v>85</v>
      </c>
      <c r="M323" s="7">
        <v>87110</v>
      </c>
      <c r="N323" t="s">
        <v>86</v>
      </c>
    </row>
    <row r="324" spans="1:14" x14ac:dyDescent="0.2">
      <c r="A324">
        <v>10570</v>
      </c>
      <c r="B324" t="s">
        <v>243</v>
      </c>
      <c r="C324">
        <v>3</v>
      </c>
      <c r="D324" s="5">
        <v>35598</v>
      </c>
      <c r="E324" s="5">
        <v>35626</v>
      </c>
      <c r="F324" s="5">
        <v>35600</v>
      </c>
      <c r="G324">
        <v>3</v>
      </c>
      <c r="H324" s="6">
        <v>188.99</v>
      </c>
      <c r="I324" t="s">
        <v>244</v>
      </c>
      <c r="J324" t="s">
        <v>245</v>
      </c>
      <c r="K324" t="s">
        <v>246</v>
      </c>
      <c r="L324" t="s">
        <v>247</v>
      </c>
      <c r="M324" s="7" t="s">
        <v>248</v>
      </c>
      <c r="N324" t="s">
        <v>249</v>
      </c>
    </row>
    <row r="325" spans="1:14" x14ac:dyDescent="0.2">
      <c r="A325">
        <v>10571</v>
      </c>
      <c r="B325" t="s">
        <v>63</v>
      </c>
      <c r="C325">
        <v>8</v>
      </c>
      <c r="D325" s="5">
        <v>35598</v>
      </c>
      <c r="E325" s="5">
        <v>35640</v>
      </c>
      <c r="F325" s="5">
        <v>35615</v>
      </c>
      <c r="G325">
        <v>3</v>
      </c>
      <c r="H325" s="6">
        <v>26.06</v>
      </c>
      <c r="I325" t="s">
        <v>64</v>
      </c>
      <c r="J325" t="s">
        <v>65</v>
      </c>
      <c r="K325" t="s">
        <v>66</v>
      </c>
      <c r="L325" t="s">
        <v>18</v>
      </c>
      <c r="M325" s="7">
        <v>8010</v>
      </c>
      <c r="N325" t="s">
        <v>67</v>
      </c>
    </row>
    <row r="326" spans="1:14" x14ac:dyDescent="0.2">
      <c r="A326">
        <v>10572</v>
      </c>
      <c r="B326" t="s">
        <v>137</v>
      </c>
      <c r="C326">
        <v>3</v>
      </c>
      <c r="D326" s="5">
        <v>35599</v>
      </c>
      <c r="E326" s="5">
        <v>35627</v>
      </c>
      <c r="F326" s="5">
        <v>35606</v>
      </c>
      <c r="G326">
        <v>2</v>
      </c>
      <c r="H326" s="6">
        <v>116.43</v>
      </c>
      <c r="I326" t="s">
        <v>138</v>
      </c>
      <c r="J326" t="s">
        <v>139</v>
      </c>
      <c r="K326" t="s">
        <v>140</v>
      </c>
      <c r="L326" t="s">
        <v>18</v>
      </c>
      <c r="M326" s="7" t="s">
        <v>141</v>
      </c>
      <c r="N326" t="s">
        <v>92</v>
      </c>
    </row>
    <row r="327" spans="1:14" x14ac:dyDescent="0.2">
      <c r="A327">
        <v>10573</v>
      </c>
      <c r="B327" t="s">
        <v>288</v>
      </c>
      <c r="C327">
        <v>7</v>
      </c>
      <c r="D327" s="5">
        <v>35600</v>
      </c>
      <c r="E327" s="5">
        <v>35628</v>
      </c>
      <c r="F327" s="5">
        <v>35601</v>
      </c>
      <c r="G327">
        <v>3</v>
      </c>
      <c r="H327" s="6">
        <v>84.84</v>
      </c>
      <c r="I327" t="s">
        <v>289</v>
      </c>
      <c r="J327" t="s">
        <v>290</v>
      </c>
      <c r="K327" t="s">
        <v>71</v>
      </c>
      <c r="L327" t="s">
        <v>18</v>
      </c>
      <c r="M327" s="7">
        <v>5023</v>
      </c>
      <c r="N327" t="s">
        <v>72</v>
      </c>
    </row>
    <row r="328" spans="1:14" x14ac:dyDescent="0.2">
      <c r="A328">
        <v>10574</v>
      </c>
      <c r="B328" t="s">
        <v>383</v>
      </c>
      <c r="C328">
        <v>4</v>
      </c>
      <c r="D328" s="5">
        <v>35600</v>
      </c>
      <c r="E328" s="5">
        <v>35628</v>
      </c>
      <c r="F328" s="5">
        <v>35611</v>
      </c>
      <c r="G328">
        <v>2</v>
      </c>
      <c r="H328" s="6">
        <v>37.6</v>
      </c>
      <c r="I328" t="s">
        <v>384</v>
      </c>
      <c r="J328" t="s">
        <v>385</v>
      </c>
      <c r="K328" t="s">
        <v>386</v>
      </c>
      <c r="L328" t="s">
        <v>115</v>
      </c>
      <c r="M328" s="7">
        <v>98034</v>
      </c>
      <c r="N328" t="s">
        <v>86</v>
      </c>
    </row>
    <row r="329" spans="1:14" x14ac:dyDescent="0.2">
      <c r="A329">
        <v>10575</v>
      </c>
      <c r="B329" t="s">
        <v>133</v>
      </c>
      <c r="C329">
        <v>5</v>
      </c>
      <c r="D329" s="5">
        <v>35601</v>
      </c>
      <c r="E329" s="5">
        <v>35615</v>
      </c>
      <c r="F329" s="5">
        <v>35611</v>
      </c>
      <c r="G329">
        <v>1</v>
      </c>
      <c r="H329" s="6">
        <v>127.34</v>
      </c>
      <c r="I329" t="s">
        <v>134</v>
      </c>
      <c r="J329" t="s">
        <v>135</v>
      </c>
      <c r="K329" t="s">
        <v>136</v>
      </c>
      <c r="L329" t="s">
        <v>18</v>
      </c>
      <c r="M329" s="7">
        <v>4179</v>
      </c>
      <c r="N329" t="s">
        <v>24</v>
      </c>
    </row>
    <row r="330" spans="1:14" x14ac:dyDescent="0.2">
      <c r="A330">
        <v>10576</v>
      </c>
      <c r="B330" t="s">
        <v>130</v>
      </c>
      <c r="C330">
        <v>3</v>
      </c>
      <c r="D330" s="5">
        <v>35604</v>
      </c>
      <c r="E330" s="5">
        <v>35618</v>
      </c>
      <c r="F330" s="5">
        <v>35611</v>
      </c>
      <c r="G330">
        <v>3</v>
      </c>
      <c r="H330" s="6">
        <v>18.559999999999999</v>
      </c>
      <c r="I330" t="s">
        <v>131</v>
      </c>
      <c r="J330" t="s">
        <v>132</v>
      </c>
      <c r="K330" t="s">
        <v>71</v>
      </c>
      <c r="L330" t="s">
        <v>18</v>
      </c>
      <c r="M330" s="7">
        <v>5033</v>
      </c>
      <c r="N330" t="s">
        <v>72</v>
      </c>
    </row>
    <row r="331" spans="1:14" x14ac:dyDescent="0.2">
      <c r="A331">
        <v>10577</v>
      </c>
      <c r="B331" t="s">
        <v>383</v>
      </c>
      <c r="C331">
        <v>9</v>
      </c>
      <c r="D331" s="5">
        <v>35604</v>
      </c>
      <c r="E331" s="5">
        <v>35646</v>
      </c>
      <c r="F331" s="5">
        <v>35611</v>
      </c>
      <c r="G331">
        <v>2</v>
      </c>
      <c r="H331" s="6">
        <v>25.41</v>
      </c>
      <c r="I331" t="s">
        <v>384</v>
      </c>
      <c r="J331" t="s">
        <v>385</v>
      </c>
      <c r="K331" t="s">
        <v>386</v>
      </c>
      <c r="L331" t="s">
        <v>115</v>
      </c>
      <c r="M331" s="7">
        <v>98034</v>
      </c>
      <c r="N331" t="s">
        <v>86</v>
      </c>
    </row>
    <row r="332" spans="1:14" x14ac:dyDescent="0.2">
      <c r="A332">
        <v>10578</v>
      </c>
      <c r="B332" t="s">
        <v>164</v>
      </c>
      <c r="C332">
        <v>4</v>
      </c>
      <c r="D332" s="5">
        <v>35605</v>
      </c>
      <c r="E332" s="5">
        <v>35633</v>
      </c>
      <c r="F332" s="5">
        <v>35636</v>
      </c>
      <c r="G332">
        <v>3</v>
      </c>
      <c r="H332" s="6">
        <v>29.6</v>
      </c>
      <c r="I332" t="s">
        <v>165</v>
      </c>
      <c r="J332" t="s">
        <v>166</v>
      </c>
      <c r="K332" t="s">
        <v>167</v>
      </c>
      <c r="L332" t="s">
        <v>18</v>
      </c>
      <c r="M332" s="7" t="s">
        <v>168</v>
      </c>
      <c r="N332" t="s">
        <v>169</v>
      </c>
    </row>
    <row r="333" spans="1:14" x14ac:dyDescent="0.2">
      <c r="A333">
        <v>10579</v>
      </c>
      <c r="B333" t="s">
        <v>387</v>
      </c>
      <c r="C333">
        <v>1</v>
      </c>
      <c r="D333" s="5">
        <v>35606</v>
      </c>
      <c r="E333" s="5">
        <v>35634</v>
      </c>
      <c r="F333" s="5">
        <v>35615</v>
      </c>
      <c r="G333">
        <v>2</v>
      </c>
      <c r="H333" s="6">
        <v>13.73</v>
      </c>
      <c r="I333" t="s">
        <v>388</v>
      </c>
      <c r="J333" t="s">
        <v>389</v>
      </c>
      <c r="K333" t="s">
        <v>390</v>
      </c>
      <c r="L333" t="s">
        <v>391</v>
      </c>
      <c r="M333" s="7">
        <v>94117</v>
      </c>
      <c r="N333" t="s">
        <v>86</v>
      </c>
    </row>
    <row r="334" spans="1:14" x14ac:dyDescent="0.2">
      <c r="A334">
        <v>10580</v>
      </c>
      <c r="B334" t="s">
        <v>73</v>
      </c>
      <c r="C334">
        <v>4</v>
      </c>
      <c r="D334" s="5">
        <v>35607</v>
      </c>
      <c r="E334" s="5">
        <v>35635</v>
      </c>
      <c r="F334" s="5">
        <v>35612</v>
      </c>
      <c r="G334">
        <v>3</v>
      </c>
      <c r="H334" s="6">
        <v>75.89</v>
      </c>
      <c r="I334" t="s">
        <v>74</v>
      </c>
      <c r="J334" t="s">
        <v>75</v>
      </c>
      <c r="K334" t="s">
        <v>76</v>
      </c>
      <c r="L334" t="s">
        <v>18</v>
      </c>
      <c r="M334" s="7">
        <v>50739</v>
      </c>
      <c r="N334" t="s">
        <v>24</v>
      </c>
    </row>
    <row r="335" spans="1:14" x14ac:dyDescent="0.2">
      <c r="A335">
        <v>10581</v>
      </c>
      <c r="B335" t="s">
        <v>258</v>
      </c>
      <c r="C335">
        <v>3</v>
      </c>
      <c r="D335" s="5">
        <v>35607</v>
      </c>
      <c r="E335" s="5">
        <v>35635</v>
      </c>
      <c r="F335" s="5">
        <v>35613</v>
      </c>
      <c r="G335">
        <v>1</v>
      </c>
      <c r="H335" s="6">
        <v>3.01</v>
      </c>
      <c r="I335" t="s">
        <v>259</v>
      </c>
      <c r="J335" t="s">
        <v>431</v>
      </c>
      <c r="K335" t="s">
        <v>173</v>
      </c>
      <c r="L335" t="s">
        <v>55</v>
      </c>
      <c r="M335" s="7" t="s">
        <v>261</v>
      </c>
      <c r="N335" t="s">
        <v>31</v>
      </c>
    </row>
    <row r="336" spans="1:14" x14ac:dyDescent="0.2">
      <c r="A336">
        <v>10582</v>
      </c>
      <c r="B336" t="s">
        <v>363</v>
      </c>
      <c r="C336">
        <v>3</v>
      </c>
      <c r="D336" s="5">
        <v>35608</v>
      </c>
      <c r="E336" s="5">
        <v>35636</v>
      </c>
      <c r="F336" s="5">
        <v>35625</v>
      </c>
      <c r="G336">
        <v>2</v>
      </c>
      <c r="H336" s="6">
        <v>27.71</v>
      </c>
      <c r="I336" t="s">
        <v>364</v>
      </c>
      <c r="J336" t="s">
        <v>365</v>
      </c>
      <c r="K336" t="s">
        <v>366</v>
      </c>
      <c r="L336" t="s">
        <v>18</v>
      </c>
      <c r="M336" s="7">
        <v>68306</v>
      </c>
      <c r="N336" t="s">
        <v>24</v>
      </c>
    </row>
    <row r="337" spans="1:14" x14ac:dyDescent="0.2">
      <c r="A337">
        <v>10583</v>
      </c>
      <c r="B337" t="s">
        <v>97</v>
      </c>
      <c r="C337">
        <v>2</v>
      </c>
      <c r="D337" s="5">
        <v>35611</v>
      </c>
      <c r="E337" s="5">
        <v>35639</v>
      </c>
      <c r="F337" s="5">
        <v>35615</v>
      </c>
      <c r="G337">
        <v>2</v>
      </c>
      <c r="H337" s="6">
        <v>7.28</v>
      </c>
      <c r="I337" t="s">
        <v>98</v>
      </c>
      <c r="J337" t="s">
        <v>99</v>
      </c>
      <c r="K337" t="s">
        <v>100</v>
      </c>
      <c r="L337" t="s">
        <v>18</v>
      </c>
      <c r="M337" s="7">
        <v>90110</v>
      </c>
      <c r="N337" t="s">
        <v>101</v>
      </c>
    </row>
    <row r="338" spans="1:14" x14ac:dyDescent="0.2">
      <c r="A338">
        <v>10584</v>
      </c>
      <c r="B338" t="s">
        <v>93</v>
      </c>
      <c r="C338">
        <v>4</v>
      </c>
      <c r="D338" s="5">
        <v>35611</v>
      </c>
      <c r="E338" s="5">
        <v>35639</v>
      </c>
      <c r="F338" s="5">
        <v>35615</v>
      </c>
      <c r="G338">
        <v>1</v>
      </c>
      <c r="H338" s="6">
        <v>59.14</v>
      </c>
      <c r="I338" t="s">
        <v>94</v>
      </c>
      <c r="J338" t="s">
        <v>422</v>
      </c>
      <c r="K338" t="s">
        <v>96</v>
      </c>
      <c r="L338" t="s">
        <v>18</v>
      </c>
      <c r="M338" s="7">
        <v>67000</v>
      </c>
      <c r="N338" t="s">
        <v>19</v>
      </c>
    </row>
    <row r="339" spans="1:14" x14ac:dyDescent="0.2">
      <c r="A339">
        <v>10585</v>
      </c>
      <c r="B339" t="s">
        <v>51</v>
      </c>
      <c r="C339">
        <v>7</v>
      </c>
      <c r="D339" s="5">
        <v>35612</v>
      </c>
      <c r="E339" s="5">
        <v>35640</v>
      </c>
      <c r="F339" s="5">
        <v>35621</v>
      </c>
      <c r="G339">
        <v>1</v>
      </c>
      <c r="H339" s="6">
        <v>13.41</v>
      </c>
      <c r="I339" t="s">
        <v>52</v>
      </c>
      <c r="J339" t="s">
        <v>420</v>
      </c>
      <c r="K339" t="s">
        <v>54</v>
      </c>
      <c r="L339" t="s">
        <v>55</v>
      </c>
      <c r="M339" s="7" t="s">
        <v>56</v>
      </c>
      <c r="N339" t="s">
        <v>31</v>
      </c>
    </row>
    <row r="340" spans="1:14" x14ac:dyDescent="0.2">
      <c r="A340">
        <v>10586</v>
      </c>
      <c r="B340" t="s">
        <v>160</v>
      </c>
      <c r="C340">
        <v>9</v>
      </c>
      <c r="D340" s="5">
        <v>35613</v>
      </c>
      <c r="E340" s="5">
        <v>35641</v>
      </c>
      <c r="F340" s="5">
        <v>35620</v>
      </c>
      <c r="G340">
        <v>1</v>
      </c>
      <c r="H340" s="6">
        <v>0.48</v>
      </c>
      <c r="I340" t="s">
        <v>161</v>
      </c>
      <c r="J340" t="s">
        <v>162</v>
      </c>
      <c r="K340" t="s">
        <v>163</v>
      </c>
      <c r="L340" t="s">
        <v>18</v>
      </c>
      <c r="M340" s="7">
        <v>42100</v>
      </c>
      <c r="N340" t="s">
        <v>129</v>
      </c>
    </row>
    <row r="341" spans="1:14" x14ac:dyDescent="0.2">
      <c r="A341">
        <v>10587</v>
      </c>
      <c r="B341" t="s">
        <v>77</v>
      </c>
      <c r="C341">
        <v>1</v>
      </c>
      <c r="D341" s="5">
        <v>35613</v>
      </c>
      <c r="E341" s="5">
        <v>35641</v>
      </c>
      <c r="F341" s="5">
        <v>35620</v>
      </c>
      <c r="G341">
        <v>1</v>
      </c>
      <c r="H341" s="6">
        <v>62.52</v>
      </c>
      <c r="I341" t="s">
        <v>78</v>
      </c>
      <c r="J341" t="s">
        <v>421</v>
      </c>
      <c r="K341" t="s">
        <v>28</v>
      </c>
      <c r="L341" t="s">
        <v>29</v>
      </c>
      <c r="M341" s="7" t="s">
        <v>80</v>
      </c>
      <c r="N341" t="s">
        <v>31</v>
      </c>
    </row>
    <row r="342" spans="1:14" x14ac:dyDescent="0.2">
      <c r="A342">
        <v>10588</v>
      </c>
      <c r="B342" t="s">
        <v>121</v>
      </c>
      <c r="C342">
        <v>2</v>
      </c>
      <c r="D342" s="5">
        <v>35614</v>
      </c>
      <c r="E342" s="5">
        <v>35642</v>
      </c>
      <c r="F342" s="5">
        <v>35621</v>
      </c>
      <c r="G342">
        <v>3</v>
      </c>
      <c r="H342" s="6">
        <v>194.67</v>
      </c>
      <c r="I342" t="s">
        <v>122</v>
      </c>
      <c r="J342" t="s">
        <v>123</v>
      </c>
      <c r="K342" t="s">
        <v>124</v>
      </c>
      <c r="L342" t="s">
        <v>18</v>
      </c>
      <c r="M342" s="7">
        <v>1307</v>
      </c>
      <c r="N342" t="s">
        <v>24</v>
      </c>
    </row>
    <row r="343" spans="1:14" x14ac:dyDescent="0.2">
      <c r="A343">
        <v>10589</v>
      </c>
      <c r="B343" t="s">
        <v>374</v>
      </c>
      <c r="C343">
        <v>8</v>
      </c>
      <c r="D343" s="5">
        <v>35615</v>
      </c>
      <c r="E343" s="5">
        <v>35643</v>
      </c>
      <c r="F343" s="5">
        <v>35625</v>
      </c>
      <c r="G343">
        <v>2</v>
      </c>
      <c r="H343" s="6">
        <v>4.42</v>
      </c>
      <c r="I343" t="s">
        <v>375</v>
      </c>
      <c r="J343" t="s">
        <v>376</v>
      </c>
      <c r="K343" t="s">
        <v>377</v>
      </c>
      <c r="L343" t="s">
        <v>202</v>
      </c>
      <c r="M343" s="7">
        <v>97403</v>
      </c>
      <c r="N343" t="s">
        <v>86</v>
      </c>
    </row>
    <row r="344" spans="1:14" x14ac:dyDescent="0.2">
      <c r="A344">
        <v>10590</v>
      </c>
      <c r="B344" t="s">
        <v>243</v>
      </c>
      <c r="C344">
        <v>4</v>
      </c>
      <c r="D344" s="5">
        <v>35618</v>
      </c>
      <c r="E344" s="5">
        <v>35646</v>
      </c>
      <c r="F344" s="5">
        <v>35625</v>
      </c>
      <c r="G344">
        <v>3</v>
      </c>
      <c r="H344" s="6">
        <v>44.77</v>
      </c>
      <c r="I344" t="s">
        <v>244</v>
      </c>
      <c r="J344" t="s">
        <v>245</v>
      </c>
      <c r="K344" t="s">
        <v>246</v>
      </c>
      <c r="L344" t="s">
        <v>247</v>
      </c>
      <c r="M344" s="7" t="s">
        <v>248</v>
      </c>
      <c r="N344" t="s">
        <v>249</v>
      </c>
    </row>
    <row r="345" spans="1:14" x14ac:dyDescent="0.2">
      <c r="A345">
        <v>10591</v>
      </c>
      <c r="B345" t="s">
        <v>295</v>
      </c>
      <c r="C345">
        <v>1</v>
      </c>
      <c r="D345" s="5">
        <v>35618</v>
      </c>
      <c r="E345" s="5">
        <v>35632</v>
      </c>
      <c r="F345" s="5">
        <v>35627</v>
      </c>
      <c r="G345">
        <v>1</v>
      </c>
      <c r="H345" s="6">
        <v>55.92</v>
      </c>
      <c r="I345" t="s">
        <v>296</v>
      </c>
      <c r="J345" t="s">
        <v>297</v>
      </c>
      <c r="K345" t="s">
        <v>298</v>
      </c>
      <c r="L345" t="s">
        <v>18</v>
      </c>
      <c r="M345" s="7">
        <v>8200</v>
      </c>
      <c r="N345" t="s">
        <v>257</v>
      </c>
    </row>
    <row r="346" spans="1:14" x14ac:dyDescent="0.2">
      <c r="A346">
        <v>10592</v>
      </c>
      <c r="B346" t="s">
        <v>142</v>
      </c>
      <c r="C346">
        <v>3</v>
      </c>
      <c r="D346" s="5">
        <v>35619</v>
      </c>
      <c r="E346" s="5">
        <v>35647</v>
      </c>
      <c r="F346" s="5">
        <v>35627</v>
      </c>
      <c r="G346">
        <v>1</v>
      </c>
      <c r="H346" s="6">
        <v>32.1</v>
      </c>
      <c r="I346" t="s">
        <v>143</v>
      </c>
      <c r="J346" t="s">
        <v>144</v>
      </c>
      <c r="K346" t="s">
        <v>145</v>
      </c>
      <c r="L346" t="s">
        <v>18</v>
      </c>
      <c r="M346" s="7">
        <v>60528</v>
      </c>
      <c r="N346" t="s">
        <v>24</v>
      </c>
    </row>
    <row r="347" spans="1:14" x14ac:dyDescent="0.2">
      <c r="A347">
        <v>10593</v>
      </c>
      <c r="B347" t="s">
        <v>142</v>
      </c>
      <c r="C347">
        <v>7</v>
      </c>
      <c r="D347" s="5">
        <v>35620</v>
      </c>
      <c r="E347" s="5">
        <v>35648</v>
      </c>
      <c r="F347" s="5">
        <v>35655</v>
      </c>
      <c r="G347">
        <v>2</v>
      </c>
      <c r="H347" s="6">
        <v>174.2</v>
      </c>
      <c r="I347" t="s">
        <v>143</v>
      </c>
      <c r="J347" t="s">
        <v>144</v>
      </c>
      <c r="K347" t="s">
        <v>145</v>
      </c>
      <c r="L347" t="s">
        <v>18</v>
      </c>
      <c r="M347" s="7">
        <v>60528</v>
      </c>
      <c r="N347" t="s">
        <v>24</v>
      </c>
    </row>
    <row r="348" spans="1:14" x14ac:dyDescent="0.2">
      <c r="A348">
        <v>10594</v>
      </c>
      <c r="B348" t="s">
        <v>193</v>
      </c>
      <c r="C348">
        <v>3</v>
      </c>
      <c r="D348" s="5">
        <v>35620</v>
      </c>
      <c r="E348" s="5">
        <v>35648</v>
      </c>
      <c r="F348" s="5">
        <v>35627</v>
      </c>
      <c r="G348">
        <v>2</v>
      </c>
      <c r="H348" s="6">
        <v>5.24</v>
      </c>
      <c r="I348" t="s">
        <v>194</v>
      </c>
      <c r="J348" t="s">
        <v>195</v>
      </c>
      <c r="K348" t="s">
        <v>196</v>
      </c>
      <c r="L348" t="s">
        <v>197</v>
      </c>
      <c r="M348" s="7">
        <v>99508</v>
      </c>
      <c r="N348" t="s">
        <v>86</v>
      </c>
    </row>
    <row r="349" spans="1:14" x14ac:dyDescent="0.2">
      <c r="A349">
        <v>10595</v>
      </c>
      <c r="B349" t="s">
        <v>63</v>
      </c>
      <c r="C349">
        <v>2</v>
      </c>
      <c r="D349" s="5">
        <v>35621</v>
      </c>
      <c r="E349" s="5">
        <v>35649</v>
      </c>
      <c r="F349" s="5">
        <v>35625</v>
      </c>
      <c r="G349">
        <v>1</v>
      </c>
      <c r="H349" s="6">
        <v>96.78</v>
      </c>
      <c r="I349" t="s">
        <v>64</v>
      </c>
      <c r="J349" t="s">
        <v>65</v>
      </c>
      <c r="K349" t="s">
        <v>66</v>
      </c>
      <c r="L349" t="s">
        <v>18</v>
      </c>
      <c r="M349" s="7">
        <v>8010</v>
      </c>
      <c r="N349" t="s">
        <v>67</v>
      </c>
    </row>
    <row r="350" spans="1:14" x14ac:dyDescent="0.2">
      <c r="A350">
        <v>10596</v>
      </c>
      <c r="B350" t="s">
        <v>111</v>
      </c>
      <c r="C350">
        <v>8</v>
      </c>
      <c r="D350" s="5">
        <v>35622</v>
      </c>
      <c r="E350" s="5">
        <v>35650</v>
      </c>
      <c r="F350" s="5">
        <v>35654</v>
      </c>
      <c r="G350">
        <v>1</v>
      </c>
      <c r="H350" s="6">
        <v>16.34</v>
      </c>
      <c r="I350" t="s">
        <v>112</v>
      </c>
      <c r="J350" t="s">
        <v>113</v>
      </c>
      <c r="K350" t="s">
        <v>114</v>
      </c>
      <c r="L350" t="s">
        <v>115</v>
      </c>
      <c r="M350" s="7">
        <v>98124</v>
      </c>
      <c r="N350" t="s">
        <v>86</v>
      </c>
    </row>
    <row r="351" spans="1:14" x14ac:dyDescent="0.2">
      <c r="A351">
        <v>10597</v>
      </c>
      <c r="B351" t="s">
        <v>266</v>
      </c>
      <c r="C351">
        <v>7</v>
      </c>
      <c r="D351" s="5">
        <v>35622</v>
      </c>
      <c r="E351" s="5">
        <v>35650</v>
      </c>
      <c r="F351" s="5">
        <v>35629</v>
      </c>
      <c r="G351">
        <v>3</v>
      </c>
      <c r="H351" s="6">
        <v>35.119999999999997</v>
      </c>
      <c r="I351" t="s">
        <v>267</v>
      </c>
      <c r="J351" t="s">
        <v>268</v>
      </c>
      <c r="K351" t="s">
        <v>269</v>
      </c>
      <c r="L351" t="s">
        <v>18</v>
      </c>
      <c r="M351" s="7">
        <v>5020</v>
      </c>
      <c r="N351" t="s">
        <v>67</v>
      </c>
    </row>
    <row r="352" spans="1:14" x14ac:dyDescent="0.2">
      <c r="A352">
        <v>10598</v>
      </c>
      <c r="B352" t="s">
        <v>81</v>
      </c>
      <c r="C352">
        <v>1</v>
      </c>
      <c r="D352" s="5">
        <v>35625</v>
      </c>
      <c r="E352" s="5">
        <v>35653</v>
      </c>
      <c r="F352" s="5">
        <v>35629</v>
      </c>
      <c r="G352">
        <v>3</v>
      </c>
      <c r="H352" s="6">
        <v>44.42</v>
      </c>
      <c r="I352" t="s">
        <v>82</v>
      </c>
      <c r="J352" t="s">
        <v>83</v>
      </c>
      <c r="K352" t="s">
        <v>84</v>
      </c>
      <c r="L352" t="s">
        <v>85</v>
      </c>
      <c r="M352" s="7">
        <v>87110</v>
      </c>
      <c r="N352" t="s">
        <v>86</v>
      </c>
    </row>
    <row r="353" spans="1:14" x14ac:dyDescent="0.2">
      <c r="A353">
        <v>10599</v>
      </c>
      <c r="B353" t="s">
        <v>164</v>
      </c>
      <c r="C353">
        <v>6</v>
      </c>
      <c r="D353" s="5">
        <v>35626</v>
      </c>
      <c r="E353" s="5">
        <v>35668</v>
      </c>
      <c r="F353" s="5">
        <v>35632</v>
      </c>
      <c r="G353">
        <v>3</v>
      </c>
      <c r="H353" s="6">
        <v>29.98</v>
      </c>
      <c r="I353" t="s">
        <v>165</v>
      </c>
      <c r="J353" t="s">
        <v>166</v>
      </c>
      <c r="K353" t="s">
        <v>167</v>
      </c>
      <c r="L353" t="s">
        <v>18</v>
      </c>
      <c r="M353" s="7" t="s">
        <v>168</v>
      </c>
      <c r="N353" t="s">
        <v>169</v>
      </c>
    </row>
    <row r="354" spans="1:14" x14ac:dyDescent="0.2">
      <c r="A354">
        <v>10600</v>
      </c>
      <c r="B354" t="s">
        <v>309</v>
      </c>
      <c r="C354">
        <v>4</v>
      </c>
      <c r="D354" s="5">
        <v>35627</v>
      </c>
      <c r="E354" s="5">
        <v>35655</v>
      </c>
      <c r="F354" s="5">
        <v>35632</v>
      </c>
      <c r="G354">
        <v>1</v>
      </c>
      <c r="H354" s="6">
        <v>45.13</v>
      </c>
      <c r="I354" t="s">
        <v>310</v>
      </c>
      <c r="J354" t="s">
        <v>311</v>
      </c>
      <c r="K354" t="s">
        <v>312</v>
      </c>
      <c r="L354" t="s">
        <v>202</v>
      </c>
      <c r="M354" s="7">
        <v>97827</v>
      </c>
      <c r="N354" t="s">
        <v>86</v>
      </c>
    </row>
    <row r="355" spans="1:14" x14ac:dyDescent="0.2">
      <c r="A355">
        <v>10601</v>
      </c>
      <c r="B355" t="s">
        <v>57</v>
      </c>
      <c r="C355">
        <v>7</v>
      </c>
      <c r="D355" s="5">
        <v>35627</v>
      </c>
      <c r="E355" s="5">
        <v>35669</v>
      </c>
      <c r="F355" s="5">
        <v>35633</v>
      </c>
      <c r="G355">
        <v>1</v>
      </c>
      <c r="H355" s="6">
        <v>58.3</v>
      </c>
      <c r="I355" t="s">
        <v>58</v>
      </c>
      <c r="J355" t="s">
        <v>59</v>
      </c>
      <c r="K355" t="s">
        <v>60</v>
      </c>
      <c r="L355" t="s">
        <v>61</v>
      </c>
      <c r="M355" s="7">
        <v>5022</v>
      </c>
      <c r="N355" t="s">
        <v>62</v>
      </c>
    </row>
    <row r="356" spans="1:14" x14ac:dyDescent="0.2">
      <c r="A356">
        <v>10602</v>
      </c>
      <c r="B356" t="s">
        <v>295</v>
      </c>
      <c r="C356">
        <v>8</v>
      </c>
      <c r="D356" s="5">
        <v>35628</v>
      </c>
      <c r="E356" s="5">
        <v>35656</v>
      </c>
      <c r="F356" s="5">
        <v>35633</v>
      </c>
      <c r="G356">
        <v>2</v>
      </c>
      <c r="H356" s="6">
        <v>2.92</v>
      </c>
      <c r="I356" t="s">
        <v>296</v>
      </c>
      <c r="J356" t="s">
        <v>297</v>
      </c>
      <c r="K356" t="s">
        <v>298</v>
      </c>
      <c r="L356" t="s">
        <v>18</v>
      </c>
      <c r="M356" s="7">
        <v>8200</v>
      </c>
      <c r="N356" t="s">
        <v>257</v>
      </c>
    </row>
    <row r="357" spans="1:14" x14ac:dyDescent="0.2">
      <c r="A357">
        <v>10603</v>
      </c>
      <c r="B357" t="s">
        <v>226</v>
      </c>
      <c r="C357">
        <v>8</v>
      </c>
      <c r="D357" s="5">
        <v>35629</v>
      </c>
      <c r="E357" s="5">
        <v>35657</v>
      </c>
      <c r="F357" s="5">
        <v>35650</v>
      </c>
      <c r="G357">
        <v>2</v>
      </c>
      <c r="H357" s="6">
        <v>48.77</v>
      </c>
      <c r="I357" t="s">
        <v>227</v>
      </c>
      <c r="J357" t="s">
        <v>228</v>
      </c>
      <c r="K357" t="s">
        <v>229</v>
      </c>
      <c r="L357" t="s">
        <v>230</v>
      </c>
      <c r="M357" s="7">
        <v>83720</v>
      </c>
      <c r="N357" t="s">
        <v>86</v>
      </c>
    </row>
    <row r="358" spans="1:14" x14ac:dyDescent="0.2">
      <c r="A358">
        <v>10604</v>
      </c>
      <c r="B358" t="s">
        <v>234</v>
      </c>
      <c r="C358">
        <v>1</v>
      </c>
      <c r="D358" s="5">
        <v>35629</v>
      </c>
      <c r="E358" s="5">
        <v>35657</v>
      </c>
      <c r="F358" s="5">
        <v>35640</v>
      </c>
      <c r="G358">
        <v>1</v>
      </c>
      <c r="H358" s="6">
        <v>7.46</v>
      </c>
      <c r="I358" t="s">
        <v>235</v>
      </c>
      <c r="J358" t="s">
        <v>236</v>
      </c>
      <c r="K358" t="s">
        <v>237</v>
      </c>
      <c r="L358" t="s">
        <v>18</v>
      </c>
      <c r="M358" s="7">
        <v>1675</v>
      </c>
      <c r="N358" t="s">
        <v>238</v>
      </c>
    </row>
    <row r="359" spans="1:14" x14ac:dyDescent="0.2">
      <c r="A359">
        <v>10605</v>
      </c>
      <c r="B359" t="s">
        <v>243</v>
      </c>
      <c r="C359">
        <v>1</v>
      </c>
      <c r="D359" s="5">
        <v>35632</v>
      </c>
      <c r="E359" s="5">
        <v>35660</v>
      </c>
      <c r="F359" s="5">
        <v>35640</v>
      </c>
      <c r="G359">
        <v>2</v>
      </c>
      <c r="H359" s="6">
        <v>379.13</v>
      </c>
      <c r="I359" t="s">
        <v>244</v>
      </c>
      <c r="J359" t="s">
        <v>245</v>
      </c>
      <c r="K359" t="s">
        <v>246</v>
      </c>
      <c r="L359" t="s">
        <v>247</v>
      </c>
      <c r="M359" s="7" t="s">
        <v>248</v>
      </c>
      <c r="N359" t="s">
        <v>249</v>
      </c>
    </row>
    <row r="360" spans="1:14" x14ac:dyDescent="0.2">
      <c r="A360">
        <v>10606</v>
      </c>
      <c r="B360" t="s">
        <v>175</v>
      </c>
      <c r="C360">
        <v>4</v>
      </c>
      <c r="D360" s="5">
        <v>35633</v>
      </c>
      <c r="E360" s="5">
        <v>35661</v>
      </c>
      <c r="F360" s="5">
        <v>35642</v>
      </c>
      <c r="G360">
        <v>3</v>
      </c>
      <c r="H360" s="6">
        <v>79.400000000000006</v>
      </c>
      <c r="I360" t="s">
        <v>176</v>
      </c>
      <c r="J360" t="s">
        <v>426</v>
      </c>
      <c r="K360" t="s">
        <v>173</v>
      </c>
      <c r="L360" t="s">
        <v>55</v>
      </c>
      <c r="M360" s="7" t="s">
        <v>178</v>
      </c>
      <c r="N360" t="s">
        <v>31</v>
      </c>
    </row>
    <row r="361" spans="1:14" x14ac:dyDescent="0.2">
      <c r="A361">
        <v>10607</v>
      </c>
      <c r="B361" t="s">
        <v>226</v>
      </c>
      <c r="C361">
        <v>5</v>
      </c>
      <c r="D361" s="5">
        <v>35633</v>
      </c>
      <c r="E361" s="5">
        <v>35661</v>
      </c>
      <c r="F361" s="5">
        <v>35636</v>
      </c>
      <c r="G361">
        <v>1</v>
      </c>
      <c r="H361" s="6">
        <v>200.24</v>
      </c>
      <c r="I361" t="s">
        <v>227</v>
      </c>
      <c r="J361" t="s">
        <v>228</v>
      </c>
      <c r="K361" t="s">
        <v>229</v>
      </c>
      <c r="L361" t="s">
        <v>230</v>
      </c>
      <c r="M361" s="7">
        <v>83720</v>
      </c>
      <c r="N361" t="s">
        <v>86</v>
      </c>
    </row>
    <row r="362" spans="1:14" x14ac:dyDescent="0.2">
      <c r="A362">
        <v>10608</v>
      </c>
      <c r="B362" t="s">
        <v>20</v>
      </c>
      <c r="C362">
        <v>4</v>
      </c>
      <c r="D362" s="5">
        <v>35634</v>
      </c>
      <c r="E362" s="5">
        <v>35662</v>
      </c>
      <c r="F362" s="5">
        <v>35643</v>
      </c>
      <c r="G362">
        <v>2</v>
      </c>
      <c r="H362" s="6">
        <v>27.79</v>
      </c>
      <c r="I362" t="s">
        <v>21</v>
      </c>
      <c r="J362" t="s">
        <v>22</v>
      </c>
      <c r="K362" t="s">
        <v>23</v>
      </c>
      <c r="L362" t="s">
        <v>18</v>
      </c>
      <c r="M362" s="7">
        <v>44087</v>
      </c>
      <c r="N362" t="s">
        <v>24</v>
      </c>
    </row>
    <row r="363" spans="1:14" x14ac:dyDescent="0.2">
      <c r="A363">
        <v>10609</v>
      </c>
      <c r="B363" t="s">
        <v>209</v>
      </c>
      <c r="C363">
        <v>7</v>
      </c>
      <c r="D363" s="5">
        <v>35635</v>
      </c>
      <c r="E363" s="5">
        <v>35663</v>
      </c>
      <c r="F363" s="5">
        <v>35641</v>
      </c>
      <c r="G363">
        <v>2</v>
      </c>
      <c r="H363" s="6">
        <v>1.85</v>
      </c>
      <c r="I363" t="s">
        <v>210</v>
      </c>
      <c r="J363" t="s">
        <v>428</v>
      </c>
      <c r="K363" t="s">
        <v>212</v>
      </c>
      <c r="L363" t="s">
        <v>18</v>
      </c>
      <c r="M363" s="7">
        <v>44000</v>
      </c>
      <c r="N363" t="s">
        <v>19</v>
      </c>
    </row>
    <row r="364" spans="1:14" x14ac:dyDescent="0.2">
      <c r="A364">
        <v>10610</v>
      </c>
      <c r="B364" t="s">
        <v>262</v>
      </c>
      <c r="C364">
        <v>8</v>
      </c>
      <c r="D364" s="5">
        <v>35636</v>
      </c>
      <c r="E364" s="5">
        <v>35664</v>
      </c>
      <c r="F364" s="5">
        <v>35648</v>
      </c>
      <c r="G364">
        <v>1</v>
      </c>
      <c r="H364" s="6">
        <v>26.78</v>
      </c>
      <c r="I364" t="s">
        <v>263</v>
      </c>
      <c r="J364" t="s">
        <v>264</v>
      </c>
      <c r="K364" t="s">
        <v>265</v>
      </c>
      <c r="L364" t="s">
        <v>18</v>
      </c>
      <c r="M364" s="7">
        <v>31000</v>
      </c>
      <c r="N364" t="s">
        <v>19</v>
      </c>
    </row>
    <row r="365" spans="1:14" x14ac:dyDescent="0.2">
      <c r="A365">
        <v>10611</v>
      </c>
      <c r="B365" t="s">
        <v>303</v>
      </c>
      <c r="C365">
        <v>6</v>
      </c>
      <c r="D365" s="5">
        <v>35636</v>
      </c>
      <c r="E365" s="5">
        <v>35664</v>
      </c>
      <c r="F365" s="5">
        <v>35643</v>
      </c>
      <c r="G365">
        <v>2</v>
      </c>
      <c r="H365" s="6">
        <v>80.650000000000006</v>
      </c>
      <c r="I365" t="s">
        <v>304</v>
      </c>
      <c r="J365" t="s">
        <v>305</v>
      </c>
      <c r="K365" t="s">
        <v>306</v>
      </c>
      <c r="L365" t="s">
        <v>18</v>
      </c>
      <c r="M365" s="7" t="s">
        <v>307</v>
      </c>
      <c r="N365" t="s">
        <v>308</v>
      </c>
    </row>
    <row r="366" spans="1:14" x14ac:dyDescent="0.2">
      <c r="A366">
        <v>10612</v>
      </c>
      <c r="B366" t="s">
        <v>226</v>
      </c>
      <c r="C366">
        <v>1</v>
      </c>
      <c r="D366" s="5">
        <v>35639</v>
      </c>
      <c r="E366" s="5">
        <v>35667</v>
      </c>
      <c r="F366" s="5">
        <v>35643</v>
      </c>
      <c r="G366">
        <v>2</v>
      </c>
      <c r="H366" s="6">
        <v>544.08000000000004</v>
      </c>
      <c r="I366" t="s">
        <v>227</v>
      </c>
      <c r="J366" t="s">
        <v>228</v>
      </c>
      <c r="K366" t="s">
        <v>229</v>
      </c>
      <c r="L366" t="s">
        <v>230</v>
      </c>
      <c r="M366" s="7">
        <v>83720</v>
      </c>
      <c r="N366" t="s">
        <v>86</v>
      </c>
    </row>
    <row r="367" spans="1:14" x14ac:dyDescent="0.2">
      <c r="A367">
        <v>10613</v>
      </c>
      <c r="B367" t="s">
        <v>57</v>
      </c>
      <c r="C367">
        <v>4</v>
      </c>
      <c r="D367" s="5">
        <v>35640</v>
      </c>
      <c r="E367" s="5">
        <v>35668</v>
      </c>
      <c r="F367" s="5">
        <v>35643</v>
      </c>
      <c r="G367">
        <v>2</v>
      </c>
      <c r="H367" s="6">
        <v>8.11</v>
      </c>
      <c r="I367" t="s">
        <v>58</v>
      </c>
      <c r="J367" t="s">
        <v>59</v>
      </c>
      <c r="K367" t="s">
        <v>60</v>
      </c>
      <c r="L367" t="s">
        <v>61</v>
      </c>
      <c r="M367" s="7">
        <v>5022</v>
      </c>
      <c r="N367" t="s">
        <v>62</v>
      </c>
    </row>
    <row r="368" spans="1:14" x14ac:dyDescent="0.2">
      <c r="A368">
        <v>10614</v>
      </c>
      <c r="B368" t="s">
        <v>363</v>
      </c>
      <c r="C368">
        <v>8</v>
      </c>
      <c r="D368" s="5">
        <v>35640</v>
      </c>
      <c r="E368" s="5">
        <v>35668</v>
      </c>
      <c r="F368" s="5">
        <v>35643</v>
      </c>
      <c r="G368">
        <v>3</v>
      </c>
      <c r="H368" s="6">
        <v>1.93</v>
      </c>
      <c r="I368" t="s">
        <v>364</v>
      </c>
      <c r="J368" t="s">
        <v>365</v>
      </c>
      <c r="K368" t="s">
        <v>366</v>
      </c>
      <c r="L368" t="s">
        <v>18</v>
      </c>
      <c r="M368" s="7">
        <v>68306</v>
      </c>
      <c r="N368" t="s">
        <v>24</v>
      </c>
    </row>
    <row r="369" spans="1:14" x14ac:dyDescent="0.2">
      <c r="A369">
        <v>10615</v>
      </c>
      <c r="B369" t="s">
        <v>392</v>
      </c>
      <c r="C369">
        <v>2</v>
      </c>
      <c r="D369" s="5">
        <v>35641</v>
      </c>
      <c r="E369" s="5">
        <v>35669</v>
      </c>
      <c r="F369" s="5">
        <v>35648</v>
      </c>
      <c r="G369">
        <v>3</v>
      </c>
      <c r="H369" s="6">
        <v>0.75</v>
      </c>
      <c r="I369" t="s">
        <v>393</v>
      </c>
      <c r="J369" t="s">
        <v>394</v>
      </c>
      <c r="K369" t="s">
        <v>395</v>
      </c>
      <c r="L369" t="s">
        <v>18</v>
      </c>
      <c r="M369" s="7">
        <v>21240</v>
      </c>
      <c r="N369" t="s">
        <v>101</v>
      </c>
    </row>
    <row r="370" spans="1:14" x14ac:dyDescent="0.2">
      <c r="A370">
        <v>10616</v>
      </c>
      <c r="B370" t="s">
        <v>374</v>
      </c>
      <c r="C370">
        <v>1</v>
      </c>
      <c r="D370" s="5">
        <v>35642</v>
      </c>
      <c r="E370" s="5">
        <v>35670</v>
      </c>
      <c r="F370" s="5">
        <v>35647</v>
      </c>
      <c r="G370">
        <v>2</v>
      </c>
      <c r="H370" s="6">
        <v>116.53</v>
      </c>
      <c r="I370" t="s">
        <v>375</v>
      </c>
      <c r="J370" t="s">
        <v>376</v>
      </c>
      <c r="K370" t="s">
        <v>377</v>
      </c>
      <c r="L370" t="s">
        <v>202</v>
      </c>
      <c r="M370" s="7">
        <v>97403</v>
      </c>
      <c r="N370" t="s">
        <v>86</v>
      </c>
    </row>
    <row r="371" spans="1:14" x14ac:dyDescent="0.2">
      <c r="A371">
        <v>10617</v>
      </c>
      <c r="B371" t="s">
        <v>374</v>
      </c>
      <c r="C371">
        <v>4</v>
      </c>
      <c r="D371" s="5">
        <v>35642</v>
      </c>
      <c r="E371" s="5">
        <v>35670</v>
      </c>
      <c r="F371" s="5">
        <v>35646</v>
      </c>
      <c r="G371">
        <v>2</v>
      </c>
      <c r="H371" s="6">
        <v>18.53</v>
      </c>
      <c r="I371" t="s">
        <v>375</v>
      </c>
      <c r="J371" t="s">
        <v>376</v>
      </c>
      <c r="K371" t="s">
        <v>377</v>
      </c>
      <c r="L371" t="s">
        <v>202</v>
      </c>
      <c r="M371" s="7">
        <v>97403</v>
      </c>
      <c r="N371" t="s">
        <v>86</v>
      </c>
    </row>
    <row r="372" spans="1:14" x14ac:dyDescent="0.2">
      <c r="A372">
        <v>10618</v>
      </c>
      <c r="B372" t="s">
        <v>243</v>
      </c>
      <c r="C372">
        <v>1</v>
      </c>
      <c r="D372" s="5">
        <v>35643</v>
      </c>
      <c r="E372" s="5">
        <v>35685</v>
      </c>
      <c r="F372" s="5">
        <v>35650</v>
      </c>
      <c r="G372">
        <v>1</v>
      </c>
      <c r="H372" s="6">
        <v>154.68</v>
      </c>
      <c r="I372" t="s">
        <v>244</v>
      </c>
      <c r="J372" t="s">
        <v>245</v>
      </c>
      <c r="K372" t="s">
        <v>246</v>
      </c>
      <c r="L372" t="s">
        <v>247</v>
      </c>
      <c r="M372" s="7" t="s">
        <v>248</v>
      </c>
      <c r="N372" t="s">
        <v>249</v>
      </c>
    </row>
    <row r="373" spans="1:14" x14ac:dyDescent="0.2">
      <c r="A373">
        <v>10619</v>
      </c>
      <c r="B373" t="s">
        <v>243</v>
      </c>
      <c r="C373">
        <v>3</v>
      </c>
      <c r="D373" s="5">
        <v>35646</v>
      </c>
      <c r="E373" s="5">
        <v>35674</v>
      </c>
      <c r="F373" s="5">
        <v>35649</v>
      </c>
      <c r="G373">
        <v>3</v>
      </c>
      <c r="H373" s="6">
        <v>91.05</v>
      </c>
      <c r="I373" t="s">
        <v>244</v>
      </c>
      <c r="J373" t="s">
        <v>245</v>
      </c>
      <c r="K373" t="s">
        <v>246</v>
      </c>
      <c r="L373" t="s">
        <v>247</v>
      </c>
      <c r="M373" s="7" t="s">
        <v>248</v>
      </c>
      <c r="N373" t="s">
        <v>249</v>
      </c>
    </row>
    <row r="374" spans="1:14" x14ac:dyDescent="0.2">
      <c r="A374">
        <v>10620</v>
      </c>
      <c r="B374" t="s">
        <v>358</v>
      </c>
      <c r="C374">
        <v>2</v>
      </c>
      <c r="D374" s="5">
        <v>35647</v>
      </c>
      <c r="E374" s="5">
        <v>35675</v>
      </c>
      <c r="F374" s="5">
        <v>35656</v>
      </c>
      <c r="G374">
        <v>3</v>
      </c>
      <c r="H374" s="6">
        <v>0.94</v>
      </c>
      <c r="I374" t="s">
        <v>359</v>
      </c>
      <c r="J374" t="s">
        <v>360</v>
      </c>
      <c r="K374" t="s">
        <v>361</v>
      </c>
      <c r="L374" t="s">
        <v>322</v>
      </c>
      <c r="M374" s="7" t="s">
        <v>362</v>
      </c>
      <c r="N374" t="s">
        <v>249</v>
      </c>
    </row>
    <row r="375" spans="1:14" x14ac:dyDescent="0.2">
      <c r="A375">
        <v>10621</v>
      </c>
      <c r="B375" t="s">
        <v>213</v>
      </c>
      <c r="C375">
        <v>4</v>
      </c>
      <c r="D375" s="5">
        <v>35647</v>
      </c>
      <c r="E375" s="5">
        <v>35675</v>
      </c>
      <c r="F375" s="5">
        <v>35653</v>
      </c>
      <c r="G375">
        <v>2</v>
      </c>
      <c r="H375" s="6">
        <v>23.73</v>
      </c>
      <c r="I375" t="s">
        <v>214</v>
      </c>
      <c r="J375" t="s">
        <v>215</v>
      </c>
      <c r="K375" t="s">
        <v>216</v>
      </c>
      <c r="L375" t="s">
        <v>217</v>
      </c>
      <c r="M375" s="7" t="s">
        <v>218</v>
      </c>
      <c r="N375" t="s">
        <v>169</v>
      </c>
    </row>
    <row r="376" spans="1:14" x14ac:dyDescent="0.2">
      <c r="A376">
        <v>10622</v>
      </c>
      <c r="B376" t="s">
        <v>156</v>
      </c>
      <c r="C376">
        <v>4</v>
      </c>
      <c r="D376" s="5">
        <v>35648</v>
      </c>
      <c r="E376" s="5">
        <v>35676</v>
      </c>
      <c r="F376" s="5">
        <v>35653</v>
      </c>
      <c r="G376">
        <v>3</v>
      </c>
      <c r="H376" s="6">
        <v>50.97</v>
      </c>
      <c r="I376" t="s">
        <v>157</v>
      </c>
      <c r="J376" t="s">
        <v>424</v>
      </c>
      <c r="K376" t="s">
        <v>28</v>
      </c>
      <c r="L376" t="s">
        <v>29</v>
      </c>
      <c r="M376" s="7" t="s">
        <v>159</v>
      </c>
      <c r="N376" t="s">
        <v>31</v>
      </c>
    </row>
    <row r="377" spans="1:14" x14ac:dyDescent="0.2">
      <c r="A377">
        <v>10623</v>
      </c>
      <c r="B377" t="s">
        <v>102</v>
      </c>
      <c r="C377">
        <v>8</v>
      </c>
      <c r="D377" s="5">
        <v>35649</v>
      </c>
      <c r="E377" s="5">
        <v>35677</v>
      </c>
      <c r="F377" s="5">
        <v>35654</v>
      </c>
      <c r="G377">
        <v>2</v>
      </c>
      <c r="H377" s="6">
        <v>97.18</v>
      </c>
      <c r="I377" t="s">
        <v>103</v>
      </c>
      <c r="J377" t="s">
        <v>104</v>
      </c>
      <c r="K377" t="s">
        <v>105</v>
      </c>
      <c r="L377" t="s">
        <v>18</v>
      </c>
      <c r="M377" s="7">
        <v>80805</v>
      </c>
      <c r="N377" t="s">
        <v>24</v>
      </c>
    </row>
    <row r="378" spans="1:14" x14ac:dyDescent="0.2">
      <c r="A378">
        <v>10624</v>
      </c>
      <c r="B378" t="s">
        <v>396</v>
      </c>
      <c r="C378">
        <v>4</v>
      </c>
      <c r="D378" s="5">
        <v>35649</v>
      </c>
      <c r="E378" s="5">
        <v>35677</v>
      </c>
      <c r="F378" s="5">
        <v>35661</v>
      </c>
      <c r="G378">
        <v>2</v>
      </c>
      <c r="H378" s="6">
        <v>94.8</v>
      </c>
      <c r="I378" t="s">
        <v>397</v>
      </c>
      <c r="J378" t="s">
        <v>398</v>
      </c>
      <c r="K378" t="s">
        <v>399</v>
      </c>
      <c r="L378" t="s">
        <v>400</v>
      </c>
      <c r="M378" s="7">
        <v>59801</v>
      </c>
      <c r="N378" t="s">
        <v>86</v>
      </c>
    </row>
    <row r="379" spans="1:14" x14ac:dyDescent="0.2">
      <c r="A379">
        <v>10625</v>
      </c>
      <c r="B379" t="s">
        <v>203</v>
      </c>
      <c r="C379">
        <v>3</v>
      </c>
      <c r="D379" s="5">
        <v>35650</v>
      </c>
      <c r="E379" s="5">
        <v>35678</v>
      </c>
      <c r="F379" s="5">
        <v>35656</v>
      </c>
      <c r="G379">
        <v>1</v>
      </c>
      <c r="H379" s="6">
        <v>43.9</v>
      </c>
      <c r="I379" t="s">
        <v>204</v>
      </c>
      <c r="J379" t="s">
        <v>205</v>
      </c>
      <c r="K379" t="s">
        <v>71</v>
      </c>
      <c r="L379" t="s">
        <v>18</v>
      </c>
      <c r="M379" s="7">
        <v>5021</v>
      </c>
      <c r="N379" t="s">
        <v>72</v>
      </c>
    </row>
    <row r="380" spans="1:14" x14ac:dyDescent="0.2">
      <c r="A380">
        <v>10626</v>
      </c>
      <c r="B380" t="s">
        <v>137</v>
      </c>
      <c r="C380">
        <v>1</v>
      </c>
      <c r="D380" s="5">
        <v>35653</v>
      </c>
      <c r="E380" s="5">
        <v>35681</v>
      </c>
      <c r="F380" s="5">
        <v>35662</v>
      </c>
      <c r="G380">
        <v>2</v>
      </c>
      <c r="H380" s="6">
        <v>138.69</v>
      </c>
      <c r="I380" t="s">
        <v>138</v>
      </c>
      <c r="J380" t="s">
        <v>139</v>
      </c>
      <c r="K380" t="s">
        <v>140</v>
      </c>
      <c r="L380" t="s">
        <v>18</v>
      </c>
      <c r="M380" s="7" t="s">
        <v>141</v>
      </c>
      <c r="N380" t="s">
        <v>92</v>
      </c>
    </row>
    <row r="381" spans="1:14" x14ac:dyDescent="0.2">
      <c r="A381">
        <v>10627</v>
      </c>
      <c r="B381" t="s">
        <v>226</v>
      </c>
      <c r="C381">
        <v>8</v>
      </c>
      <c r="D381" s="5">
        <v>35653</v>
      </c>
      <c r="E381" s="5">
        <v>35695</v>
      </c>
      <c r="F381" s="5">
        <v>35663</v>
      </c>
      <c r="G381">
        <v>3</v>
      </c>
      <c r="H381" s="6">
        <v>107.46</v>
      </c>
      <c r="I381" t="s">
        <v>227</v>
      </c>
      <c r="J381" t="s">
        <v>228</v>
      </c>
      <c r="K381" t="s">
        <v>229</v>
      </c>
      <c r="L381" t="s">
        <v>230</v>
      </c>
      <c r="M381" s="7">
        <v>83720</v>
      </c>
      <c r="N381" t="s">
        <v>86</v>
      </c>
    </row>
    <row r="382" spans="1:14" x14ac:dyDescent="0.2">
      <c r="A382">
        <v>10628</v>
      </c>
      <c r="B382" t="s">
        <v>93</v>
      </c>
      <c r="C382">
        <v>4</v>
      </c>
      <c r="D382" s="5">
        <v>35654</v>
      </c>
      <c r="E382" s="5">
        <v>35682</v>
      </c>
      <c r="F382" s="5">
        <v>35662</v>
      </c>
      <c r="G382">
        <v>3</v>
      </c>
      <c r="H382" s="6">
        <v>30.36</v>
      </c>
      <c r="I382" t="s">
        <v>94</v>
      </c>
      <c r="J382" t="s">
        <v>422</v>
      </c>
      <c r="K382" t="s">
        <v>96</v>
      </c>
      <c r="L382" t="s">
        <v>18</v>
      </c>
      <c r="M382" s="7">
        <v>67000</v>
      </c>
      <c r="N382" t="s">
        <v>19</v>
      </c>
    </row>
    <row r="383" spans="1:14" x14ac:dyDescent="0.2">
      <c r="A383">
        <v>10629</v>
      </c>
      <c r="B383" t="s">
        <v>189</v>
      </c>
      <c r="C383">
        <v>4</v>
      </c>
      <c r="D383" s="5">
        <v>35654</v>
      </c>
      <c r="E383" s="5">
        <v>35682</v>
      </c>
      <c r="F383" s="5">
        <v>35662</v>
      </c>
      <c r="G383">
        <v>3</v>
      </c>
      <c r="H383" s="6">
        <v>85.46</v>
      </c>
      <c r="I383" t="s">
        <v>190</v>
      </c>
      <c r="J383" t="s">
        <v>427</v>
      </c>
      <c r="K383" t="s">
        <v>192</v>
      </c>
      <c r="L383" t="s">
        <v>18</v>
      </c>
      <c r="M383" s="7">
        <v>41101</v>
      </c>
      <c r="N383" t="s">
        <v>150</v>
      </c>
    </row>
    <row r="384" spans="1:14" x14ac:dyDescent="0.2">
      <c r="A384">
        <v>10630</v>
      </c>
      <c r="B384" t="s">
        <v>222</v>
      </c>
      <c r="C384">
        <v>1</v>
      </c>
      <c r="D384" s="5">
        <v>35655</v>
      </c>
      <c r="E384" s="5">
        <v>35683</v>
      </c>
      <c r="F384" s="5">
        <v>35661</v>
      </c>
      <c r="G384">
        <v>2</v>
      </c>
      <c r="H384" s="6">
        <v>32.35</v>
      </c>
      <c r="I384" t="s">
        <v>223</v>
      </c>
      <c r="J384" t="s">
        <v>224</v>
      </c>
      <c r="K384" t="s">
        <v>225</v>
      </c>
      <c r="L384" t="s">
        <v>18</v>
      </c>
      <c r="M384" s="7">
        <v>14776</v>
      </c>
      <c r="N384" t="s">
        <v>24</v>
      </c>
    </row>
    <row r="385" spans="1:14" x14ac:dyDescent="0.2">
      <c r="A385">
        <v>10631</v>
      </c>
      <c r="B385" t="s">
        <v>262</v>
      </c>
      <c r="C385">
        <v>8</v>
      </c>
      <c r="D385" s="5">
        <v>35656</v>
      </c>
      <c r="E385" s="5">
        <v>35684</v>
      </c>
      <c r="F385" s="5">
        <v>35657</v>
      </c>
      <c r="G385">
        <v>1</v>
      </c>
      <c r="H385" s="6">
        <v>0.87</v>
      </c>
      <c r="I385" t="s">
        <v>263</v>
      </c>
      <c r="J385" t="s">
        <v>264</v>
      </c>
      <c r="K385" t="s">
        <v>265</v>
      </c>
      <c r="L385" t="s">
        <v>18</v>
      </c>
      <c r="M385" s="7">
        <v>31000</v>
      </c>
      <c r="N385" t="s">
        <v>19</v>
      </c>
    </row>
    <row r="386" spans="1:14" x14ac:dyDescent="0.2">
      <c r="A386">
        <v>10632</v>
      </c>
      <c r="B386" t="s">
        <v>185</v>
      </c>
      <c r="C386">
        <v>8</v>
      </c>
      <c r="D386" s="5">
        <v>35656</v>
      </c>
      <c r="E386" s="5">
        <v>35684</v>
      </c>
      <c r="F386" s="5">
        <v>35661</v>
      </c>
      <c r="G386">
        <v>1</v>
      </c>
      <c r="H386" s="6">
        <v>41.38</v>
      </c>
      <c r="I386" t="s">
        <v>186</v>
      </c>
      <c r="J386" t="s">
        <v>187</v>
      </c>
      <c r="K386" t="s">
        <v>188</v>
      </c>
      <c r="L386" t="s">
        <v>18</v>
      </c>
      <c r="M386" s="7">
        <v>70563</v>
      </c>
      <c r="N386" t="s">
        <v>24</v>
      </c>
    </row>
    <row r="387" spans="1:14" x14ac:dyDescent="0.2">
      <c r="A387">
        <v>10633</v>
      </c>
      <c r="B387" t="s">
        <v>63</v>
      </c>
      <c r="C387">
        <v>7</v>
      </c>
      <c r="D387" s="5">
        <v>35657</v>
      </c>
      <c r="E387" s="5">
        <v>35685</v>
      </c>
      <c r="F387" s="5">
        <v>35660</v>
      </c>
      <c r="G387">
        <v>3</v>
      </c>
      <c r="H387" s="6">
        <v>477.9</v>
      </c>
      <c r="I387" t="s">
        <v>64</v>
      </c>
      <c r="J387" t="s">
        <v>65</v>
      </c>
      <c r="K387" t="s">
        <v>66</v>
      </c>
      <c r="L387" t="s">
        <v>18</v>
      </c>
      <c r="M387" s="7">
        <v>8010</v>
      </c>
      <c r="N387" t="s">
        <v>67</v>
      </c>
    </row>
    <row r="388" spans="1:14" x14ac:dyDescent="0.2">
      <c r="A388">
        <v>10634</v>
      </c>
      <c r="B388" t="s">
        <v>329</v>
      </c>
      <c r="C388">
        <v>4</v>
      </c>
      <c r="D388" s="5">
        <v>35657</v>
      </c>
      <c r="E388" s="5">
        <v>35685</v>
      </c>
      <c r="F388" s="5">
        <v>35663</v>
      </c>
      <c r="G388">
        <v>3</v>
      </c>
      <c r="H388" s="6">
        <v>487.38</v>
      </c>
      <c r="I388" t="s">
        <v>330</v>
      </c>
      <c r="J388" t="s">
        <v>434</v>
      </c>
      <c r="K388" t="s">
        <v>332</v>
      </c>
      <c r="L388" t="s">
        <v>18</v>
      </c>
      <c r="M388" s="7">
        <v>59000</v>
      </c>
      <c r="N388" t="s">
        <v>19</v>
      </c>
    </row>
    <row r="389" spans="1:14" x14ac:dyDescent="0.2">
      <c r="A389">
        <v>10635</v>
      </c>
      <c r="B389" t="s">
        <v>125</v>
      </c>
      <c r="C389">
        <v>8</v>
      </c>
      <c r="D389" s="5">
        <v>35660</v>
      </c>
      <c r="E389" s="5">
        <v>35688</v>
      </c>
      <c r="F389" s="5">
        <v>35663</v>
      </c>
      <c r="G389">
        <v>3</v>
      </c>
      <c r="H389" s="6">
        <v>47.46</v>
      </c>
      <c r="I389" t="s">
        <v>126</v>
      </c>
      <c r="J389" t="s">
        <v>127</v>
      </c>
      <c r="K389" t="s">
        <v>128</v>
      </c>
      <c r="L389" t="s">
        <v>18</v>
      </c>
      <c r="M389" s="7">
        <v>24100</v>
      </c>
      <c r="N389" t="s">
        <v>129</v>
      </c>
    </row>
    <row r="390" spans="1:14" x14ac:dyDescent="0.2">
      <c r="A390">
        <v>10636</v>
      </c>
      <c r="B390" t="s">
        <v>97</v>
      </c>
      <c r="C390">
        <v>4</v>
      </c>
      <c r="D390" s="5">
        <v>35661</v>
      </c>
      <c r="E390" s="5">
        <v>35689</v>
      </c>
      <c r="F390" s="5">
        <v>35668</v>
      </c>
      <c r="G390">
        <v>1</v>
      </c>
      <c r="H390" s="6">
        <v>1.1499999999999999</v>
      </c>
      <c r="I390" t="s">
        <v>98</v>
      </c>
      <c r="J390" t="s">
        <v>99</v>
      </c>
      <c r="K390" t="s">
        <v>100</v>
      </c>
      <c r="L390" t="s">
        <v>18</v>
      </c>
      <c r="M390" s="7">
        <v>90110</v>
      </c>
      <c r="N390" t="s">
        <v>101</v>
      </c>
    </row>
    <row r="391" spans="1:14" x14ac:dyDescent="0.2">
      <c r="A391">
        <v>10637</v>
      </c>
      <c r="B391" t="s">
        <v>299</v>
      </c>
      <c r="C391">
        <v>6</v>
      </c>
      <c r="D391" s="5">
        <v>35661</v>
      </c>
      <c r="E391" s="5">
        <v>35689</v>
      </c>
      <c r="F391" s="5">
        <v>35668</v>
      </c>
      <c r="G391">
        <v>1</v>
      </c>
      <c r="H391" s="6">
        <v>201.29</v>
      </c>
      <c r="I391" t="s">
        <v>300</v>
      </c>
      <c r="J391" t="s">
        <v>433</v>
      </c>
      <c r="K391" t="s">
        <v>173</v>
      </c>
      <c r="L391" t="s">
        <v>55</v>
      </c>
      <c r="M391" s="7" t="s">
        <v>302</v>
      </c>
      <c r="N391" t="s">
        <v>31</v>
      </c>
    </row>
    <row r="392" spans="1:14" x14ac:dyDescent="0.2">
      <c r="A392">
        <v>10638</v>
      </c>
      <c r="B392" t="s">
        <v>324</v>
      </c>
      <c r="C392">
        <v>3</v>
      </c>
      <c r="D392" s="5">
        <v>35662</v>
      </c>
      <c r="E392" s="5">
        <v>35690</v>
      </c>
      <c r="F392" s="5">
        <v>35674</v>
      </c>
      <c r="G392">
        <v>1</v>
      </c>
      <c r="H392" s="6">
        <v>158.44</v>
      </c>
      <c r="I392" t="s">
        <v>325</v>
      </c>
      <c r="J392" t="s">
        <v>326</v>
      </c>
      <c r="K392" t="s">
        <v>327</v>
      </c>
      <c r="L392" t="s">
        <v>328</v>
      </c>
      <c r="M392" s="7">
        <v>4980</v>
      </c>
      <c r="N392" t="s">
        <v>62</v>
      </c>
    </row>
    <row r="393" spans="1:14" x14ac:dyDescent="0.2">
      <c r="A393">
        <v>10639</v>
      </c>
      <c r="B393" t="s">
        <v>313</v>
      </c>
      <c r="C393">
        <v>7</v>
      </c>
      <c r="D393" s="5">
        <v>35662</v>
      </c>
      <c r="E393" s="5">
        <v>35690</v>
      </c>
      <c r="F393" s="5">
        <v>35669</v>
      </c>
      <c r="G393">
        <v>3</v>
      </c>
      <c r="H393" s="6">
        <v>38.64</v>
      </c>
      <c r="I393" t="s">
        <v>314</v>
      </c>
      <c r="J393" t="s">
        <v>315</v>
      </c>
      <c r="K393" t="s">
        <v>316</v>
      </c>
      <c r="L393" t="s">
        <v>18</v>
      </c>
      <c r="M393" s="7">
        <v>4110</v>
      </c>
      <c r="N393" t="s">
        <v>317</v>
      </c>
    </row>
    <row r="394" spans="1:14" x14ac:dyDescent="0.2">
      <c r="A394">
        <v>10640</v>
      </c>
      <c r="B394" t="s">
        <v>185</v>
      </c>
      <c r="C394">
        <v>4</v>
      </c>
      <c r="D394" s="5">
        <v>35663</v>
      </c>
      <c r="E394" s="5">
        <v>35691</v>
      </c>
      <c r="F394" s="5">
        <v>35670</v>
      </c>
      <c r="G394">
        <v>1</v>
      </c>
      <c r="H394" s="6">
        <v>23.55</v>
      </c>
      <c r="I394" t="s">
        <v>186</v>
      </c>
      <c r="J394" t="s">
        <v>187</v>
      </c>
      <c r="K394" t="s">
        <v>188</v>
      </c>
      <c r="L394" t="s">
        <v>18</v>
      </c>
      <c r="M394" s="7">
        <v>70563</v>
      </c>
      <c r="N394" t="s">
        <v>24</v>
      </c>
    </row>
    <row r="395" spans="1:14" x14ac:dyDescent="0.2">
      <c r="A395">
        <v>10641</v>
      </c>
      <c r="B395" t="s">
        <v>57</v>
      </c>
      <c r="C395">
        <v>4</v>
      </c>
      <c r="D395" s="5">
        <v>35664</v>
      </c>
      <c r="E395" s="5">
        <v>35692</v>
      </c>
      <c r="F395" s="5">
        <v>35668</v>
      </c>
      <c r="G395">
        <v>2</v>
      </c>
      <c r="H395" s="6">
        <v>179.61</v>
      </c>
      <c r="I395" t="s">
        <v>58</v>
      </c>
      <c r="J395" t="s">
        <v>59</v>
      </c>
      <c r="K395" t="s">
        <v>60</v>
      </c>
      <c r="L395" t="s">
        <v>61</v>
      </c>
      <c r="M395" s="7">
        <v>5022</v>
      </c>
      <c r="N395" t="s">
        <v>62</v>
      </c>
    </row>
    <row r="396" spans="1:14" x14ac:dyDescent="0.2">
      <c r="A396">
        <v>10642</v>
      </c>
      <c r="B396" t="s">
        <v>253</v>
      </c>
      <c r="C396">
        <v>7</v>
      </c>
      <c r="D396" s="5">
        <v>35664</v>
      </c>
      <c r="E396" s="5">
        <v>35692</v>
      </c>
      <c r="F396" s="5">
        <v>35678</v>
      </c>
      <c r="G396">
        <v>3</v>
      </c>
      <c r="H396" s="6">
        <v>41.89</v>
      </c>
      <c r="I396" t="s">
        <v>254</v>
      </c>
      <c r="J396" t="s">
        <v>255</v>
      </c>
      <c r="K396" t="s">
        <v>256</v>
      </c>
      <c r="L396" t="s">
        <v>18</v>
      </c>
      <c r="M396" s="7">
        <v>1734</v>
      </c>
      <c r="N396" t="s">
        <v>257</v>
      </c>
    </row>
    <row r="397" spans="1:14" x14ac:dyDescent="0.2">
      <c r="A397">
        <v>10643</v>
      </c>
      <c r="B397" t="s">
        <v>401</v>
      </c>
      <c r="C397">
        <v>6</v>
      </c>
      <c r="D397" s="5">
        <v>35667</v>
      </c>
      <c r="E397" s="5">
        <v>35695</v>
      </c>
      <c r="F397" s="5">
        <v>35675</v>
      </c>
      <c r="G397">
        <v>1</v>
      </c>
      <c r="H397" s="6">
        <v>29.46</v>
      </c>
      <c r="I397" t="s">
        <v>402</v>
      </c>
      <c r="J397" t="s">
        <v>403</v>
      </c>
      <c r="K397" t="s">
        <v>404</v>
      </c>
      <c r="L397" t="s">
        <v>18</v>
      </c>
      <c r="M397" s="7">
        <v>12209</v>
      </c>
      <c r="N397" t="s">
        <v>24</v>
      </c>
    </row>
    <row r="398" spans="1:14" x14ac:dyDescent="0.2">
      <c r="A398">
        <v>10644</v>
      </c>
      <c r="B398" t="s">
        <v>51</v>
      </c>
      <c r="C398">
        <v>3</v>
      </c>
      <c r="D398" s="5">
        <v>35667</v>
      </c>
      <c r="E398" s="5">
        <v>35695</v>
      </c>
      <c r="F398" s="5">
        <v>35674</v>
      </c>
      <c r="G398">
        <v>2</v>
      </c>
      <c r="H398" s="6">
        <v>0.14000000000000001</v>
      </c>
      <c r="I398" t="s">
        <v>52</v>
      </c>
      <c r="J398" t="s">
        <v>420</v>
      </c>
      <c r="K398" t="s">
        <v>54</v>
      </c>
      <c r="L398" t="s">
        <v>55</v>
      </c>
      <c r="M398" s="7" t="s">
        <v>56</v>
      </c>
      <c r="N398" t="s">
        <v>31</v>
      </c>
    </row>
    <row r="399" spans="1:14" x14ac:dyDescent="0.2">
      <c r="A399">
        <v>10645</v>
      </c>
      <c r="B399" t="s">
        <v>25</v>
      </c>
      <c r="C399">
        <v>4</v>
      </c>
      <c r="D399" s="5">
        <v>35668</v>
      </c>
      <c r="E399" s="5">
        <v>35696</v>
      </c>
      <c r="F399" s="5">
        <v>35675</v>
      </c>
      <c r="G399">
        <v>1</v>
      </c>
      <c r="H399" s="6">
        <v>12.41</v>
      </c>
      <c r="I399" t="s">
        <v>26</v>
      </c>
      <c r="J399" t="s">
        <v>417</v>
      </c>
      <c r="K399" t="s">
        <v>28</v>
      </c>
      <c r="L399" t="s">
        <v>29</v>
      </c>
      <c r="M399" s="7" t="s">
        <v>30</v>
      </c>
      <c r="N399" t="s">
        <v>31</v>
      </c>
    </row>
    <row r="400" spans="1:14" x14ac:dyDescent="0.2">
      <c r="A400">
        <v>10646</v>
      </c>
      <c r="B400" t="s">
        <v>179</v>
      </c>
      <c r="C400">
        <v>9</v>
      </c>
      <c r="D400" s="5">
        <v>35669</v>
      </c>
      <c r="E400" s="5">
        <v>35711</v>
      </c>
      <c r="F400" s="5">
        <v>35676</v>
      </c>
      <c r="G400">
        <v>3</v>
      </c>
      <c r="H400" s="6">
        <v>142.33000000000001</v>
      </c>
      <c r="I400" t="s">
        <v>180</v>
      </c>
      <c r="J400" t="s">
        <v>181</v>
      </c>
      <c r="K400" t="s">
        <v>182</v>
      </c>
      <c r="L400" t="s">
        <v>183</v>
      </c>
      <c r="M400" s="7" t="s">
        <v>18</v>
      </c>
      <c r="N400" t="s">
        <v>184</v>
      </c>
    </row>
    <row r="401" spans="1:14" x14ac:dyDescent="0.2">
      <c r="A401">
        <v>10647</v>
      </c>
      <c r="B401" t="s">
        <v>77</v>
      </c>
      <c r="C401">
        <v>4</v>
      </c>
      <c r="D401" s="5">
        <v>35669</v>
      </c>
      <c r="E401" s="5">
        <v>35683</v>
      </c>
      <c r="F401" s="5">
        <v>35676</v>
      </c>
      <c r="G401">
        <v>2</v>
      </c>
      <c r="H401" s="6">
        <v>45.54</v>
      </c>
      <c r="I401" t="s">
        <v>78</v>
      </c>
      <c r="J401" t="s">
        <v>421</v>
      </c>
      <c r="K401" t="s">
        <v>28</v>
      </c>
      <c r="L401" t="s">
        <v>29</v>
      </c>
      <c r="M401" s="7" t="s">
        <v>80</v>
      </c>
      <c r="N401" t="s">
        <v>31</v>
      </c>
    </row>
    <row r="402" spans="1:14" x14ac:dyDescent="0.2">
      <c r="A402">
        <v>10648</v>
      </c>
      <c r="B402" t="s">
        <v>156</v>
      </c>
      <c r="C402">
        <v>5</v>
      </c>
      <c r="D402" s="5">
        <v>35670</v>
      </c>
      <c r="E402" s="5">
        <v>35712</v>
      </c>
      <c r="F402" s="5">
        <v>35682</v>
      </c>
      <c r="G402">
        <v>2</v>
      </c>
      <c r="H402" s="6">
        <v>14.25</v>
      </c>
      <c r="I402" t="s">
        <v>157</v>
      </c>
      <c r="J402" t="s">
        <v>424</v>
      </c>
      <c r="K402" t="s">
        <v>28</v>
      </c>
      <c r="L402" t="s">
        <v>29</v>
      </c>
      <c r="M402" s="7" t="s">
        <v>159</v>
      </c>
      <c r="N402" t="s">
        <v>31</v>
      </c>
    </row>
    <row r="403" spans="1:14" x14ac:dyDescent="0.2">
      <c r="A403">
        <v>10649</v>
      </c>
      <c r="B403" t="s">
        <v>378</v>
      </c>
      <c r="C403">
        <v>5</v>
      </c>
      <c r="D403" s="5">
        <v>35670</v>
      </c>
      <c r="E403" s="5">
        <v>35698</v>
      </c>
      <c r="F403" s="5">
        <v>35671</v>
      </c>
      <c r="G403">
        <v>3</v>
      </c>
      <c r="H403" s="6">
        <v>6.2</v>
      </c>
      <c r="I403" t="s">
        <v>379</v>
      </c>
      <c r="J403" t="s">
        <v>380</v>
      </c>
      <c r="K403" t="s">
        <v>381</v>
      </c>
      <c r="L403" t="s">
        <v>18</v>
      </c>
      <c r="M403" s="7" t="s">
        <v>382</v>
      </c>
      <c r="N403" t="s">
        <v>41</v>
      </c>
    </row>
    <row r="404" spans="1:14" x14ac:dyDescent="0.2">
      <c r="A404">
        <v>10650</v>
      </c>
      <c r="B404" t="s">
        <v>258</v>
      </c>
      <c r="C404">
        <v>5</v>
      </c>
      <c r="D404" s="5">
        <v>35671</v>
      </c>
      <c r="E404" s="5">
        <v>35699</v>
      </c>
      <c r="F404" s="5">
        <v>35676</v>
      </c>
      <c r="G404">
        <v>3</v>
      </c>
      <c r="H404" s="6">
        <v>176.81</v>
      </c>
      <c r="I404" t="s">
        <v>259</v>
      </c>
      <c r="J404" t="s">
        <v>431</v>
      </c>
      <c r="K404" t="s">
        <v>173</v>
      </c>
      <c r="L404" t="s">
        <v>55</v>
      </c>
      <c r="M404" s="7" t="s">
        <v>261</v>
      </c>
      <c r="N404" t="s">
        <v>31</v>
      </c>
    </row>
    <row r="405" spans="1:14" x14ac:dyDescent="0.2">
      <c r="A405">
        <v>10651</v>
      </c>
      <c r="B405" t="s">
        <v>185</v>
      </c>
      <c r="C405">
        <v>8</v>
      </c>
      <c r="D405" s="5">
        <v>35674</v>
      </c>
      <c r="E405" s="5">
        <v>35702</v>
      </c>
      <c r="F405" s="5">
        <v>35684</v>
      </c>
      <c r="G405">
        <v>2</v>
      </c>
      <c r="H405" s="6">
        <v>20.6</v>
      </c>
      <c r="I405" t="s">
        <v>186</v>
      </c>
      <c r="J405" t="s">
        <v>187</v>
      </c>
      <c r="K405" t="s">
        <v>188</v>
      </c>
      <c r="L405" t="s">
        <v>18</v>
      </c>
      <c r="M405" s="7">
        <v>70563</v>
      </c>
      <c r="N405" t="s">
        <v>24</v>
      </c>
    </row>
    <row r="406" spans="1:14" x14ac:dyDescent="0.2">
      <c r="A406">
        <v>10652</v>
      </c>
      <c r="B406" t="s">
        <v>342</v>
      </c>
      <c r="C406">
        <v>4</v>
      </c>
      <c r="D406" s="5">
        <v>35674</v>
      </c>
      <c r="E406" s="5">
        <v>35702</v>
      </c>
      <c r="F406" s="5">
        <v>35681</v>
      </c>
      <c r="G406">
        <v>2</v>
      </c>
      <c r="H406" s="6">
        <v>7.14</v>
      </c>
      <c r="I406" t="s">
        <v>343</v>
      </c>
      <c r="J406" t="s">
        <v>435</v>
      </c>
      <c r="K406" t="s">
        <v>345</v>
      </c>
      <c r="L406" t="s">
        <v>55</v>
      </c>
      <c r="M406" s="7" t="s">
        <v>346</v>
      </c>
      <c r="N406" t="s">
        <v>31</v>
      </c>
    </row>
    <row r="407" spans="1:14" x14ac:dyDescent="0.2">
      <c r="A407">
        <v>10653</v>
      </c>
      <c r="B407" t="s">
        <v>102</v>
      </c>
      <c r="C407">
        <v>1</v>
      </c>
      <c r="D407" s="5">
        <v>35675</v>
      </c>
      <c r="E407" s="5">
        <v>35703</v>
      </c>
      <c r="F407" s="5">
        <v>35692</v>
      </c>
      <c r="G407">
        <v>1</v>
      </c>
      <c r="H407" s="6">
        <v>93.25</v>
      </c>
      <c r="I407" t="s">
        <v>103</v>
      </c>
      <c r="J407" t="s">
        <v>104</v>
      </c>
      <c r="K407" t="s">
        <v>105</v>
      </c>
      <c r="L407" t="s">
        <v>18</v>
      </c>
      <c r="M407" s="7">
        <v>80805</v>
      </c>
      <c r="N407" t="s">
        <v>24</v>
      </c>
    </row>
    <row r="408" spans="1:14" x14ac:dyDescent="0.2">
      <c r="A408">
        <v>10654</v>
      </c>
      <c r="B408" t="s">
        <v>137</v>
      </c>
      <c r="C408">
        <v>5</v>
      </c>
      <c r="D408" s="5">
        <v>35675</v>
      </c>
      <c r="E408" s="5">
        <v>35703</v>
      </c>
      <c r="F408" s="5">
        <v>35684</v>
      </c>
      <c r="G408">
        <v>1</v>
      </c>
      <c r="H408" s="6">
        <v>55.26</v>
      </c>
      <c r="I408" t="s">
        <v>138</v>
      </c>
      <c r="J408" t="s">
        <v>139</v>
      </c>
      <c r="K408" t="s">
        <v>140</v>
      </c>
      <c r="L408" t="s">
        <v>18</v>
      </c>
      <c r="M408" s="7" t="s">
        <v>141</v>
      </c>
      <c r="N408" t="s">
        <v>92</v>
      </c>
    </row>
    <row r="409" spans="1:14" x14ac:dyDescent="0.2">
      <c r="A409">
        <v>10655</v>
      </c>
      <c r="B409" t="s">
        <v>160</v>
      </c>
      <c r="C409">
        <v>1</v>
      </c>
      <c r="D409" s="5">
        <v>35676</v>
      </c>
      <c r="E409" s="5">
        <v>35704</v>
      </c>
      <c r="F409" s="5">
        <v>35684</v>
      </c>
      <c r="G409">
        <v>2</v>
      </c>
      <c r="H409" s="6">
        <v>4.41</v>
      </c>
      <c r="I409" t="s">
        <v>161</v>
      </c>
      <c r="J409" t="s">
        <v>162</v>
      </c>
      <c r="K409" t="s">
        <v>163</v>
      </c>
      <c r="L409" t="s">
        <v>18</v>
      </c>
      <c r="M409" s="7">
        <v>42100</v>
      </c>
      <c r="N409" t="s">
        <v>129</v>
      </c>
    </row>
    <row r="410" spans="1:14" x14ac:dyDescent="0.2">
      <c r="A410">
        <v>10656</v>
      </c>
      <c r="B410" t="s">
        <v>374</v>
      </c>
      <c r="C410">
        <v>6</v>
      </c>
      <c r="D410" s="5">
        <v>35677</v>
      </c>
      <c r="E410" s="5">
        <v>35705</v>
      </c>
      <c r="F410" s="5">
        <v>35683</v>
      </c>
      <c r="G410">
        <v>1</v>
      </c>
      <c r="H410" s="6">
        <v>57.15</v>
      </c>
      <c r="I410" t="s">
        <v>375</v>
      </c>
      <c r="J410" t="s">
        <v>376</v>
      </c>
      <c r="K410" t="s">
        <v>377</v>
      </c>
      <c r="L410" t="s">
        <v>202</v>
      </c>
      <c r="M410" s="7">
        <v>97403</v>
      </c>
      <c r="N410" t="s">
        <v>86</v>
      </c>
    </row>
    <row r="411" spans="1:14" x14ac:dyDescent="0.2">
      <c r="A411">
        <v>10657</v>
      </c>
      <c r="B411" t="s">
        <v>226</v>
      </c>
      <c r="C411">
        <v>2</v>
      </c>
      <c r="D411" s="5">
        <v>35677</v>
      </c>
      <c r="E411" s="5">
        <v>35705</v>
      </c>
      <c r="F411" s="5">
        <v>35688</v>
      </c>
      <c r="G411">
        <v>2</v>
      </c>
      <c r="H411" s="6">
        <v>352.69</v>
      </c>
      <c r="I411" t="s">
        <v>227</v>
      </c>
      <c r="J411" t="s">
        <v>228</v>
      </c>
      <c r="K411" t="s">
        <v>229</v>
      </c>
      <c r="L411" t="s">
        <v>230</v>
      </c>
      <c r="M411" s="7">
        <v>83720</v>
      </c>
      <c r="N411" t="s">
        <v>86</v>
      </c>
    </row>
    <row r="412" spans="1:14" x14ac:dyDescent="0.2">
      <c r="A412">
        <v>10658</v>
      </c>
      <c r="B412" t="s">
        <v>121</v>
      </c>
      <c r="C412">
        <v>4</v>
      </c>
      <c r="D412" s="5">
        <v>35678</v>
      </c>
      <c r="E412" s="5">
        <v>35706</v>
      </c>
      <c r="F412" s="5">
        <v>35681</v>
      </c>
      <c r="G412">
        <v>1</v>
      </c>
      <c r="H412" s="6">
        <v>364.15</v>
      </c>
      <c r="I412" t="s">
        <v>122</v>
      </c>
      <c r="J412" t="s">
        <v>123</v>
      </c>
      <c r="K412" t="s">
        <v>124</v>
      </c>
      <c r="L412" t="s">
        <v>18</v>
      </c>
      <c r="M412" s="7">
        <v>1307</v>
      </c>
      <c r="N412" t="s">
        <v>24</v>
      </c>
    </row>
    <row r="413" spans="1:14" x14ac:dyDescent="0.2">
      <c r="A413">
        <v>10659</v>
      </c>
      <c r="B413" t="s">
        <v>299</v>
      </c>
      <c r="C413">
        <v>7</v>
      </c>
      <c r="D413" s="5">
        <v>35678</v>
      </c>
      <c r="E413" s="5">
        <v>35706</v>
      </c>
      <c r="F413" s="5">
        <v>35683</v>
      </c>
      <c r="G413">
        <v>2</v>
      </c>
      <c r="H413" s="6">
        <v>105.81</v>
      </c>
      <c r="I413" t="s">
        <v>300</v>
      </c>
      <c r="J413" t="s">
        <v>433</v>
      </c>
      <c r="K413" t="s">
        <v>173</v>
      </c>
      <c r="L413" t="s">
        <v>55</v>
      </c>
      <c r="M413" s="7" t="s">
        <v>302</v>
      </c>
      <c r="N413" t="s">
        <v>31</v>
      </c>
    </row>
    <row r="414" spans="1:14" x14ac:dyDescent="0.2">
      <c r="A414">
        <v>10660</v>
      </c>
      <c r="B414" t="s">
        <v>309</v>
      </c>
      <c r="C414">
        <v>8</v>
      </c>
      <c r="D414" s="5">
        <v>35681</v>
      </c>
      <c r="E414" s="5">
        <v>35709</v>
      </c>
      <c r="F414" s="5">
        <v>35718</v>
      </c>
      <c r="G414">
        <v>1</v>
      </c>
      <c r="H414" s="6">
        <v>111.29</v>
      </c>
      <c r="I414" t="s">
        <v>310</v>
      </c>
      <c r="J414" t="s">
        <v>311</v>
      </c>
      <c r="K414" t="s">
        <v>312</v>
      </c>
      <c r="L414" t="s">
        <v>202</v>
      </c>
      <c r="M414" s="7">
        <v>97827</v>
      </c>
      <c r="N414" t="s">
        <v>86</v>
      </c>
    </row>
    <row r="415" spans="1:14" x14ac:dyDescent="0.2">
      <c r="A415">
        <v>10661</v>
      </c>
      <c r="B415" t="s">
        <v>179</v>
      </c>
      <c r="C415">
        <v>7</v>
      </c>
      <c r="D415" s="5">
        <v>35682</v>
      </c>
      <c r="E415" s="5">
        <v>35710</v>
      </c>
      <c r="F415" s="5">
        <v>35688</v>
      </c>
      <c r="G415">
        <v>3</v>
      </c>
      <c r="H415" s="6">
        <v>17.55</v>
      </c>
      <c r="I415" t="s">
        <v>180</v>
      </c>
      <c r="J415" t="s">
        <v>181</v>
      </c>
      <c r="K415" t="s">
        <v>182</v>
      </c>
      <c r="L415" t="s">
        <v>183</v>
      </c>
      <c r="M415" s="7" t="s">
        <v>18</v>
      </c>
      <c r="N415" t="s">
        <v>184</v>
      </c>
    </row>
    <row r="416" spans="1:14" x14ac:dyDescent="0.2">
      <c r="A416">
        <v>10662</v>
      </c>
      <c r="B416" t="s">
        <v>198</v>
      </c>
      <c r="C416">
        <v>3</v>
      </c>
      <c r="D416" s="5">
        <v>35682</v>
      </c>
      <c r="E416" s="5">
        <v>35710</v>
      </c>
      <c r="F416" s="5">
        <v>35691</v>
      </c>
      <c r="G416">
        <v>2</v>
      </c>
      <c r="H416" s="6">
        <v>1.28</v>
      </c>
      <c r="I416" t="s">
        <v>199</v>
      </c>
      <c r="J416" t="s">
        <v>200</v>
      </c>
      <c r="K416" t="s">
        <v>201</v>
      </c>
      <c r="L416" t="s">
        <v>202</v>
      </c>
      <c r="M416" s="7">
        <v>97219</v>
      </c>
      <c r="N416" t="s">
        <v>86</v>
      </c>
    </row>
    <row r="417" spans="1:14" x14ac:dyDescent="0.2">
      <c r="A417">
        <v>10663</v>
      </c>
      <c r="B417" t="s">
        <v>239</v>
      </c>
      <c r="C417">
        <v>2</v>
      </c>
      <c r="D417" s="5">
        <v>35683</v>
      </c>
      <c r="E417" s="5">
        <v>35697</v>
      </c>
      <c r="F417" s="5">
        <v>35706</v>
      </c>
      <c r="G417">
        <v>2</v>
      </c>
      <c r="H417" s="6">
        <v>113.15</v>
      </c>
      <c r="I417" t="s">
        <v>240</v>
      </c>
      <c r="J417" t="s">
        <v>430</v>
      </c>
      <c r="K417" t="s">
        <v>242</v>
      </c>
      <c r="L417" t="s">
        <v>18</v>
      </c>
      <c r="M417" s="7">
        <v>13008</v>
      </c>
      <c r="N417" t="s">
        <v>19</v>
      </c>
    </row>
    <row r="418" spans="1:14" x14ac:dyDescent="0.2">
      <c r="A418">
        <v>10664</v>
      </c>
      <c r="B418" t="s">
        <v>234</v>
      </c>
      <c r="C418">
        <v>1</v>
      </c>
      <c r="D418" s="5">
        <v>35683</v>
      </c>
      <c r="E418" s="5">
        <v>35711</v>
      </c>
      <c r="F418" s="5">
        <v>35692</v>
      </c>
      <c r="G418">
        <v>3</v>
      </c>
      <c r="H418" s="6">
        <v>1.27</v>
      </c>
      <c r="I418" t="s">
        <v>235</v>
      </c>
      <c r="J418" t="s">
        <v>236</v>
      </c>
      <c r="K418" t="s">
        <v>237</v>
      </c>
      <c r="L418" t="s">
        <v>18</v>
      </c>
      <c r="M418" s="7">
        <v>1675</v>
      </c>
      <c r="N418" t="s">
        <v>238</v>
      </c>
    </row>
    <row r="419" spans="1:14" x14ac:dyDescent="0.2">
      <c r="A419">
        <v>10665</v>
      </c>
      <c r="B419" t="s">
        <v>198</v>
      </c>
      <c r="C419">
        <v>1</v>
      </c>
      <c r="D419" s="5">
        <v>35684</v>
      </c>
      <c r="E419" s="5">
        <v>35712</v>
      </c>
      <c r="F419" s="5">
        <v>35690</v>
      </c>
      <c r="G419">
        <v>2</v>
      </c>
      <c r="H419" s="6">
        <v>26.31</v>
      </c>
      <c r="I419" t="s">
        <v>199</v>
      </c>
      <c r="J419" t="s">
        <v>200</v>
      </c>
      <c r="K419" t="s">
        <v>201</v>
      </c>
      <c r="L419" t="s">
        <v>202</v>
      </c>
      <c r="M419" s="7">
        <v>97219</v>
      </c>
      <c r="N419" t="s">
        <v>86</v>
      </c>
    </row>
    <row r="420" spans="1:14" x14ac:dyDescent="0.2">
      <c r="A420">
        <v>10666</v>
      </c>
      <c r="B420" t="s">
        <v>47</v>
      </c>
      <c r="C420">
        <v>7</v>
      </c>
      <c r="D420" s="5">
        <v>35685</v>
      </c>
      <c r="E420" s="5">
        <v>35713</v>
      </c>
      <c r="F420" s="5">
        <v>35695</v>
      </c>
      <c r="G420">
        <v>2</v>
      </c>
      <c r="H420" s="6">
        <v>232.42</v>
      </c>
      <c r="I420" t="s">
        <v>48</v>
      </c>
      <c r="J420" t="s">
        <v>49</v>
      </c>
      <c r="K420" t="s">
        <v>50</v>
      </c>
      <c r="L420" t="s">
        <v>18</v>
      </c>
      <c r="M420" s="7">
        <v>1204</v>
      </c>
      <c r="N420" t="s">
        <v>46</v>
      </c>
    </row>
    <row r="421" spans="1:14" x14ac:dyDescent="0.2">
      <c r="A421">
        <v>10667</v>
      </c>
      <c r="B421" t="s">
        <v>63</v>
      </c>
      <c r="C421">
        <v>7</v>
      </c>
      <c r="D421" s="5">
        <v>35685</v>
      </c>
      <c r="E421" s="5">
        <v>35713</v>
      </c>
      <c r="F421" s="5">
        <v>35692</v>
      </c>
      <c r="G421">
        <v>1</v>
      </c>
      <c r="H421" s="6">
        <v>78.09</v>
      </c>
      <c r="I421" t="s">
        <v>64</v>
      </c>
      <c r="J421" t="s">
        <v>65</v>
      </c>
      <c r="K421" t="s">
        <v>66</v>
      </c>
      <c r="L421" t="s">
        <v>18</v>
      </c>
      <c r="M421" s="7">
        <v>8010</v>
      </c>
      <c r="N421" t="s">
        <v>67</v>
      </c>
    </row>
    <row r="422" spans="1:14" x14ac:dyDescent="0.2">
      <c r="A422">
        <v>10668</v>
      </c>
      <c r="B422" t="s">
        <v>185</v>
      </c>
      <c r="C422">
        <v>1</v>
      </c>
      <c r="D422" s="5">
        <v>35688</v>
      </c>
      <c r="E422" s="5">
        <v>35716</v>
      </c>
      <c r="F422" s="5">
        <v>35696</v>
      </c>
      <c r="G422">
        <v>2</v>
      </c>
      <c r="H422" s="6">
        <v>47.22</v>
      </c>
      <c r="I422" t="s">
        <v>186</v>
      </c>
      <c r="J422" t="s">
        <v>187</v>
      </c>
      <c r="K422" t="s">
        <v>188</v>
      </c>
      <c r="L422" t="s">
        <v>18</v>
      </c>
      <c r="M422" s="7">
        <v>70563</v>
      </c>
      <c r="N422" t="s">
        <v>24</v>
      </c>
    </row>
    <row r="423" spans="1:14" x14ac:dyDescent="0.2">
      <c r="A423">
        <v>10669</v>
      </c>
      <c r="B423" t="s">
        <v>253</v>
      </c>
      <c r="C423">
        <v>2</v>
      </c>
      <c r="D423" s="5">
        <v>35688</v>
      </c>
      <c r="E423" s="5">
        <v>35716</v>
      </c>
      <c r="F423" s="5">
        <v>35695</v>
      </c>
      <c r="G423">
        <v>1</v>
      </c>
      <c r="H423" s="6">
        <v>24.39</v>
      </c>
      <c r="I423" t="s">
        <v>254</v>
      </c>
      <c r="J423" t="s">
        <v>255</v>
      </c>
      <c r="K423" t="s">
        <v>256</v>
      </c>
      <c r="L423" t="s">
        <v>18</v>
      </c>
      <c r="M423" s="7">
        <v>1734</v>
      </c>
      <c r="N423" t="s">
        <v>257</v>
      </c>
    </row>
    <row r="424" spans="1:14" x14ac:dyDescent="0.2">
      <c r="A424">
        <v>10670</v>
      </c>
      <c r="B424" t="s">
        <v>102</v>
      </c>
      <c r="C424">
        <v>4</v>
      </c>
      <c r="D424" s="5">
        <v>35689</v>
      </c>
      <c r="E424" s="5">
        <v>35717</v>
      </c>
      <c r="F424" s="5">
        <v>35691</v>
      </c>
      <c r="G424">
        <v>1</v>
      </c>
      <c r="H424" s="6">
        <v>203.48</v>
      </c>
      <c r="I424" t="s">
        <v>103</v>
      </c>
      <c r="J424" t="s">
        <v>104</v>
      </c>
      <c r="K424" t="s">
        <v>105</v>
      </c>
      <c r="L424" t="s">
        <v>18</v>
      </c>
      <c r="M424" s="7">
        <v>80805</v>
      </c>
      <c r="N424" t="s">
        <v>24</v>
      </c>
    </row>
    <row r="425" spans="1:14" x14ac:dyDescent="0.2">
      <c r="A425">
        <v>10671</v>
      </c>
      <c r="B425" t="s">
        <v>405</v>
      </c>
      <c r="C425">
        <v>1</v>
      </c>
      <c r="D425" s="5">
        <v>35690</v>
      </c>
      <c r="E425" s="5">
        <v>35718</v>
      </c>
      <c r="F425" s="5">
        <v>35697</v>
      </c>
      <c r="G425">
        <v>1</v>
      </c>
      <c r="H425" s="6">
        <v>30.34</v>
      </c>
      <c r="I425" t="s">
        <v>406</v>
      </c>
      <c r="J425" t="s">
        <v>436</v>
      </c>
      <c r="K425" t="s">
        <v>212</v>
      </c>
      <c r="L425" t="s">
        <v>18</v>
      </c>
      <c r="M425" s="7">
        <v>44000</v>
      </c>
      <c r="N425" t="s">
        <v>19</v>
      </c>
    </row>
    <row r="426" spans="1:14" x14ac:dyDescent="0.2">
      <c r="A426">
        <v>10672</v>
      </c>
      <c r="B426" t="s">
        <v>137</v>
      </c>
      <c r="C426">
        <v>9</v>
      </c>
      <c r="D426" s="5">
        <v>35690</v>
      </c>
      <c r="E426" s="5">
        <v>35704</v>
      </c>
      <c r="F426" s="5">
        <v>35699</v>
      </c>
      <c r="G426">
        <v>2</v>
      </c>
      <c r="H426" s="6">
        <v>95.75</v>
      </c>
      <c r="I426" t="s">
        <v>138</v>
      </c>
      <c r="J426" t="s">
        <v>139</v>
      </c>
      <c r="K426" t="s">
        <v>140</v>
      </c>
      <c r="L426" t="s">
        <v>18</v>
      </c>
      <c r="M426" s="7" t="s">
        <v>141</v>
      </c>
      <c r="N426" t="s">
        <v>92</v>
      </c>
    </row>
    <row r="427" spans="1:14" x14ac:dyDescent="0.2">
      <c r="A427">
        <v>10673</v>
      </c>
      <c r="B427" t="s">
        <v>392</v>
      </c>
      <c r="C427">
        <v>2</v>
      </c>
      <c r="D427" s="5">
        <v>35691</v>
      </c>
      <c r="E427" s="5">
        <v>35719</v>
      </c>
      <c r="F427" s="5">
        <v>35692</v>
      </c>
      <c r="G427">
        <v>1</v>
      </c>
      <c r="H427" s="6">
        <v>22.76</v>
      </c>
      <c r="I427" t="s">
        <v>393</v>
      </c>
      <c r="J427" t="s">
        <v>394</v>
      </c>
      <c r="K427" t="s">
        <v>395</v>
      </c>
      <c r="L427" t="s">
        <v>18</v>
      </c>
      <c r="M427" s="7">
        <v>21240</v>
      </c>
      <c r="N427" t="s">
        <v>101</v>
      </c>
    </row>
    <row r="428" spans="1:14" x14ac:dyDescent="0.2">
      <c r="A428">
        <v>10674</v>
      </c>
      <c r="B428" t="s">
        <v>213</v>
      </c>
      <c r="C428">
        <v>4</v>
      </c>
      <c r="D428" s="5">
        <v>35691</v>
      </c>
      <c r="E428" s="5">
        <v>35719</v>
      </c>
      <c r="F428" s="5">
        <v>35703</v>
      </c>
      <c r="G428">
        <v>2</v>
      </c>
      <c r="H428" s="6">
        <v>0.9</v>
      </c>
      <c r="I428" t="s">
        <v>214</v>
      </c>
      <c r="J428" t="s">
        <v>215</v>
      </c>
      <c r="K428" t="s">
        <v>216</v>
      </c>
      <c r="L428" t="s">
        <v>217</v>
      </c>
      <c r="M428" s="7" t="s">
        <v>218</v>
      </c>
      <c r="N428" t="s">
        <v>169</v>
      </c>
    </row>
    <row r="429" spans="1:14" x14ac:dyDescent="0.2">
      <c r="A429">
        <v>10675</v>
      </c>
      <c r="B429" t="s">
        <v>102</v>
      </c>
      <c r="C429">
        <v>5</v>
      </c>
      <c r="D429" s="5">
        <v>35692</v>
      </c>
      <c r="E429" s="5">
        <v>35720</v>
      </c>
      <c r="F429" s="5">
        <v>35696</v>
      </c>
      <c r="G429">
        <v>2</v>
      </c>
      <c r="H429" s="6">
        <v>31.85</v>
      </c>
      <c r="I429" t="s">
        <v>103</v>
      </c>
      <c r="J429" t="s">
        <v>104</v>
      </c>
      <c r="K429" t="s">
        <v>105</v>
      </c>
      <c r="L429" t="s">
        <v>18</v>
      </c>
      <c r="M429" s="7">
        <v>80805</v>
      </c>
      <c r="N429" t="s">
        <v>24</v>
      </c>
    </row>
    <row r="430" spans="1:14" x14ac:dyDescent="0.2">
      <c r="A430">
        <v>10676</v>
      </c>
      <c r="B430" t="s">
        <v>130</v>
      </c>
      <c r="C430">
        <v>2</v>
      </c>
      <c r="D430" s="5">
        <v>35695</v>
      </c>
      <c r="E430" s="5">
        <v>35723</v>
      </c>
      <c r="F430" s="5">
        <v>35702</v>
      </c>
      <c r="G430">
        <v>2</v>
      </c>
      <c r="H430" s="6">
        <v>2.0099999999999998</v>
      </c>
      <c r="I430" t="s">
        <v>131</v>
      </c>
      <c r="J430" t="s">
        <v>132</v>
      </c>
      <c r="K430" t="s">
        <v>71</v>
      </c>
      <c r="L430" t="s">
        <v>18</v>
      </c>
      <c r="M430" s="7">
        <v>5033</v>
      </c>
      <c r="N430" t="s">
        <v>72</v>
      </c>
    </row>
    <row r="431" spans="1:14" x14ac:dyDescent="0.2">
      <c r="A431">
        <v>10677</v>
      </c>
      <c r="B431" t="s">
        <v>288</v>
      </c>
      <c r="C431">
        <v>1</v>
      </c>
      <c r="D431" s="5">
        <v>35695</v>
      </c>
      <c r="E431" s="5">
        <v>35723</v>
      </c>
      <c r="F431" s="5">
        <v>35699</v>
      </c>
      <c r="G431">
        <v>3</v>
      </c>
      <c r="H431" s="6">
        <v>4.03</v>
      </c>
      <c r="I431" t="s">
        <v>289</v>
      </c>
      <c r="J431" t="s">
        <v>290</v>
      </c>
      <c r="K431" t="s">
        <v>71</v>
      </c>
      <c r="L431" t="s">
        <v>18</v>
      </c>
      <c r="M431" s="7">
        <v>5023</v>
      </c>
      <c r="N431" t="s">
        <v>72</v>
      </c>
    </row>
    <row r="432" spans="1:14" x14ac:dyDescent="0.2">
      <c r="A432">
        <v>10678</v>
      </c>
      <c r="B432" t="s">
        <v>226</v>
      </c>
      <c r="C432">
        <v>7</v>
      </c>
      <c r="D432" s="5">
        <v>35696</v>
      </c>
      <c r="E432" s="5">
        <v>35724</v>
      </c>
      <c r="F432" s="5">
        <v>35719</v>
      </c>
      <c r="G432">
        <v>3</v>
      </c>
      <c r="H432" s="6">
        <v>388.98</v>
      </c>
      <c r="I432" t="s">
        <v>227</v>
      </c>
      <c r="J432" t="s">
        <v>228</v>
      </c>
      <c r="K432" t="s">
        <v>229</v>
      </c>
      <c r="L432" t="s">
        <v>230</v>
      </c>
      <c r="M432" s="7">
        <v>83720</v>
      </c>
      <c r="N432" t="s">
        <v>86</v>
      </c>
    </row>
    <row r="433" spans="1:14" x14ac:dyDescent="0.2">
      <c r="A433">
        <v>10679</v>
      </c>
      <c r="B433" t="s">
        <v>93</v>
      </c>
      <c r="C433">
        <v>8</v>
      </c>
      <c r="D433" s="5">
        <v>35696</v>
      </c>
      <c r="E433" s="5">
        <v>35724</v>
      </c>
      <c r="F433" s="5">
        <v>35703</v>
      </c>
      <c r="G433">
        <v>3</v>
      </c>
      <c r="H433" s="6">
        <v>27.94</v>
      </c>
      <c r="I433" t="s">
        <v>94</v>
      </c>
      <c r="J433" t="s">
        <v>422</v>
      </c>
      <c r="K433" t="s">
        <v>96</v>
      </c>
      <c r="L433" t="s">
        <v>18</v>
      </c>
      <c r="M433" s="7">
        <v>67000</v>
      </c>
      <c r="N433" t="s">
        <v>19</v>
      </c>
    </row>
    <row r="434" spans="1:14" x14ac:dyDescent="0.2">
      <c r="A434">
        <v>10680</v>
      </c>
      <c r="B434" t="s">
        <v>193</v>
      </c>
      <c r="C434">
        <v>1</v>
      </c>
      <c r="D434" s="5">
        <v>35697</v>
      </c>
      <c r="E434" s="5">
        <v>35725</v>
      </c>
      <c r="F434" s="5">
        <v>35699</v>
      </c>
      <c r="G434">
        <v>1</v>
      </c>
      <c r="H434" s="6">
        <v>26.61</v>
      </c>
      <c r="I434" t="s">
        <v>194</v>
      </c>
      <c r="J434" t="s">
        <v>195</v>
      </c>
      <c r="K434" t="s">
        <v>196</v>
      </c>
      <c r="L434" t="s">
        <v>197</v>
      </c>
      <c r="M434" s="7">
        <v>99508</v>
      </c>
      <c r="N434" t="s">
        <v>86</v>
      </c>
    </row>
    <row r="435" spans="1:14" x14ac:dyDescent="0.2">
      <c r="A435">
        <v>10681</v>
      </c>
      <c r="B435" t="s">
        <v>374</v>
      </c>
      <c r="C435">
        <v>3</v>
      </c>
      <c r="D435" s="5">
        <v>35698</v>
      </c>
      <c r="E435" s="5">
        <v>35726</v>
      </c>
      <c r="F435" s="5">
        <v>35703</v>
      </c>
      <c r="G435">
        <v>3</v>
      </c>
      <c r="H435" s="6">
        <v>76.13</v>
      </c>
      <c r="I435" t="s">
        <v>375</v>
      </c>
      <c r="J435" t="s">
        <v>376</v>
      </c>
      <c r="K435" t="s">
        <v>377</v>
      </c>
      <c r="L435" t="s">
        <v>202</v>
      </c>
      <c r="M435" s="7">
        <v>97403</v>
      </c>
      <c r="N435" t="s">
        <v>86</v>
      </c>
    </row>
    <row r="436" spans="1:14" x14ac:dyDescent="0.2">
      <c r="A436">
        <v>10682</v>
      </c>
      <c r="B436" t="s">
        <v>288</v>
      </c>
      <c r="C436">
        <v>3</v>
      </c>
      <c r="D436" s="5">
        <v>35698</v>
      </c>
      <c r="E436" s="5">
        <v>35726</v>
      </c>
      <c r="F436" s="5">
        <v>35704</v>
      </c>
      <c r="G436">
        <v>2</v>
      </c>
      <c r="H436" s="6">
        <v>36.130000000000003</v>
      </c>
      <c r="I436" t="s">
        <v>289</v>
      </c>
      <c r="J436" t="s">
        <v>290</v>
      </c>
      <c r="K436" t="s">
        <v>71</v>
      </c>
      <c r="L436" t="s">
        <v>18</v>
      </c>
      <c r="M436" s="7">
        <v>5023</v>
      </c>
      <c r="N436" t="s">
        <v>72</v>
      </c>
    </row>
    <row r="437" spans="1:14" x14ac:dyDescent="0.2">
      <c r="A437">
        <v>10683</v>
      </c>
      <c r="B437" t="s">
        <v>209</v>
      </c>
      <c r="C437">
        <v>2</v>
      </c>
      <c r="D437" s="5">
        <v>35699</v>
      </c>
      <c r="E437" s="5">
        <v>35727</v>
      </c>
      <c r="F437" s="5">
        <v>35704</v>
      </c>
      <c r="G437">
        <v>1</v>
      </c>
      <c r="H437" s="6">
        <v>4.4000000000000004</v>
      </c>
      <c r="I437" t="s">
        <v>210</v>
      </c>
      <c r="J437" t="s">
        <v>428</v>
      </c>
      <c r="K437" t="s">
        <v>212</v>
      </c>
      <c r="L437" t="s">
        <v>18</v>
      </c>
      <c r="M437" s="7">
        <v>44000</v>
      </c>
      <c r="N437" t="s">
        <v>19</v>
      </c>
    </row>
    <row r="438" spans="1:14" x14ac:dyDescent="0.2">
      <c r="A438">
        <v>10684</v>
      </c>
      <c r="B438" t="s">
        <v>73</v>
      </c>
      <c r="C438">
        <v>3</v>
      </c>
      <c r="D438" s="5">
        <v>35699</v>
      </c>
      <c r="E438" s="5">
        <v>35727</v>
      </c>
      <c r="F438" s="5">
        <v>35703</v>
      </c>
      <c r="G438">
        <v>1</v>
      </c>
      <c r="H438" s="6">
        <v>145.63</v>
      </c>
      <c r="I438" t="s">
        <v>74</v>
      </c>
      <c r="J438" t="s">
        <v>75</v>
      </c>
      <c r="K438" t="s">
        <v>76</v>
      </c>
      <c r="L438" t="s">
        <v>18</v>
      </c>
      <c r="M438" s="7">
        <v>50739</v>
      </c>
      <c r="N438" t="s">
        <v>24</v>
      </c>
    </row>
    <row r="439" spans="1:14" x14ac:dyDescent="0.2">
      <c r="A439">
        <v>10685</v>
      </c>
      <c r="B439" t="s">
        <v>342</v>
      </c>
      <c r="C439">
        <v>4</v>
      </c>
      <c r="D439" s="5">
        <v>35702</v>
      </c>
      <c r="E439" s="5">
        <v>35716</v>
      </c>
      <c r="F439" s="5">
        <v>35706</v>
      </c>
      <c r="G439">
        <v>2</v>
      </c>
      <c r="H439" s="6">
        <v>33.75</v>
      </c>
      <c r="I439" t="s">
        <v>343</v>
      </c>
      <c r="J439" t="s">
        <v>435</v>
      </c>
      <c r="K439" t="s">
        <v>345</v>
      </c>
      <c r="L439" t="s">
        <v>55</v>
      </c>
      <c r="M439" s="7" t="s">
        <v>346</v>
      </c>
      <c r="N439" t="s">
        <v>31</v>
      </c>
    </row>
    <row r="440" spans="1:14" x14ac:dyDescent="0.2">
      <c r="A440">
        <v>10686</v>
      </c>
      <c r="B440" t="s">
        <v>266</v>
      </c>
      <c r="C440">
        <v>2</v>
      </c>
      <c r="D440" s="5">
        <v>35703</v>
      </c>
      <c r="E440" s="5">
        <v>35731</v>
      </c>
      <c r="F440" s="5">
        <v>35711</v>
      </c>
      <c r="G440">
        <v>1</v>
      </c>
      <c r="H440" s="6">
        <v>96.5</v>
      </c>
      <c r="I440" t="s">
        <v>267</v>
      </c>
      <c r="J440" t="s">
        <v>268</v>
      </c>
      <c r="K440" t="s">
        <v>269</v>
      </c>
      <c r="L440" t="s">
        <v>18</v>
      </c>
      <c r="M440" s="7">
        <v>5020</v>
      </c>
      <c r="N440" t="s">
        <v>67</v>
      </c>
    </row>
    <row r="441" spans="1:14" x14ac:dyDescent="0.2">
      <c r="A441">
        <v>10687</v>
      </c>
      <c r="B441" t="s">
        <v>179</v>
      </c>
      <c r="C441">
        <v>9</v>
      </c>
      <c r="D441" s="5">
        <v>35703</v>
      </c>
      <c r="E441" s="5">
        <v>35731</v>
      </c>
      <c r="F441" s="5">
        <v>35733</v>
      </c>
      <c r="G441">
        <v>2</v>
      </c>
      <c r="H441" s="6">
        <v>296.43</v>
      </c>
      <c r="I441" t="s">
        <v>180</v>
      </c>
      <c r="J441" t="s">
        <v>181</v>
      </c>
      <c r="K441" t="s">
        <v>182</v>
      </c>
      <c r="L441" t="s">
        <v>183</v>
      </c>
      <c r="M441" s="7" t="s">
        <v>18</v>
      </c>
      <c r="N441" t="s">
        <v>184</v>
      </c>
    </row>
    <row r="442" spans="1:14" x14ac:dyDescent="0.2">
      <c r="A442">
        <v>10688</v>
      </c>
      <c r="B442" t="s">
        <v>295</v>
      </c>
      <c r="C442">
        <v>4</v>
      </c>
      <c r="D442" s="5">
        <v>35704</v>
      </c>
      <c r="E442" s="5">
        <v>35718</v>
      </c>
      <c r="F442" s="5">
        <v>35710</v>
      </c>
      <c r="G442">
        <v>2</v>
      </c>
      <c r="H442" s="6">
        <v>299.08999999999997</v>
      </c>
      <c r="I442" t="s">
        <v>296</v>
      </c>
      <c r="J442" t="s">
        <v>297</v>
      </c>
      <c r="K442" t="s">
        <v>298</v>
      </c>
      <c r="L442" t="s">
        <v>18</v>
      </c>
      <c r="M442" s="7">
        <v>8200</v>
      </c>
      <c r="N442" t="s">
        <v>257</v>
      </c>
    </row>
    <row r="443" spans="1:14" x14ac:dyDescent="0.2">
      <c r="A443">
        <v>10689</v>
      </c>
      <c r="B443" t="s">
        <v>137</v>
      </c>
      <c r="C443">
        <v>1</v>
      </c>
      <c r="D443" s="5">
        <v>35704</v>
      </c>
      <c r="E443" s="5">
        <v>35732</v>
      </c>
      <c r="F443" s="5">
        <v>35710</v>
      </c>
      <c r="G443">
        <v>2</v>
      </c>
      <c r="H443" s="6">
        <v>13.42</v>
      </c>
      <c r="I443" t="s">
        <v>138</v>
      </c>
      <c r="J443" t="s">
        <v>139</v>
      </c>
      <c r="K443" t="s">
        <v>140</v>
      </c>
      <c r="L443" t="s">
        <v>18</v>
      </c>
      <c r="M443" s="7" t="s">
        <v>141</v>
      </c>
      <c r="N443" t="s">
        <v>92</v>
      </c>
    </row>
    <row r="444" spans="1:14" x14ac:dyDescent="0.2">
      <c r="A444">
        <v>10690</v>
      </c>
      <c r="B444" t="s">
        <v>25</v>
      </c>
      <c r="C444">
        <v>1</v>
      </c>
      <c r="D444" s="5">
        <v>35705</v>
      </c>
      <c r="E444" s="5">
        <v>35733</v>
      </c>
      <c r="F444" s="5">
        <v>35706</v>
      </c>
      <c r="G444">
        <v>1</v>
      </c>
      <c r="H444" s="6">
        <v>15.8</v>
      </c>
      <c r="I444" t="s">
        <v>26</v>
      </c>
      <c r="J444" t="s">
        <v>417</v>
      </c>
      <c r="K444" t="s">
        <v>28</v>
      </c>
      <c r="L444" t="s">
        <v>29</v>
      </c>
      <c r="M444" s="7" t="s">
        <v>30</v>
      </c>
      <c r="N444" t="s">
        <v>31</v>
      </c>
    </row>
    <row r="445" spans="1:14" x14ac:dyDescent="0.2">
      <c r="A445">
        <v>10691</v>
      </c>
      <c r="B445" t="s">
        <v>121</v>
      </c>
      <c r="C445">
        <v>2</v>
      </c>
      <c r="D445" s="5">
        <v>35706</v>
      </c>
      <c r="E445" s="5">
        <v>35748</v>
      </c>
      <c r="F445" s="5">
        <v>35725</v>
      </c>
      <c r="G445">
        <v>2</v>
      </c>
      <c r="H445" s="6">
        <v>810.05</v>
      </c>
      <c r="I445" t="s">
        <v>122</v>
      </c>
      <c r="J445" t="s">
        <v>123</v>
      </c>
      <c r="K445" t="s">
        <v>124</v>
      </c>
      <c r="L445" t="s">
        <v>18</v>
      </c>
      <c r="M445" s="7">
        <v>1307</v>
      </c>
      <c r="N445" t="s">
        <v>24</v>
      </c>
    </row>
    <row r="446" spans="1:14" x14ac:dyDescent="0.2">
      <c r="A446">
        <v>10692</v>
      </c>
      <c r="B446" t="s">
        <v>401</v>
      </c>
      <c r="C446">
        <v>4</v>
      </c>
      <c r="D446" s="5">
        <v>35706</v>
      </c>
      <c r="E446" s="5">
        <v>35734</v>
      </c>
      <c r="F446" s="5">
        <v>35716</v>
      </c>
      <c r="G446">
        <v>2</v>
      </c>
      <c r="H446" s="6">
        <v>61.02</v>
      </c>
      <c r="I446" t="s">
        <v>408</v>
      </c>
      <c r="J446" t="s">
        <v>403</v>
      </c>
      <c r="K446" t="s">
        <v>404</v>
      </c>
      <c r="L446" t="s">
        <v>18</v>
      </c>
      <c r="M446" s="7">
        <v>12209</v>
      </c>
      <c r="N446" t="s">
        <v>24</v>
      </c>
    </row>
    <row r="447" spans="1:14" x14ac:dyDescent="0.2">
      <c r="A447">
        <v>10693</v>
      </c>
      <c r="B447" t="s">
        <v>111</v>
      </c>
      <c r="C447">
        <v>3</v>
      </c>
      <c r="D447" s="5">
        <v>35709</v>
      </c>
      <c r="E447" s="5">
        <v>35723</v>
      </c>
      <c r="F447" s="5">
        <v>35713</v>
      </c>
      <c r="G447">
        <v>3</v>
      </c>
      <c r="H447" s="6">
        <v>139.34</v>
      </c>
      <c r="I447" t="s">
        <v>112</v>
      </c>
      <c r="J447" t="s">
        <v>113</v>
      </c>
      <c r="K447" t="s">
        <v>114</v>
      </c>
      <c r="L447" t="s">
        <v>115</v>
      </c>
      <c r="M447" s="7">
        <v>98124</v>
      </c>
      <c r="N447" t="s">
        <v>86</v>
      </c>
    </row>
    <row r="448" spans="1:14" x14ac:dyDescent="0.2">
      <c r="A448">
        <v>10694</v>
      </c>
      <c r="B448" t="s">
        <v>121</v>
      </c>
      <c r="C448">
        <v>8</v>
      </c>
      <c r="D448" s="5">
        <v>35709</v>
      </c>
      <c r="E448" s="5">
        <v>35737</v>
      </c>
      <c r="F448" s="5">
        <v>35712</v>
      </c>
      <c r="G448">
        <v>3</v>
      </c>
      <c r="H448" s="6">
        <v>398.36</v>
      </c>
      <c r="I448" t="s">
        <v>122</v>
      </c>
      <c r="J448" t="s">
        <v>123</v>
      </c>
      <c r="K448" t="s">
        <v>124</v>
      </c>
      <c r="L448" t="s">
        <v>18</v>
      </c>
      <c r="M448" s="7">
        <v>1307</v>
      </c>
      <c r="N448" t="s">
        <v>24</v>
      </c>
    </row>
    <row r="449" spans="1:14" x14ac:dyDescent="0.2">
      <c r="A449">
        <v>10695</v>
      </c>
      <c r="B449" t="s">
        <v>392</v>
      </c>
      <c r="C449">
        <v>7</v>
      </c>
      <c r="D449" s="5">
        <v>35710</v>
      </c>
      <c r="E449" s="5">
        <v>35752</v>
      </c>
      <c r="F449" s="5">
        <v>35717</v>
      </c>
      <c r="G449">
        <v>1</v>
      </c>
      <c r="H449" s="6">
        <v>16.72</v>
      </c>
      <c r="I449" t="s">
        <v>393</v>
      </c>
      <c r="J449" t="s">
        <v>394</v>
      </c>
      <c r="K449" t="s">
        <v>395</v>
      </c>
      <c r="L449" t="s">
        <v>18</v>
      </c>
      <c r="M449" s="7">
        <v>21240</v>
      </c>
      <c r="N449" t="s">
        <v>101</v>
      </c>
    </row>
    <row r="450" spans="1:14" x14ac:dyDescent="0.2">
      <c r="A450">
        <v>10696</v>
      </c>
      <c r="B450" t="s">
        <v>111</v>
      </c>
      <c r="C450">
        <v>8</v>
      </c>
      <c r="D450" s="5">
        <v>35711</v>
      </c>
      <c r="E450" s="5">
        <v>35753</v>
      </c>
      <c r="F450" s="5">
        <v>35717</v>
      </c>
      <c r="G450">
        <v>3</v>
      </c>
      <c r="H450" s="6">
        <v>102.55</v>
      </c>
      <c r="I450" t="s">
        <v>112</v>
      </c>
      <c r="J450" t="s">
        <v>113</v>
      </c>
      <c r="K450" t="s">
        <v>114</v>
      </c>
      <c r="L450" t="s">
        <v>115</v>
      </c>
      <c r="M450" s="7">
        <v>98124</v>
      </c>
      <c r="N450" t="s">
        <v>86</v>
      </c>
    </row>
    <row r="451" spans="1:14" x14ac:dyDescent="0.2">
      <c r="A451">
        <v>10697</v>
      </c>
      <c r="B451" t="s">
        <v>324</v>
      </c>
      <c r="C451">
        <v>3</v>
      </c>
      <c r="D451" s="5">
        <v>35711</v>
      </c>
      <c r="E451" s="5">
        <v>35739</v>
      </c>
      <c r="F451" s="5">
        <v>35717</v>
      </c>
      <c r="G451">
        <v>1</v>
      </c>
      <c r="H451" s="6">
        <v>45.52</v>
      </c>
      <c r="I451" t="s">
        <v>325</v>
      </c>
      <c r="J451" t="s">
        <v>326</v>
      </c>
      <c r="K451" t="s">
        <v>327</v>
      </c>
      <c r="L451" t="s">
        <v>328</v>
      </c>
      <c r="M451" s="7">
        <v>4980</v>
      </c>
      <c r="N451" t="s">
        <v>62</v>
      </c>
    </row>
    <row r="452" spans="1:14" x14ac:dyDescent="0.2">
      <c r="A452">
        <v>10698</v>
      </c>
      <c r="B452" t="s">
        <v>63</v>
      </c>
      <c r="C452">
        <v>4</v>
      </c>
      <c r="D452" s="5">
        <v>35712</v>
      </c>
      <c r="E452" s="5">
        <v>35740</v>
      </c>
      <c r="F452" s="5">
        <v>35720</v>
      </c>
      <c r="G452">
        <v>1</v>
      </c>
      <c r="H452" s="6">
        <v>272.47000000000003</v>
      </c>
      <c r="I452" t="s">
        <v>64</v>
      </c>
      <c r="J452" t="s">
        <v>65</v>
      </c>
      <c r="K452" t="s">
        <v>66</v>
      </c>
      <c r="L452" t="s">
        <v>18</v>
      </c>
      <c r="M452" s="7">
        <v>8010</v>
      </c>
      <c r="N452" t="s">
        <v>67</v>
      </c>
    </row>
    <row r="453" spans="1:14" x14ac:dyDescent="0.2">
      <c r="A453">
        <v>10699</v>
      </c>
      <c r="B453" t="s">
        <v>133</v>
      </c>
      <c r="C453">
        <v>3</v>
      </c>
      <c r="D453" s="5">
        <v>35712</v>
      </c>
      <c r="E453" s="5">
        <v>35740</v>
      </c>
      <c r="F453" s="5">
        <v>35716</v>
      </c>
      <c r="G453">
        <v>3</v>
      </c>
      <c r="H453" s="6">
        <v>0.57999999999999996</v>
      </c>
      <c r="I453" t="s">
        <v>134</v>
      </c>
      <c r="J453" t="s">
        <v>135</v>
      </c>
      <c r="K453" t="s">
        <v>136</v>
      </c>
      <c r="L453" t="s">
        <v>18</v>
      </c>
      <c r="M453" s="7">
        <v>4179</v>
      </c>
      <c r="N453" t="s">
        <v>24</v>
      </c>
    </row>
    <row r="454" spans="1:14" x14ac:dyDescent="0.2">
      <c r="A454">
        <v>10700</v>
      </c>
      <c r="B454" t="s">
        <v>226</v>
      </c>
      <c r="C454">
        <v>3</v>
      </c>
      <c r="D454" s="5">
        <v>35713</v>
      </c>
      <c r="E454" s="5">
        <v>35741</v>
      </c>
      <c r="F454" s="5">
        <v>35719</v>
      </c>
      <c r="G454">
        <v>1</v>
      </c>
      <c r="H454" s="6">
        <v>65.099999999999994</v>
      </c>
      <c r="I454" t="s">
        <v>227</v>
      </c>
      <c r="J454" t="s">
        <v>228</v>
      </c>
      <c r="K454" t="s">
        <v>229</v>
      </c>
      <c r="L454" t="s">
        <v>230</v>
      </c>
      <c r="M454" s="7">
        <v>83720</v>
      </c>
      <c r="N454" t="s">
        <v>86</v>
      </c>
    </row>
    <row r="455" spans="1:14" x14ac:dyDescent="0.2">
      <c r="A455">
        <v>10701</v>
      </c>
      <c r="B455" t="s">
        <v>179</v>
      </c>
      <c r="C455">
        <v>6</v>
      </c>
      <c r="D455" s="5">
        <v>35716</v>
      </c>
      <c r="E455" s="5">
        <v>35730</v>
      </c>
      <c r="F455" s="5">
        <v>35718</v>
      </c>
      <c r="G455">
        <v>3</v>
      </c>
      <c r="H455" s="6">
        <v>220.31</v>
      </c>
      <c r="I455" t="s">
        <v>180</v>
      </c>
      <c r="J455" t="s">
        <v>181</v>
      </c>
      <c r="K455" t="s">
        <v>182</v>
      </c>
      <c r="L455" t="s">
        <v>183</v>
      </c>
      <c r="M455" s="7" t="s">
        <v>18</v>
      </c>
      <c r="N455" t="s">
        <v>184</v>
      </c>
    </row>
    <row r="456" spans="1:14" x14ac:dyDescent="0.2">
      <c r="A456">
        <v>10702</v>
      </c>
      <c r="B456" t="s">
        <v>401</v>
      </c>
      <c r="C456">
        <v>4</v>
      </c>
      <c r="D456" s="5">
        <v>35716</v>
      </c>
      <c r="E456" s="5">
        <v>35758</v>
      </c>
      <c r="F456" s="5">
        <v>35724</v>
      </c>
      <c r="G456">
        <v>1</v>
      </c>
      <c r="H456" s="6">
        <v>23.94</v>
      </c>
      <c r="I456" t="s">
        <v>408</v>
      </c>
      <c r="J456" t="s">
        <v>403</v>
      </c>
      <c r="K456" t="s">
        <v>404</v>
      </c>
      <c r="L456" t="s">
        <v>18</v>
      </c>
      <c r="M456" s="7">
        <v>12209</v>
      </c>
      <c r="N456" t="s">
        <v>24</v>
      </c>
    </row>
    <row r="457" spans="1:14" x14ac:dyDescent="0.2">
      <c r="A457">
        <v>10703</v>
      </c>
      <c r="B457" t="s">
        <v>87</v>
      </c>
      <c r="C457">
        <v>6</v>
      </c>
      <c r="D457" s="5">
        <v>35717</v>
      </c>
      <c r="E457" s="5">
        <v>35745</v>
      </c>
      <c r="F457" s="5">
        <v>35723</v>
      </c>
      <c r="G457">
        <v>2</v>
      </c>
      <c r="H457" s="6">
        <v>152.30000000000001</v>
      </c>
      <c r="I457" t="s">
        <v>88</v>
      </c>
      <c r="J457" t="s">
        <v>89</v>
      </c>
      <c r="K457" t="s">
        <v>90</v>
      </c>
      <c r="L457" t="s">
        <v>18</v>
      </c>
      <c r="M457" s="7" t="s">
        <v>91</v>
      </c>
      <c r="N457" t="s">
        <v>92</v>
      </c>
    </row>
    <row r="458" spans="1:14" x14ac:dyDescent="0.2">
      <c r="A458">
        <v>10704</v>
      </c>
      <c r="B458" t="s">
        <v>299</v>
      </c>
      <c r="C458">
        <v>6</v>
      </c>
      <c r="D458" s="5">
        <v>35717</v>
      </c>
      <c r="E458" s="5">
        <v>35745</v>
      </c>
      <c r="F458" s="5">
        <v>35741</v>
      </c>
      <c r="G458">
        <v>1</v>
      </c>
      <c r="H458" s="6">
        <v>4.78</v>
      </c>
      <c r="I458" t="s">
        <v>300</v>
      </c>
      <c r="J458" t="s">
        <v>433</v>
      </c>
      <c r="K458" t="s">
        <v>173</v>
      </c>
      <c r="L458" t="s">
        <v>55</v>
      </c>
      <c r="M458" s="7" t="s">
        <v>302</v>
      </c>
      <c r="N458" t="s">
        <v>31</v>
      </c>
    </row>
    <row r="459" spans="1:14" x14ac:dyDescent="0.2">
      <c r="A459">
        <v>10705</v>
      </c>
      <c r="B459" t="s">
        <v>57</v>
      </c>
      <c r="C459">
        <v>9</v>
      </c>
      <c r="D459" s="5">
        <v>35718</v>
      </c>
      <c r="E459" s="5">
        <v>35746</v>
      </c>
      <c r="F459" s="5">
        <v>35752</v>
      </c>
      <c r="G459">
        <v>2</v>
      </c>
      <c r="H459" s="6">
        <v>3.52</v>
      </c>
      <c r="I459" t="s">
        <v>58</v>
      </c>
      <c r="J459" t="s">
        <v>59</v>
      </c>
      <c r="K459" t="s">
        <v>60</v>
      </c>
      <c r="L459" t="s">
        <v>61</v>
      </c>
      <c r="M459" s="7">
        <v>5022</v>
      </c>
      <c r="N459" t="s">
        <v>62</v>
      </c>
    </row>
    <row r="460" spans="1:14" x14ac:dyDescent="0.2">
      <c r="A460">
        <v>10706</v>
      </c>
      <c r="B460" t="s">
        <v>193</v>
      </c>
      <c r="C460">
        <v>8</v>
      </c>
      <c r="D460" s="5">
        <v>35719</v>
      </c>
      <c r="E460" s="5">
        <v>35747</v>
      </c>
      <c r="F460" s="5">
        <v>35724</v>
      </c>
      <c r="G460">
        <v>3</v>
      </c>
      <c r="H460" s="6">
        <v>135.63</v>
      </c>
      <c r="I460" t="s">
        <v>194</v>
      </c>
      <c r="J460" t="s">
        <v>195</v>
      </c>
      <c r="K460" t="s">
        <v>196</v>
      </c>
      <c r="L460" t="s">
        <v>197</v>
      </c>
      <c r="M460" s="7">
        <v>99508</v>
      </c>
      <c r="N460" t="s">
        <v>86</v>
      </c>
    </row>
    <row r="461" spans="1:14" x14ac:dyDescent="0.2">
      <c r="A461">
        <v>10707</v>
      </c>
      <c r="B461" t="s">
        <v>270</v>
      </c>
      <c r="C461">
        <v>4</v>
      </c>
      <c r="D461" s="5">
        <v>35719</v>
      </c>
      <c r="E461" s="5">
        <v>35733</v>
      </c>
      <c r="F461" s="5">
        <v>35726</v>
      </c>
      <c r="G461">
        <v>3</v>
      </c>
      <c r="H461" s="6">
        <v>21.74</v>
      </c>
      <c r="I461" t="s">
        <v>271</v>
      </c>
      <c r="J461" t="s">
        <v>272</v>
      </c>
      <c r="K461" t="s">
        <v>273</v>
      </c>
      <c r="L461" t="s">
        <v>274</v>
      </c>
      <c r="M461" s="7" t="s">
        <v>275</v>
      </c>
      <c r="N461" t="s">
        <v>169</v>
      </c>
    </row>
    <row r="462" spans="1:14" x14ac:dyDescent="0.2">
      <c r="A462">
        <v>10708</v>
      </c>
      <c r="B462" t="s">
        <v>206</v>
      </c>
      <c r="C462">
        <v>6</v>
      </c>
      <c r="D462" s="5">
        <v>35720</v>
      </c>
      <c r="E462" s="5">
        <v>35762</v>
      </c>
      <c r="F462" s="5">
        <v>35739</v>
      </c>
      <c r="G462">
        <v>2</v>
      </c>
      <c r="H462" s="6">
        <v>2.96</v>
      </c>
      <c r="I462" t="s">
        <v>207</v>
      </c>
      <c r="J462" t="s">
        <v>208</v>
      </c>
      <c r="K462" t="s">
        <v>201</v>
      </c>
      <c r="L462" t="s">
        <v>202</v>
      </c>
      <c r="M462" s="7">
        <v>97201</v>
      </c>
      <c r="N462" t="s">
        <v>86</v>
      </c>
    </row>
    <row r="463" spans="1:14" x14ac:dyDescent="0.2">
      <c r="A463">
        <v>10709</v>
      </c>
      <c r="B463" t="s">
        <v>342</v>
      </c>
      <c r="C463">
        <v>1</v>
      </c>
      <c r="D463" s="5">
        <v>35720</v>
      </c>
      <c r="E463" s="5">
        <v>35748</v>
      </c>
      <c r="F463" s="5">
        <v>35754</v>
      </c>
      <c r="G463">
        <v>3</v>
      </c>
      <c r="H463" s="6">
        <v>210.8</v>
      </c>
      <c r="I463" t="s">
        <v>343</v>
      </c>
      <c r="J463" t="s">
        <v>435</v>
      </c>
      <c r="K463" t="s">
        <v>345</v>
      </c>
      <c r="L463" t="s">
        <v>55</v>
      </c>
      <c r="M463" s="7" t="s">
        <v>346</v>
      </c>
      <c r="N463" t="s">
        <v>31</v>
      </c>
    </row>
    <row r="464" spans="1:14" x14ac:dyDescent="0.2">
      <c r="A464">
        <v>10710</v>
      </c>
      <c r="B464" t="s">
        <v>338</v>
      </c>
      <c r="C464">
        <v>1</v>
      </c>
      <c r="D464" s="5">
        <v>35723</v>
      </c>
      <c r="E464" s="5">
        <v>35751</v>
      </c>
      <c r="F464" s="5">
        <v>35726</v>
      </c>
      <c r="G464">
        <v>1</v>
      </c>
      <c r="H464" s="6">
        <v>4.9800000000000004</v>
      </c>
      <c r="I464" t="s">
        <v>339</v>
      </c>
      <c r="J464" t="s">
        <v>340</v>
      </c>
      <c r="K464" t="s">
        <v>341</v>
      </c>
      <c r="L464" t="s">
        <v>18</v>
      </c>
      <c r="M464" s="7">
        <v>10100</v>
      </c>
      <c r="N464" t="s">
        <v>129</v>
      </c>
    </row>
    <row r="465" spans="1:14" x14ac:dyDescent="0.2">
      <c r="A465">
        <v>10711</v>
      </c>
      <c r="B465" t="s">
        <v>226</v>
      </c>
      <c r="C465">
        <v>5</v>
      </c>
      <c r="D465" s="5">
        <v>35724</v>
      </c>
      <c r="E465" s="5">
        <v>35766</v>
      </c>
      <c r="F465" s="5">
        <v>35732</v>
      </c>
      <c r="G465">
        <v>2</v>
      </c>
      <c r="H465" s="6">
        <v>52.41</v>
      </c>
      <c r="I465" t="s">
        <v>227</v>
      </c>
      <c r="J465" t="s">
        <v>228</v>
      </c>
      <c r="K465" t="s">
        <v>229</v>
      </c>
      <c r="L465" t="s">
        <v>230</v>
      </c>
      <c r="M465" s="7">
        <v>83720</v>
      </c>
      <c r="N465" t="s">
        <v>86</v>
      </c>
    </row>
    <row r="466" spans="1:14" x14ac:dyDescent="0.2">
      <c r="A466">
        <v>10712</v>
      </c>
      <c r="B466" t="s">
        <v>179</v>
      </c>
      <c r="C466">
        <v>3</v>
      </c>
      <c r="D466" s="5">
        <v>35724</v>
      </c>
      <c r="E466" s="5">
        <v>35752</v>
      </c>
      <c r="F466" s="5">
        <v>35734</v>
      </c>
      <c r="G466">
        <v>1</v>
      </c>
      <c r="H466" s="6">
        <v>89.93</v>
      </c>
      <c r="I466" t="s">
        <v>180</v>
      </c>
      <c r="J466" t="s">
        <v>181</v>
      </c>
      <c r="K466" t="s">
        <v>182</v>
      </c>
      <c r="L466" t="s">
        <v>183</v>
      </c>
      <c r="M466" s="7" t="s">
        <v>18</v>
      </c>
      <c r="N466" t="s">
        <v>184</v>
      </c>
    </row>
    <row r="467" spans="1:14" x14ac:dyDescent="0.2">
      <c r="A467">
        <v>10713</v>
      </c>
      <c r="B467" t="s">
        <v>226</v>
      </c>
      <c r="C467">
        <v>1</v>
      </c>
      <c r="D467" s="5">
        <v>35725</v>
      </c>
      <c r="E467" s="5">
        <v>35753</v>
      </c>
      <c r="F467" s="5">
        <v>35727</v>
      </c>
      <c r="G467">
        <v>1</v>
      </c>
      <c r="H467" s="6">
        <v>167.05</v>
      </c>
      <c r="I467" t="s">
        <v>227</v>
      </c>
      <c r="J467" t="s">
        <v>228</v>
      </c>
      <c r="K467" t="s">
        <v>229</v>
      </c>
      <c r="L467" t="s">
        <v>230</v>
      </c>
      <c r="M467" s="7">
        <v>83720</v>
      </c>
      <c r="N467" t="s">
        <v>86</v>
      </c>
    </row>
    <row r="468" spans="1:14" x14ac:dyDescent="0.2">
      <c r="A468">
        <v>10714</v>
      </c>
      <c r="B468" t="s">
        <v>226</v>
      </c>
      <c r="C468">
        <v>5</v>
      </c>
      <c r="D468" s="5">
        <v>35725</v>
      </c>
      <c r="E468" s="5">
        <v>35753</v>
      </c>
      <c r="F468" s="5">
        <v>35730</v>
      </c>
      <c r="G468">
        <v>3</v>
      </c>
      <c r="H468" s="6">
        <v>24.49</v>
      </c>
      <c r="I468" t="s">
        <v>227</v>
      </c>
      <c r="J468" t="s">
        <v>228</v>
      </c>
      <c r="K468" t="s">
        <v>229</v>
      </c>
      <c r="L468" t="s">
        <v>230</v>
      </c>
      <c r="M468" s="7">
        <v>83720</v>
      </c>
      <c r="N468" t="s">
        <v>86</v>
      </c>
    </row>
    <row r="469" spans="1:14" x14ac:dyDescent="0.2">
      <c r="A469">
        <v>10715</v>
      </c>
      <c r="B469" t="s">
        <v>239</v>
      </c>
      <c r="C469">
        <v>3</v>
      </c>
      <c r="D469" s="5">
        <v>35726</v>
      </c>
      <c r="E469" s="5">
        <v>35740</v>
      </c>
      <c r="F469" s="5">
        <v>35732</v>
      </c>
      <c r="G469">
        <v>1</v>
      </c>
      <c r="H469" s="6">
        <v>63.2</v>
      </c>
      <c r="I469" t="s">
        <v>240</v>
      </c>
      <c r="J469" t="s">
        <v>430</v>
      </c>
      <c r="K469" t="s">
        <v>242</v>
      </c>
      <c r="L469" t="s">
        <v>18</v>
      </c>
      <c r="M469" s="7">
        <v>13008</v>
      </c>
      <c r="N469" t="s">
        <v>19</v>
      </c>
    </row>
    <row r="470" spans="1:14" x14ac:dyDescent="0.2">
      <c r="A470">
        <v>10716</v>
      </c>
      <c r="B470" t="s">
        <v>351</v>
      </c>
      <c r="C470">
        <v>4</v>
      </c>
      <c r="D470" s="5">
        <v>35727</v>
      </c>
      <c r="E470" s="5">
        <v>35755</v>
      </c>
      <c r="F470" s="5">
        <v>35730</v>
      </c>
      <c r="G470">
        <v>2</v>
      </c>
      <c r="H470" s="6">
        <v>22.57</v>
      </c>
      <c r="I470" t="s">
        <v>352</v>
      </c>
      <c r="J470" t="s">
        <v>353</v>
      </c>
      <c r="K470" t="s">
        <v>336</v>
      </c>
      <c r="L470" t="s">
        <v>18</v>
      </c>
      <c r="M470" s="7">
        <v>1010</v>
      </c>
      <c r="N470" t="s">
        <v>337</v>
      </c>
    </row>
    <row r="471" spans="1:14" x14ac:dyDescent="0.2">
      <c r="A471">
        <v>10717</v>
      </c>
      <c r="B471" t="s">
        <v>102</v>
      </c>
      <c r="C471">
        <v>1</v>
      </c>
      <c r="D471" s="5">
        <v>35727</v>
      </c>
      <c r="E471" s="5">
        <v>35755</v>
      </c>
      <c r="F471" s="5">
        <v>35732</v>
      </c>
      <c r="G471">
        <v>2</v>
      </c>
      <c r="H471" s="6">
        <v>59.25</v>
      </c>
      <c r="I471" t="s">
        <v>103</v>
      </c>
      <c r="J471" t="s">
        <v>104</v>
      </c>
      <c r="K471" t="s">
        <v>105</v>
      </c>
      <c r="L471" t="s">
        <v>18</v>
      </c>
      <c r="M471" s="7">
        <v>80805</v>
      </c>
      <c r="N471" t="s">
        <v>24</v>
      </c>
    </row>
    <row r="472" spans="1:14" x14ac:dyDescent="0.2">
      <c r="A472">
        <v>10718</v>
      </c>
      <c r="B472" t="s">
        <v>222</v>
      </c>
      <c r="C472">
        <v>1</v>
      </c>
      <c r="D472" s="5">
        <v>35730</v>
      </c>
      <c r="E472" s="5">
        <v>35758</v>
      </c>
      <c r="F472" s="5">
        <v>35732</v>
      </c>
      <c r="G472">
        <v>3</v>
      </c>
      <c r="H472" s="6">
        <v>170.88</v>
      </c>
      <c r="I472" t="s">
        <v>223</v>
      </c>
      <c r="J472" t="s">
        <v>224</v>
      </c>
      <c r="K472" t="s">
        <v>225</v>
      </c>
      <c r="L472" t="s">
        <v>18</v>
      </c>
      <c r="M472" s="7">
        <v>14776</v>
      </c>
      <c r="N472" t="s">
        <v>24</v>
      </c>
    </row>
    <row r="473" spans="1:14" x14ac:dyDescent="0.2">
      <c r="A473">
        <v>10719</v>
      </c>
      <c r="B473" t="s">
        <v>387</v>
      </c>
      <c r="C473">
        <v>8</v>
      </c>
      <c r="D473" s="5">
        <v>35730</v>
      </c>
      <c r="E473" s="5">
        <v>35758</v>
      </c>
      <c r="F473" s="5">
        <v>35739</v>
      </c>
      <c r="G473">
        <v>2</v>
      </c>
      <c r="H473" s="6">
        <v>51.44</v>
      </c>
      <c r="I473" t="s">
        <v>388</v>
      </c>
      <c r="J473" t="s">
        <v>389</v>
      </c>
      <c r="K473" t="s">
        <v>390</v>
      </c>
      <c r="L473" t="s">
        <v>391</v>
      </c>
      <c r="M473" s="7">
        <v>94117</v>
      </c>
      <c r="N473" t="s">
        <v>86</v>
      </c>
    </row>
    <row r="474" spans="1:14" x14ac:dyDescent="0.2">
      <c r="A474">
        <v>10720</v>
      </c>
      <c r="B474" t="s">
        <v>77</v>
      </c>
      <c r="C474">
        <v>8</v>
      </c>
      <c r="D474" s="5">
        <v>35731</v>
      </c>
      <c r="E474" s="5">
        <v>35745</v>
      </c>
      <c r="F474" s="5">
        <v>35739</v>
      </c>
      <c r="G474">
        <v>2</v>
      </c>
      <c r="H474" s="6">
        <v>9.5299999999999994</v>
      </c>
      <c r="I474" t="s">
        <v>78</v>
      </c>
      <c r="J474" t="s">
        <v>421</v>
      </c>
      <c r="K474" t="s">
        <v>28</v>
      </c>
      <c r="L474" t="s">
        <v>29</v>
      </c>
      <c r="M474" s="7" t="s">
        <v>80</v>
      </c>
      <c r="N474" t="s">
        <v>31</v>
      </c>
    </row>
    <row r="475" spans="1:14" x14ac:dyDescent="0.2">
      <c r="A475">
        <v>10721</v>
      </c>
      <c r="B475" t="s">
        <v>121</v>
      </c>
      <c r="C475">
        <v>5</v>
      </c>
      <c r="D475" s="5">
        <v>35732</v>
      </c>
      <c r="E475" s="5">
        <v>35760</v>
      </c>
      <c r="F475" s="5">
        <v>35734</v>
      </c>
      <c r="G475">
        <v>3</v>
      </c>
      <c r="H475" s="6">
        <v>48.92</v>
      </c>
      <c r="I475" t="s">
        <v>122</v>
      </c>
      <c r="J475" t="s">
        <v>123</v>
      </c>
      <c r="K475" t="s">
        <v>124</v>
      </c>
      <c r="L475" t="s">
        <v>18</v>
      </c>
      <c r="M475" s="7">
        <v>1307</v>
      </c>
      <c r="N475" t="s">
        <v>24</v>
      </c>
    </row>
    <row r="476" spans="1:14" x14ac:dyDescent="0.2">
      <c r="A476">
        <v>10722</v>
      </c>
      <c r="B476" t="s">
        <v>226</v>
      </c>
      <c r="C476">
        <v>8</v>
      </c>
      <c r="D476" s="5">
        <v>35732</v>
      </c>
      <c r="E476" s="5">
        <v>35774</v>
      </c>
      <c r="F476" s="5">
        <v>35738</v>
      </c>
      <c r="G476">
        <v>1</v>
      </c>
      <c r="H476" s="6">
        <v>74.58</v>
      </c>
      <c r="I476" t="s">
        <v>227</v>
      </c>
      <c r="J476" t="s">
        <v>228</v>
      </c>
      <c r="K476" t="s">
        <v>229</v>
      </c>
      <c r="L476" t="s">
        <v>230</v>
      </c>
      <c r="M476" s="7">
        <v>83720</v>
      </c>
      <c r="N476" t="s">
        <v>86</v>
      </c>
    </row>
    <row r="477" spans="1:14" x14ac:dyDescent="0.2">
      <c r="A477">
        <v>10723</v>
      </c>
      <c r="B477" t="s">
        <v>111</v>
      </c>
      <c r="C477">
        <v>3</v>
      </c>
      <c r="D477" s="5">
        <v>35733</v>
      </c>
      <c r="E477" s="5">
        <v>35761</v>
      </c>
      <c r="F477" s="5">
        <v>35759</v>
      </c>
      <c r="G477">
        <v>1</v>
      </c>
      <c r="H477" s="6">
        <v>21.72</v>
      </c>
      <c r="I477" t="s">
        <v>112</v>
      </c>
      <c r="J477" t="s">
        <v>113</v>
      </c>
      <c r="K477" t="s">
        <v>114</v>
      </c>
      <c r="L477" t="s">
        <v>115</v>
      </c>
      <c r="M477" s="7">
        <v>98124</v>
      </c>
      <c r="N477" t="s">
        <v>86</v>
      </c>
    </row>
    <row r="478" spans="1:14" x14ac:dyDescent="0.2">
      <c r="A478">
        <v>10724</v>
      </c>
      <c r="B478" t="s">
        <v>243</v>
      </c>
      <c r="C478">
        <v>8</v>
      </c>
      <c r="D478" s="5">
        <v>35733</v>
      </c>
      <c r="E478" s="5">
        <v>35775</v>
      </c>
      <c r="F478" s="5">
        <v>35739</v>
      </c>
      <c r="G478">
        <v>2</v>
      </c>
      <c r="H478" s="6">
        <v>57.75</v>
      </c>
      <c r="I478" t="s">
        <v>244</v>
      </c>
      <c r="J478" t="s">
        <v>245</v>
      </c>
      <c r="K478" t="s">
        <v>246</v>
      </c>
      <c r="L478" t="s">
        <v>247</v>
      </c>
      <c r="M478" s="7" t="s">
        <v>248</v>
      </c>
      <c r="N478" t="s">
        <v>249</v>
      </c>
    </row>
    <row r="479" spans="1:14" x14ac:dyDescent="0.2">
      <c r="A479">
        <v>10725</v>
      </c>
      <c r="B479" t="s">
        <v>258</v>
      </c>
      <c r="C479">
        <v>4</v>
      </c>
      <c r="D479" s="5">
        <v>35734</v>
      </c>
      <c r="E479" s="5">
        <v>35762</v>
      </c>
      <c r="F479" s="5">
        <v>35739</v>
      </c>
      <c r="G479">
        <v>3</v>
      </c>
      <c r="H479" s="6">
        <v>10.83</v>
      </c>
      <c r="I479" t="s">
        <v>259</v>
      </c>
      <c r="J479" t="s">
        <v>431</v>
      </c>
      <c r="K479" t="s">
        <v>173</v>
      </c>
      <c r="L479" t="s">
        <v>55</v>
      </c>
      <c r="M479" s="7" t="s">
        <v>261</v>
      </c>
      <c r="N479" t="s">
        <v>31</v>
      </c>
    </row>
    <row r="480" spans="1:14" x14ac:dyDescent="0.2">
      <c r="A480">
        <v>10726</v>
      </c>
      <c r="B480" t="s">
        <v>284</v>
      </c>
      <c r="C480">
        <v>4</v>
      </c>
      <c r="D480" s="5">
        <v>35737</v>
      </c>
      <c r="E480" s="5">
        <v>35751</v>
      </c>
      <c r="F480" s="5">
        <v>35769</v>
      </c>
      <c r="G480">
        <v>1</v>
      </c>
      <c r="H480" s="6">
        <v>16.559999999999999</v>
      </c>
      <c r="I480" t="s">
        <v>285</v>
      </c>
      <c r="J480" t="s">
        <v>286</v>
      </c>
      <c r="K480" t="s">
        <v>167</v>
      </c>
      <c r="L480" t="s">
        <v>18</v>
      </c>
      <c r="M480" s="7" t="s">
        <v>287</v>
      </c>
      <c r="N480" t="s">
        <v>169</v>
      </c>
    </row>
    <row r="481" spans="1:14" x14ac:dyDescent="0.2">
      <c r="A481">
        <v>10727</v>
      </c>
      <c r="B481" t="s">
        <v>160</v>
      </c>
      <c r="C481">
        <v>2</v>
      </c>
      <c r="D481" s="5">
        <v>35737</v>
      </c>
      <c r="E481" s="5">
        <v>35765</v>
      </c>
      <c r="F481" s="5">
        <v>35769</v>
      </c>
      <c r="G481">
        <v>1</v>
      </c>
      <c r="H481" s="6">
        <v>89.9</v>
      </c>
      <c r="I481" t="s">
        <v>161</v>
      </c>
      <c r="J481" t="s">
        <v>162</v>
      </c>
      <c r="K481" t="s">
        <v>163</v>
      </c>
      <c r="L481" t="s">
        <v>18</v>
      </c>
      <c r="M481" s="7">
        <v>42100</v>
      </c>
      <c r="N481" t="s">
        <v>129</v>
      </c>
    </row>
    <row r="482" spans="1:14" x14ac:dyDescent="0.2">
      <c r="A482">
        <v>10728</v>
      </c>
      <c r="B482" t="s">
        <v>299</v>
      </c>
      <c r="C482">
        <v>4</v>
      </c>
      <c r="D482" s="5">
        <v>35738</v>
      </c>
      <c r="E482" s="5">
        <v>35766</v>
      </c>
      <c r="F482" s="5">
        <v>35745</v>
      </c>
      <c r="G482">
        <v>2</v>
      </c>
      <c r="H482" s="6">
        <v>58.33</v>
      </c>
      <c r="I482" t="s">
        <v>300</v>
      </c>
      <c r="J482" t="s">
        <v>433</v>
      </c>
      <c r="K482" t="s">
        <v>173</v>
      </c>
      <c r="L482" t="s">
        <v>55</v>
      </c>
      <c r="M482" s="7" t="s">
        <v>302</v>
      </c>
      <c r="N482" t="s">
        <v>31</v>
      </c>
    </row>
    <row r="483" spans="1:14" x14ac:dyDescent="0.2">
      <c r="A483">
        <v>10729</v>
      </c>
      <c r="B483" t="s">
        <v>324</v>
      </c>
      <c r="C483">
        <v>8</v>
      </c>
      <c r="D483" s="5">
        <v>35738</v>
      </c>
      <c r="E483" s="5">
        <v>35780</v>
      </c>
      <c r="F483" s="5">
        <v>35748</v>
      </c>
      <c r="G483">
        <v>3</v>
      </c>
      <c r="H483" s="6">
        <v>141.06</v>
      </c>
      <c r="I483" t="s">
        <v>325</v>
      </c>
      <c r="J483" t="s">
        <v>326</v>
      </c>
      <c r="K483" t="s">
        <v>327</v>
      </c>
      <c r="L483" t="s">
        <v>328</v>
      </c>
      <c r="M483" s="7">
        <v>4980</v>
      </c>
      <c r="N483" t="s">
        <v>62</v>
      </c>
    </row>
    <row r="484" spans="1:14" x14ac:dyDescent="0.2">
      <c r="A484">
        <v>10730</v>
      </c>
      <c r="B484" t="s">
        <v>239</v>
      </c>
      <c r="C484">
        <v>5</v>
      </c>
      <c r="D484" s="5">
        <v>35739</v>
      </c>
      <c r="E484" s="5">
        <v>35767</v>
      </c>
      <c r="F484" s="5">
        <v>35748</v>
      </c>
      <c r="G484">
        <v>1</v>
      </c>
      <c r="H484" s="6">
        <v>20.12</v>
      </c>
      <c r="I484" t="s">
        <v>240</v>
      </c>
      <c r="J484" t="s">
        <v>430</v>
      </c>
      <c r="K484" t="s">
        <v>242</v>
      </c>
      <c r="L484" t="s">
        <v>18</v>
      </c>
      <c r="M484" s="7">
        <v>13008</v>
      </c>
      <c r="N484" t="s">
        <v>19</v>
      </c>
    </row>
    <row r="485" spans="1:14" x14ac:dyDescent="0.2">
      <c r="A485">
        <v>10731</v>
      </c>
      <c r="B485" t="s">
        <v>42</v>
      </c>
      <c r="C485">
        <v>7</v>
      </c>
      <c r="D485" s="5">
        <v>35740</v>
      </c>
      <c r="E485" s="5">
        <v>35768</v>
      </c>
      <c r="F485" s="5">
        <v>35748</v>
      </c>
      <c r="G485">
        <v>1</v>
      </c>
      <c r="H485" s="6">
        <v>96.65</v>
      </c>
      <c r="I485" t="s">
        <v>43</v>
      </c>
      <c r="J485" t="s">
        <v>44</v>
      </c>
      <c r="K485" t="s">
        <v>45</v>
      </c>
      <c r="L485" t="s">
        <v>18</v>
      </c>
      <c r="M485" s="7">
        <v>3012</v>
      </c>
      <c r="N485" t="s">
        <v>46</v>
      </c>
    </row>
    <row r="486" spans="1:14" x14ac:dyDescent="0.2">
      <c r="A486">
        <v>10732</v>
      </c>
      <c r="B486" t="s">
        <v>239</v>
      </c>
      <c r="C486">
        <v>3</v>
      </c>
      <c r="D486" s="5">
        <v>35740</v>
      </c>
      <c r="E486" s="5">
        <v>35768</v>
      </c>
      <c r="F486" s="5">
        <v>35741</v>
      </c>
      <c r="G486">
        <v>1</v>
      </c>
      <c r="H486" s="6">
        <v>16.97</v>
      </c>
      <c r="I486" t="s">
        <v>240</v>
      </c>
      <c r="J486" t="s">
        <v>430</v>
      </c>
      <c r="K486" t="s">
        <v>242</v>
      </c>
      <c r="L486" t="s">
        <v>18</v>
      </c>
      <c r="M486" s="7">
        <v>13008</v>
      </c>
      <c r="N486" t="s">
        <v>19</v>
      </c>
    </row>
    <row r="487" spans="1:14" x14ac:dyDescent="0.2">
      <c r="A487">
        <v>10733</v>
      </c>
      <c r="B487" t="s">
        <v>137</v>
      </c>
      <c r="C487">
        <v>1</v>
      </c>
      <c r="D487" s="5">
        <v>35741</v>
      </c>
      <c r="E487" s="5">
        <v>35769</v>
      </c>
      <c r="F487" s="5">
        <v>35744</v>
      </c>
      <c r="G487">
        <v>3</v>
      </c>
      <c r="H487" s="6">
        <v>110.11</v>
      </c>
      <c r="I487" t="s">
        <v>138</v>
      </c>
      <c r="J487" t="s">
        <v>139</v>
      </c>
      <c r="K487" t="s">
        <v>140</v>
      </c>
      <c r="L487" t="s">
        <v>18</v>
      </c>
      <c r="M487" s="7" t="s">
        <v>141</v>
      </c>
      <c r="N487" t="s">
        <v>92</v>
      </c>
    </row>
    <row r="488" spans="1:14" x14ac:dyDescent="0.2">
      <c r="A488">
        <v>10734</v>
      </c>
      <c r="B488" t="s">
        <v>342</v>
      </c>
      <c r="C488">
        <v>2</v>
      </c>
      <c r="D488" s="5">
        <v>35741</v>
      </c>
      <c r="E488" s="5">
        <v>35769</v>
      </c>
      <c r="F488" s="5">
        <v>35746</v>
      </c>
      <c r="G488">
        <v>3</v>
      </c>
      <c r="H488" s="6">
        <v>1.63</v>
      </c>
      <c r="I488" t="s">
        <v>343</v>
      </c>
      <c r="J488" t="s">
        <v>435</v>
      </c>
      <c r="K488" t="s">
        <v>345</v>
      </c>
      <c r="L488" t="s">
        <v>55</v>
      </c>
      <c r="M488" s="7" t="s">
        <v>346</v>
      </c>
      <c r="N488" t="s">
        <v>31</v>
      </c>
    </row>
    <row r="489" spans="1:14" x14ac:dyDescent="0.2">
      <c r="A489">
        <v>10735</v>
      </c>
      <c r="B489" t="s">
        <v>387</v>
      </c>
      <c r="C489">
        <v>6</v>
      </c>
      <c r="D489" s="5">
        <v>35744</v>
      </c>
      <c r="E489" s="5">
        <v>35772</v>
      </c>
      <c r="F489" s="5">
        <v>35755</v>
      </c>
      <c r="G489">
        <v>2</v>
      </c>
      <c r="H489" s="6">
        <v>45.97</v>
      </c>
      <c r="I489" t="s">
        <v>388</v>
      </c>
      <c r="J489" t="s">
        <v>389</v>
      </c>
      <c r="K489" t="s">
        <v>390</v>
      </c>
      <c r="L489" t="s">
        <v>391</v>
      </c>
      <c r="M489" s="7">
        <v>94117</v>
      </c>
      <c r="N489" t="s">
        <v>86</v>
      </c>
    </row>
    <row r="490" spans="1:14" x14ac:dyDescent="0.2">
      <c r="A490">
        <v>10736</v>
      </c>
      <c r="B490" t="s">
        <v>179</v>
      </c>
      <c r="C490">
        <v>9</v>
      </c>
      <c r="D490" s="5">
        <v>35745</v>
      </c>
      <c r="E490" s="5">
        <v>35773</v>
      </c>
      <c r="F490" s="5">
        <v>35755</v>
      </c>
      <c r="G490">
        <v>2</v>
      </c>
      <c r="H490" s="6">
        <v>44.1</v>
      </c>
      <c r="I490" t="s">
        <v>180</v>
      </c>
      <c r="J490" t="s">
        <v>181</v>
      </c>
      <c r="K490" t="s">
        <v>182</v>
      </c>
      <c r="L490" t="s">
        <v>183</v>
      </c>
      <c r="M490" s="7" t="s">
        <v>18</v>
      </c>
      <c r="N490" t="s">
        <v>184</v>
      </c>
    </row>
    <row r="491" spans="1:14" x14ac:dyDescent="0.2">
      <c r="A491">
        <v>10737</v>
      </c>
      <c r="B491" t="s">
        <v>14</v>
      </c>
      <c r="C491">
        <v>2</v>
      </c>
      <c r="D491" s="5">
        <v>35745</v>
      </c>
      <c r="E491" s="5">
        <v>35773</v>
      </c>
      <c r="F491" s="5">
        <v>35752</v>
      </c>
      <c r="G491">
        <v>2</v>
      </c>
      <c r="H491" s="6">
        <v>7.79</v>
      </c>
      <c r="I491" t="s">
        <v>15</v>
      </c>
      <c r="J491" t="s">
        <v>16</v>
      </c>
      <c r="K491" t="s">
        <v>17</v>
      </c>
      <c r="L491" t="s">
        <v>18</v>
      </c>
      <c r="M491" s="7">
        <v>51100</v>
      </c>
      <c r="N491" t="s">
        <v>19</v>
      </c>
    </row>
    <row r="492" spans="1:14" x14ac:dyDescent="0.2">
      <c r="A492">
        <v>10738</v>
      </c>
      <c r="B492" t="s">
        <v>409</v>
      </c>
      <c r="C492">
        <v>2</v>
      </c>
      <c r="D492" s="5">
        <v>35746</v>
      </c>
      <c r="E492" s="5">
        <v>35774</v>
      </c>
      <c r="F492" s="5">
        <v>35752</v>
      </c>
      <c r="G492">
        <v>1</v>
      </c>
      <c r="H492" s="6">
        <v>2.91</v>
      </c>
      <c r="I492" t="s">
        <v>410</v>
      </c>
      <c r="J492" t="s">
        <v>437</v>
      </c>
      <c r="K492" t="s">
        <v>412</v>
      </c>
      <c r="L492" t="s">
        <v>18</v>
      </c>
      <c r="M492" s="7">
        <v>75016</v>
      </c>
      <c r="N492" t="s">
        <v>19</v>
      </c>
    </row>
    <row r="493" spans="1:14" x14ac:dyDescent="0.2">
      <c r="A493">
        <v>10739</v>
      </c>
      <c r="B493" t="s">
        <v>14</v>
      </c>
      <c r="C493">
        <v>3</v>
      </c>
      <c r="D493" s="5">
        <v>35746</v>
      </c>
      <c r="E493" s="5">
        <v>35774</v>
      </c>
      <c r="F493" s="5">
        <v>35751</v>
      </c>
      <c r="G493">
        <v>3</v>
      </c>
      <c r="H493" s="6">
        <v>11.08</v>
      </c>
      <c r="I493" t="s">
        <v>15</v>
      </c>
      <c r="J493" t="s">
        <v>16</v>
      </c>
      <c r="K493" t="s">
        <v>17</v>
      </c>
      <c r="L493" t="s">
        <v>18</v>
      </c>
      <c r="M493" s="7">
        <v>51100</v>
      </c>
      <c r="N493" t="s">
        <v>19</v>
      </c>
    </row>
    <row r="494" spans="1:14" x14ac:dyDescent="0.2">
      <c r="A494">
        <v>10740</v>
      </c>
      <c r="B494" t="s">
        <v>111</v>
      </c>
      <c r="C494">
        <v>4</v>
      </c>
      <c r="D494" s="5">
        <v>35747</v>
      </c>
      <c r="E494" s="5">
        <v>35775</v>
      </c>
      <c r="F494" s="5">
        <v>35759</v>
      </c>
      <c r="G494">
        <v>2</v>
      </c>
      <c r="H494" s="6">
        <v>81.88</v>
      </c>
      <c r="I494" t="s">
        <v>112</v>
      </c>
      <c r="J494" t="s">
        <v>113</v>
      </c>
      <c r="K494" t="s">
        <v>114</v>
      </c>
      <c r="L494" t="s">
        <v>115</v>
      </c>
      <c r="M494" s="7">
        <v>98124</v>
      </c>
      <c r="N494" t="s">
        <v>86</v>
      </c>
    </row>
    <row r="495" spans="1:14" x14ac:dyDescent="0.2">
      <c r="A495">
        <v>10741</v>
      </c>
      <c r="B495" t="s">
        <v>270</v>
      </c>
      <c r="C495">
        <v>4</v>
      </c>
      <c r="D495" s="5">
        <v>35748</v>
      </c>
      <c r="E495" s="5">
        <v>35762</v>
      </c>
      <c r="F495" s="5">
        <v>35752</v>
      </c>
      <c r="G495">
        <v>3</v>
      </c>
      <c r="H495" s="6">
        <v>10.96</v>
      </c>
      <c r="I495" t="s">
        <v>271</v>
      </c>
      <c r="J495" t="s">
        <v>272</v>
      </c>
      <c r="K495" t="s">
        <v>273</v>
      </c>
      <c r="L495" t="s">
        <v>274</v>
      </c>
      <c r="M495" s="7" t="s">
        <v>275</v>
      </c>
      <c r="N495" t="s">
        <v>169</v>
      </c>
    </row>
    <row r="496" spans="1:14" x14ac:dyDescent="0.2">
      <c r="A496">
        <v>10742</v>
      </c>
      <c r="B496" t="s">
        <v>318</v>
      </c>
      <c r="C496">
        <v>3</v>
      </c>
      <c r="D496" s="5">
        <v>35748</v>
      </c>
      <c r="E496" s="5">
        <v>35776</v>
      </c>
      <c r="F496" s="5">
        <v>35752</v>
      </c>
      <c r="G496">
        <v>3</v>
      </c>
      <c r="H496" s="6">
        <v>243.73</v>
      </c>
      <c r="I496" t="s">
        <v>319</v>
      </c>
      <c r="J496" t="s">
        <v>320</v>
      </c>
      <c r="K496" t="s">
        <v>321</v>
      </c>
      <c r="L496" t="s">
        <v>322</v>
      </c>
      <c r="M496" s="7" t="s">
        <v>323</v>
      </c>
      <c r="N496" t="s">
        <v>249</v>
      </c>
    </row>
    <row r="497" spans="1:14" x14ac:dyDescent="0.2">
      <c r="A497">
        <v>10743</v>
      </c>
      <c r="B497" t="s">
        <v>270</v>
      </c>
      <c r="C497">
        <v>1</v>
      </c>
      <c r="D497" s="5">
        <v>35751</v>
      </c>
      <c r="E497" s="5">
        <v>35779</v>
      </c>
      <c r="F497" s="5">
        <v>35755</v>
      </c>
      <c r="G497">
        <v>2</v>
      </c>
      <c r="H497" s="6">
        <v>23.72</v>
      </c>
      <c r="I497" t="s">
        <v>271</v>
      </c>
      <c r="J497" t="s">
        <v>272</v>
      </c>
      <c r="K497" t="s">
        <v>273</v>
      </c>
      <c r="L497" t="s">
        <v>274</v>
      </c>
      <c r="M497" s="7" t="s">
        <v>275</v>
      </c>
      <c r="N497" t="s">
        <v>169</v>
      </c>
    </row>
    <row r="498" spans="1:14" x14ac:dyDescent="0.2">
      <c r="A498">
        <v>10744</v>
      </c>
      <c r="B498" t="s">
        <v>295</v>
      </c>
      <c r="C498">
        <v>6</v>
      </c>
      <c r="D498" s="5">
        <v>35751</v>
      </c>
      <c r="E498" s="5">
        <v>35779</v>
      </c>
      <c r="F498" s="5">
        <v>35758</v>
      </c>
      <c r="G498">
        <v>1</v>
      </c>
      <c r="H498" s="6">
        <v>69.19</v>
      </c>
      <c r="I498" t="s">
        <v>296</v>
      </c>
      <c r="J498" t="s">
        <v>297</v>
      </c>
      <c r="K498" t="s">
        <v>298</v>
      </c>
      <c r="L498" t="s">
        <v>18</v>
      </c>
      <c r="M498" s="7">
        <v>8200</v>
      </c>
      <c r="N498" t="s">
        <v>257</v>
      </c>
    </row>
    <row r="499" spans="1:14" x14ac:dyDescent="0.2">
      <c r="A499">
        <v>10745</v>
      </c>
      <c r="B499" t="s">
        <v>121</v>
      </c>
      <c r="C499">
        <v>9</v>
      </c>
      <c r="D499" s="5">
        <v>35752</v>
      </c>
      <c r="E499" s="5">
        <v>35780</v>
      </c>
      <c r="F499" s="5">
        <v>35761</v>
      </c>
      <c r="G499">
        <v>1</v>
      </c>
      <c r="H499" s="6">
        <v>3.52</v>
      </c>
      <c r="I499" t="s">
        <v>122</v>
      </c>
      <c r="J499" t="s">
        <v>123</v>
      </c>
      <c r="K499" t="s">
        <v>124</v>
      </c>
      <c r="L499" t="s">
        <v>18</v>
      </c>
      <c r="M499" s="7">
        <v>1307</v>
      </c>
      <c r="N499" t="s">
        <v>24</v>
      </c>
    </row>
    <row r="500" spans="1:14" x14ac:dyDescent="0.2">
      <c r="A500">
        <v>10746</v>
      </c>
      <c r="B500" t="s">
        <v>42</v>
      </c>
      <c r="C500">
        <v>1</v>
      </c>
      <c r="D500" s="5">
        <v>35753</v>
      </c>
      <c r="E500" s="5">
        <v>35781</v>
      </c>
      <c r="F500" s="5">
        <v>35755</v>
      </c>
      <c r="G500">
        <v>3</v>
      </c>
      <c r="H500" s="6">
        <v>31.43</v>
      </c>
      <c r="I500" t="s">
        <v>43</v>
      </c>
      <c r="J500" t="s">
        <v>44</v>
      </c>
      <c r="K500" t="s">
        <v>45</v>
      </c>
      <c r="L500" t="s">
        <v>18</v>
      </c>
      <c r="M500" s="7">
        <v>3012</v>
      </c>
      <c r="N500" t="s">
        <v>46</v>
      </c>
    </row>
    <row r="501" spans="1:14" x14ac:dyDescent="0.2">
      <c r="A501">
        <v>10747</v>
      </c>
      <c r="B501" t="s">
        <v>266</v>
      </c>
      <c r="C501">
        <v>6</v>
      </c>
      <c r="D501" s="5">
        <v>35753</v>
      </c>
      <c r="E501" s="5">
        <v>35781</v>
      </c>
      <c r="F501" s="5">
        <v>35760</v>
      </c>
      <c r="G501">
        <v>1</v>
      </c>
      <c r="H501" s="6">
        <v>117.33</v>
      </c>
      <c r="I501" t="s">
        <v>267</v>
      </c>
      <c r="J501" t="s">
        <v>268</v>
      </c>
      <c r="K501" t="s">
        <v>269</v>
      </c>
      <c r="L501" t="s">
        <v>18</v>
      </c>
      <c r="M501" s="7">
        <v>5020</v>
      </c>
      <c r="N501" t="s">
        <v>67</v>
      </c>
    </row>
    <row r="502" spans="1:14" x14ac:dyDescent="0.2">
      <c r="A502">
        <v>10748</v>
      </c>
      <c r="B502" t="s">
        <v>226</v>
      </c>
      <c r="C502">
        <v>3</v>
      </c>
      <c r="D502" s="5">
        <v>35754</v>
      </c>
      <c r="E502" s="5">
        <v>35782</v>
      </c>
      <c r="F502" s="5">
        <v>35762</v>
      </c>
      <c r="G502">
        <v>1</v>
      </c>
      <c r="H502" s="6">
        <v>232.55</v>
      </c>
      <c r="I502" t="s">
        <v>227</v>
      </c>
      <c r="J502" t="s">
        <v>228</v>
      </c>
      <c r="K502" t="s">
        <v>229</v>
      </c>
      <c r="L502" t="s">
        <v>230</v>
      </c>
      <c r="M502" s="7">
        <v>83720</v>
      </c>
      <c r="N502" t="s">
        <v>86</v>
      </c>
    </row>
    <row r="503" spans="1:14" x14ac:dyDescent="0.2">
      <c r="A503">
        <v>10749</v>
      </c>
      <c r="B503" t="s">
        <v>213</v>
      </c>
      <c r="C503">
        <v>4</v>
      </c>
      <c r="D503" s="5">
        <v>35754</v>
      </c>
      <c r="E503" s="5">
        <v>35782</v>
      </c>
      <c r="F503" s="5">
        <v>35783</v>
      </c>
      <c r="G503">
        <v>2</v>
      </c>
      <c r="H503" s="6">
        <v>61.53</v>
      </c>
      <c r="I503" t="s">
        <v>214</v>
      </c>
      <c r="J503" t="s">
        <v>215</v>
      </c>
      <c r="K503" t="s">
        <v>216</v>
      </c>
      <c r="L503" t="s">
        <v>217</v>
      </c>
      <c r="M503" s="7" t="s">
        <v>218</v>
      </c>
      <c r="N503" t="s">
        <v>169</v>
      </c>
    </row>
    <row r="504" spans="1:14" x14ac:dyDescent="0.2">
      <c r="A504">
        <v>10750</v>
      </c>
      <c r="B504" t="s">
        <v>97</v>
      </c>
      <c r="C504">
        <v>9</v>
      </c>
      <c r="D504" s="5">
        <v>35755</v>
      </c>
      <c r="E504" s="5">
        <v>35783</v>
      </c>
      <c r="F504" s="5">
        <v>35758</v>
      </c>
      <c r="G504">
        <v>1</v>
      </c>
      <c r="H504" s="6">
        <v>79.3</v>
      </c>
      <c r="I504" t="s">
        <v>98</v>
      </c>
      <c r="J504" t="s">
        <v>99</v>
      </c>
      <c r="K504" t="s">
        <v>100</v>
      </c>
      <c r="L504" t="s">
        <v>18</v>
      </c>
      <c r="M504" s="7">
        <v>90110</v>
      </c>
      <c r="N504" t="s">
        <v>101</v>
      </c>
    </row>
    <row r="505" spans="1:14" x14ac:dyDescent="0.2">
      <c r="A505">
        <v>10751</v>
      </c>
      <c r="B505" t="s">
        <v>47</v>
      </c>
      <c r="C505">
        <v>3</v>
      </c>
      <c r="D505" s="5">
        <v>35758</v>
      </c>
      <c r="E505" s="5">
        <v>35786</v>
      </c>
      <c r="F505" s="5">
        <v>35767</v>
      </c>
      <c r="G505">
        <v>3</v>
      </c>
      <c r="H505" s="6">
        <v>130.79</v>
      </c>
      <c r="I505" t="s">
        <v>48</v>
      </c>
      <c r="J505" t="s">
        <v>49</v>
      </c>
      <c r="K505" t="s">
        <v>50</v>
      </c>
      <c r="L505" t="s">
        <v>18</v>
      </c>
      <c r="M505" s="7">
        <v>1204</v>
      </c>
      <c r="N505" t="s">
        <v>46</v>
      </c>
    </row>
    <row r="506" spans="1:14" x14ac:dyDescent="0.2">
      <c r="A506">
        <v>10752</v>
      </c>
      <c r="B506" t="s">
        <v>367</v>
      </c>
      <c r="C506">
        <v>2</v>
      </c>
      <c r="D506" s="5">
        <v>35758</v>
      </c>
      <c r="E506" s="5">
        <v>35786</v>
      </c>
      <c r="F506" s="5">
        <v>35762</v>
      </c>
      <c r="G506">
        <v>3</v>
      </c>
      <c r="H506" s="6">
        <v>1.39</v>
      </c>
      <c r="I506" t="s">
        <v>368</v>
      </c>
      <c r="J506" t="s">
        <v>369</v>
      </c>
      <c r="K506" t="s">
        <v>167</v>
      </c>
      <c r="L506" t="s">
        <v>18</v>
      </c>
      <c r="M506" s="7" t="s">
        <v>370</v>
      </c>
      <c r="N506" t="s">
        <v>169</v>
      </c>
    </row>
    <row r="507" spans="1:14" x14ac:dyDescent="0.2">
      <c r="A507">
        <v>10753</v>
      </c>
      <c r="B507" t="s">
        <v>338</v>
      </c>
      <c r="C507">
        <v>3</v>
      </c>
      <c r="D507" s="5">
        <v>35759</v>
      </c>
      <c r="E507" s="5">
        <v>35787</v>
      </c>
      <c r="F507" s="5">
        <v>35761</v>
      </c>
      <c r="G507">
        <v>1</v>
      </c>
      <c r="H507" s="6">
        <v>7.7</v>
      </c>
      <c r="I507" t="s">
        <v>339</v>
      </c>
      <c r="J507" t="s">
        <v>340</v>
      </c>
      <c r="K507" t="s">
        <v>341</v>
      </c>
      <c r="L507" t="s">
        <v>18</v>
      </c>
      <c r="M507" s="7">
        <v>10100</v>
      </c>
      <c r="N507" t="s">
        <v>129</v>
      </c>
    </row>
    <row r="508" spans="1:14" x14ac:dyDescent="0.2">
      <c r="A508">
        <v>10754</v>
      </c>
      <c r="B508" t="s">
        <v>125</v>
      </c>
      <c r="C508">
        <v>6</v>
      </c>
      <c r="D508" s="5">
        <v>35759</v>
      </c>
      <c r="E508" s="5">
        <v>35787</v>
      </c>
      <c r="F508" s="5">
        <v>35761</v>
      </c>
      <c r="G508">
        <v>3</v>
      </c>
      <c r="H508" s="6">
        <v>2.38</v>
      </c>
      <c r="I508" t="s">
        <v>126</v>
      </c>
      <c r="J508" t="s">
        <v>127</v>
      </c>
      <c r="K508" t="s">
        <v>128</v>
      </c>
      <c r="L508" t="s">
        <v>18</v>
      </c>
      <c r="M508" s="7">
        <v>24100</v>
      </c>
      <c r="N508" t="s">
        <v>129</v>
      </c>
    </row>
    <row r="509" spans="1:14" x14ac:dyDescent="0.2">
      <c r="A509">
        <v>10755</v>
      </c>
      <c r="B509" t="s">
        <v>239</v>
      </c>
      <c r="C509">
        <v>4</v>
      </c>
      <c r="D509" s="5">
        <v>35760</v>
      </c>
      <c r="E509" s="5">
        <v>35788</v>
      </c>
      <c r="F509" s="5">
        <v>35762</v>
      </c>
      <c r="G509">
        <v>2</v>
      </c>
      <c r="H509" s="6">
        <v>16.71</v>
      </c>
      <c r="I509" t="s">
        <v>240</v>
      </c>
      <c r="J509" t="s">
        <v>430</v>
      </c>
      <c r="K509" t="s">
        <v>242</v>
      </c>
      <c r="L509" t="s">
        <v>18</v>
      </c>
      <c r="M509" s="7">
        <v>13008</v>
      </c>
      <c r="N509" t="s">
        <v>19</v>
      </c>
    </row>
    <row r="510" spans="1:14" x14ac:dyDescent="0.2">
      <c r="A510">
        <v>10756</v>
      </c>
      <c r="B510" t="s">
        <v>116</v>
      </c>
      <c r="C510">
        <v>8</v>
      </c>
      <c r="D510" s="5">
        <v>35761</v>
      </c>
      <c r="E510" s="5">
        <v>35789</v>
      </c>
      <c r="F510" s="5">
        <v>35766</v>
      </c>
      <c r="G510">
        <v>2</v>
      </c>
      <c r="H510" s="6">
        <v>73.209999999999994</v>
      </c>
      <c r="I510" t="s">
        <v>117</v>
      </c>
      <c r="J510" t="s">
        <v>118</v>
      </c>
      <c r="K510" t="s">
        <v>119</v>
      </c>
      <c r="L510" t="s">
        <v>120</v>
      </c>
      <c r="M510" s="7">
        <v>82520</v>
      </c>
      <c r="N510" t="s">
        <v>86</v>
      </c>
    </row>
    <row r="511" spans="1:14" x14ac:dyDescent="0.2">
      <c r="A511">
        <v>10757</v>
      </c>
      <c r="B511" t="s">
        <v>226</v>
      </c>
      <c r="C511">
        <v>6</v>
      </c>
      <c r="D511" s="5">
        <v>35761</v>
      </c>
      <c r="E511" s="5">
        <v>35789</v>
      </c>
      <c r="F511" s="5">
        <v>35779</v>
      </c>
      <c r="G511">
        <v>1</v>
      </c>
      <c r="H511" s="6">
        <v>8.19</v>
      </c>
      <c r="I511" t="s">
        <v>227</v>
      </c>
      <c r="J511" t="s">
        <v>228</v>
      </c>
      <c r="K511" t="s">
        <v>229</v>
      </c>
      <c r="L511" t="s">
        <v>230</v>
      </c>
      <c r="M511" s="7">
        <v>83720</v>
      </c>
      <c r="N511" t="s">
        <v>86</v>
      </c>
    </row>
    <row r="512" spans="1:14" x14ac:dyDescent="0.2">
      <c r="A512">
        <v>10758</v>
      </c>
      <c r="B512" t="s">
        <v>47</v>
      </c>
      <c r="C512">
        <v>3</v>
      </c>
      <c r="D512" s="5">
        <v>35762</v>
      </c>
      <c r="E512" s="5">
        <v>35790</v>
      </c>
      <c r="F512" s="5">
        <v>35768</v>
      </c>
      <c r="G512">
        <v>3</v>
      </c>
      <c r="H512" s="6">
        <v>138.16999999999999</v>
      </c>
      <c r="I512" t="s">
        <v>48</v>
      </c>
      <c r="J512" t="s">
        <v>49</v>
      </c>
      <c r="K512" t="s">
        <v>50</v>
      </c>
      <c r="L512" t="s">
        <v>18</v>
      </c>
      <c r="M512" s="7">
        <v>1204</v>
      </c>
      <c r="N512" t="s">
        <v>46</v>
      </c>
    </row>
    <row r="513" spans="1:14" x14ac:dyDescent="0.2">
      <c r="A513">
        <v>10759</v>
      </c>
      <c r="B513" t="s">
        <v>203</v>
      </c>
      <c r="C513">
        <v>3</v>
      </c>
      <c r="D513" s="5">
        <v>35762</v>
      </c>
      <c r="E513" s="5">
        <v>35790</v>
      </c>
      <c r="F513" s="5">
        <v>35776</v>
      </c>
      <c r="G513">
        <v>3</v>
      </c>
      <c r="H513" s="6">
        <v>11.99</v>
      </c>
      <c r="I513" t="s">
        <v>204</v>
      </c>
      <c r="J513" t="s">
        <v>205</v>
      </c>
      <c r="K513" t="s">
        <v>71</v>
      </c>
      <c r="L513" t="s">
        <v>18</v>
      </c>
      <c r="M513" s="7">
        <v>5021</v>
      </c>
      <c r="N513" t="s">
        <v>72</v>
      </c>
    </row>
    <row r="514" spans="1:14" x14ac:dyDescent="0.2">
      <c r="A514">
        <v>10760</v>
      </c>
      <c r="B514" t="s">
        <v>378</v>
      </c>
      <c r="C514">
        <v>4</v>
      </c>
      <c r="D514" s="5">
        <v>35765</v>
      </c>
      <c r="E514" s="5">
        <v>35793</v>
      </c>
      <c r="F514" s="5">
        <v>35774</v>
      </c>
      <c r="G514">
        <v>1</v>
      </c>
      <c r="H514" s="6">
        <v>155.63999999999999</v>
      </c>
      <c r="I514" t="s">
        <v>379</v>
      </c>
      <c r="J514" t="s">
        <v>380</v>
      </c>
      <c r="K514" t="s">
        <v>381</v>
      </c>
      <c r="L514" t="s">
        <v>18</v>
      </c>
      <c r="M514" s="7" t="s">
        <v>382</v>
      </c>
      <c r="N514" t="s">
        <v>41</v>
      </c>
    </row>
    <row r="515" spans="1:14" x14ac:dyDescent="0.2">
      <c r="A515">
        <v>10761</v>
      </c>
      <c r="B515" t="s">
        <v>81</v>
      </c>
      <c r="C515">
        <v>5</v>
      </c>
      <c r="D515" s="5">
        <v>35766</v>
      </c>
      <c r="E515" s="5">
        <v>35794</v>
      </c>
      <c r="F515" s="5">
        <v>35772</v>
      </c>
      <c r="G515">
        <v>2</v>
      </c>
      <c r="H515" s="6">
        <v>18.66</v>
      </c>
      <c r="I515" t="s">
        <v>82</v>
      </c>
      <c r="J515" t="s">
        <v>83</v>
      </c>
      <c r="K515" t="s">
        <v>84</v>
      </c>
      <c r="L515" t="s">
        <v>85</v>
      </c>
      <c r="M515" s="7">
        <v>87110</v>
      </c>
      <c r="N515" t="s">
        <v>86</v>
      </c>
    </row>
    <row r="516" spans="1:14" x14ac:dyDescent="0.2">
      <c r="A516">
        <v>10762</v>
      </c>
      <c r="B516" t="s">
        <v>87</v>
      </c>
      <c r="C516">
        <v>3</v>
      </c>
      <c r="D516" s="5">
        <v>35766</v>
      </c>
      <c r="E516" s="5">
        <v>35794</v>
      </c>
      <c r="F516" s="5">
        <v>35773</v>
      </c>
      <c r="G516">
        <v>1</v>
      </c>
      <c r="H516" s="6">
        <v>328.74</v>
      </c>
      <c r="I516" t="s">
        <v>88</v>
      </c>
      <c r="J516" t="s">
        <v>89</v>
      </c>
      <c r="K516" t="s">
        <v>90</v>
      </c>
      <c r="L516" t="s">
        <v>18</v>
      </c>
      <c r="M516" s="7" t="s">
        <v>91</v>
      </c>
      <c r="N516" t="s">
        <v>92</v>
      </c>
    </row>
    <row r="517" spans="1:14" x14ac:dyDescent="0.2">
      <c r="A517">
        <v>10763</v>
      </c>
      <c r="B517" t="s">
        <v>329</v>
      </c>
      <c r="C517">
        <v>3</v>
      </c>
      <c r="D517" s="5">
        <v>35767</v>
      </c>
      <c r="E517" s="5">
        <v>35795</v>
      </c>
      <c r="F517" s="5">
        <v>35772</v>
      </c>
      <c r="G517">
        <v>3</v>
      </c>
      <c r="H517" s="6">
        <v>37.35</v>
      </c>
      <c r="I517" t="s">
        <v>330</v>
      </c>
      <c r="J517" t="s">
        <v>434</v>
      </c>
      <c r="K517" t="s">
        <v>332</v>
      </c>
      <c r="L517" t="s">
        <v>18</v>
      </c>
      <c r="M517" s="7">
        <v>59000</v>
      </c>
      <c r="N517" t="s">
        <v>19</v>
      </c>
    </row>
    <row r="518" spans="1:14" x14ac:dyDescent="0.2">
      <c r="A518">
        <v>10764</v>
      </c>
      <c r="B518" t="s">
        <v>63</v>
      </c>
      <c r="C518">
        <v>6</v>
      </c>
      <c r="D518" s="5">
        <v>35767</v>
      </c>
      <c r="E518" s="5">
        <v>35795</v>
      </c>
      <c r="F518" s="5">
        <v>35772</v>
      </c>
      <c r="G518">
        <v>3</v>
      </c>
      <c r="H518" s="6">
        <v>145.44999999999999</v>
      </c>
      <c r="I518" t="s">
        <v>64</v>
      </c>
      <c r="J518" t="s">
        <v>65</v>
      </c>
      <c r="K518" t="s">
        <v>66</v>
      </c>
      <c r="L518" t="s">
        <v>18</v>
      </c>
      <c r="M518" s="7">
        <v>8010</v>
      </c>
      <c r="N518" t="s">
        <v>67</v>
      </c>
    </row>
    <row r="519" spans="1:14" x14ac:dyDescent="0.2">
      <c r="A519">
        <v>10765</v>
      </c>
      <c r="B519" t="s">
        <v>121</v>
      </c>
      <c r="C519">
        <v>3</v>
      </c>
      <c r="D519" s="5">
        <v>35768</v>
      </c>
      <c r="E519" s="5">
        <v>35796</v>
      </c>
      <c r="F519" s="5">
        <v>35773</v>
      </c>
      <c r="G519">
        <v>3</v>
      </c>
      <c r="H519" s="6">
        <v>42.74</v>
      </c>
      <c r="I519" t="s">
        <v>122</v>
      </c>
      <c r="J519" t="s">
        <v>123</v>
      </c>
      <c r="K519" t="s">
        <v>124</v>
      </c>
      <c r="L519" t="s">
        <v>18</v>
      </c>
      <c r="M519" s="7">
        <v>1307</v>
      </c>
      <c r="N519" t="s">
        <v>24</v>
      </c>
    </row>
    <row r="520" spans="1:14" x14ac:dyDescent="0.2">
      <c r="A520">
        <v>10766</v>
      </c>
      <c r="B520" t="s">
        <v>73</v>
      </c>
      <c r="C520">
        <v>4</v>
      </c>
      <c r="D520" s="5">
        <v>35769</v>
      </c>
      <c r="E520" s="5">
        <v>35797</v>
      </c>
      <c r="F520" s="5">
        <v>35773</v>
      </c>
      <c r="G520">
        <v>1</v>
      </c>
      <c r="H520" s="6">
        <v>157.55000000000001</v>
      </c>
      <c r="I520" t="s">
        <v>74</v>
      </c>
      <c r="J520" t="s">
        <v>75</v>
      </c>
      <c r="K520" t="s">
        <v>76</v>
      </c>
      <c r="L520" t="s">
        <v>18</v>
      </c>
      <c r="M520" s="7">
        <v>50739</v>
      </c>
      <c r="N520" t="s">
        <v>24</v>
      </c>
    </row>
    <row r="521" spans="1:14" x14ac:dyDescent="0.2">
      <c r="A521">
        <v>10767</v>
      </c>
      <c r="B521" t="s">
        <v>36</v>
      </c>
      <c r="C521">
        <v>4</v>
      </c>
      <c r="D521" s="5">
        <v>35769</v>
      </c>
      <c r="E521" s="5">
        <v>35797</v>
      </c>
      <c r="F521" s="5">
        <v>35779</v>
      </c>
      <c r="G521">
        <v>3</v>
      </c>
      <c r="H521" s="6">
        <v>1.59</v>
      </c>
      <c r="I521" t="s">
        <v>37</v>
      </c>
      <c r="J521" t="s">
        <v>419</v>
      </c>
      <c r="K521" t="s">
        <v>39</v>
      </c>
      <c r="L521" t="s">
        <v>18</v>
      </c>
      <c r="M521" s="7" t="s">
        <v>40</v>
      </c>
      <c r="N521" t="s">
        <v>41</v>
      </c>
    </row>
    <row r="522" spans="1:14" x14ac:dyDescent="0.2">
      <c r="A522">
        <v>10768</v>
      </c>
      <c r="B522" t="s">
        <v>270</v>
      </c>
      <c r="C522">
        <v>3</v>
      </c>
      <c r="D522" s="5">
        <v>35772</v>
      </c>
      <c r="E522" s="5">
        <v>35800</v>
      </c>
      <c r="F522" s="5">
        <v>35779</v>
      </c>
      <c r="G522">
        <v>2</v>
      </c>
      <c r="H522" s="6">
        <v>146.32</v>
      </c>
      <c r="I522" t="s">
        <v>271</v>
      </c>
      <c r="J522" t="s">
        <v>272</v>
      </c>
      <c r="K522" t="s">
        <v>273</v>
      </c>
      <c r="L522" t="s">
        <v>274</v>
      </c>
      <c r="M522" s="7" t="s">
        <v>275</v>
      </c>
      <c r="N522" t="s">
        <v>169</v>
      </c>
    </row>
    <row r="523" spans="1:14" x14ac:dyDescent="0.2">
      <c r="A523">
        <v>10769</v>
      </c>
      <c r="B523" t="s">
        <v>295</v>
      </c>
      <c r="C523">
        <v>3</v>
      </c>
      <c r="D523" s="5">
        <v>35772</v>
      </c>
      <c r="E523" s="5">
        <v>35800</v>
      </c>
      <c r="F523" s="5">
        <v>35776</v>
      </c>
      <c r="G523">
        <v>1</v>
      </c>
      <c r="H523" s="6">
        <v>65.06</v>
      </c>
      <c r="I523" t="s">
        <v>296</v>
      </c>
      <c r="J523" t="s">
        <v>297</v>
      </c>
      <c r="K523" t="s">
        <v>298</v>
      </c>
      <c r="L523" t="s">
        <v>18</v>
      </c>
      <c r="M523" s="7">
        <v>8200</v>
      </c>
      <c r="N523" t="s">
        <v>257</v>
      </c>
    </row>
    <row r="524" spans="1:14" x14ac:dyDescent="0.2">
      <c r="A524">
        <v>10770</v>
      </c>
      <c r="B524" t="s">
        <v>25</v>
      </c>
      <c r="C524">
        <v>8</v>
      </c>
      <c r="D524" s="5">
        <v>35773</v>
      </c>
      <c r="E524" s="5">
        <v>35801</v>
      </c>
      <c r="F524" s="5">
        <v>35781</v>
      </c>
      <c r="G524">
        <v>3</v>
      </c>
      <c r="H524" s="6">
        <v>5.32</v>
      </c>
      <c r="I524" t="s">
        <v>26</v>
      </c>
      <c r="J524" t="s">
        <v>417</v>
      </c>
      <c r="K524" t="s">
        <v>28</v>
      </c>
      <c r="L524" t="s">
        <v>29</v>
      </c>
      <c r="M524" s="7" t="s">
        <v>30</v>
      </c>
      <c r="N524" t="s">
        <v>31</v>
      </c>
    </row>
    <row r="525" spans="1:14" x14ac:dyDescent="0.2">
      <c r="A525">
        <v>10771</v>
      </c>
      <c r="B525" t="s">
        <v>63</v>
      </c>
      <c r="C525">
        <v>9</v>
      </c>
      <c r="D525" s="5">
        <v>35774</v>
      </c>
      <c r="E525" s="5">
        <v>35802</v>
      </c>
      <c r="F525" s="5">
        <v>35797</v>
      </c>
      <c r="G525">
        <v>2</v>
      </c>
      <c r="H525" s="6">
        <v>11.19</v>
      </c>
      <c r="I525" t="s">
        <v>64</v>
      </c>
      <c r="J525" t="s">
        <v>65</v>
      </c>
      <c r="K525" t="s">
        <v>66</v>
      </c>
      <c r="L525" t="s">
        <v>18</v>
      </c>
      <c r="M525" s="7">
        <v>8010</v>
      </c>
      <c r="N525" t="s">
        <v>67</v>
      </c>
    </row>
    <row r="526" spans="1:14" x14ac:dyDescent="0.2">
      <c r="A526">
        <v>10772</v>
      </c>
      <c r="B526" t="s">
        <v>142</v>
      </c>
      <c r="C526">
        <v>3</v>
      </c>
      <c r="D526" s="5">
        <v>35774</v>
      </c>
      <c r="E526" s="5">
        <v>35802</v>
      </c>
      <c r="F526" s="5">
        <v>35783</v>
      </c>
      <c r="G526">
        <v>2</v>
      </c>
      <c r="H526" s="6">
        <v>91.28</v>
      </c>
      <c r="I526" t="s">
        <v>143</v>
      </c>
      <c r="J526" t="s">
        <v>144</v>
      </c>
      <c r="K526" t="s">
        <v>145</v>
      </c>
      <c r="L526" t="s">
        <v>18</v>
      </c>
      <c r="M526" s="7">
        <v>60528</v>
      </c>
      <c r="N526" t="s">
        <v>24</v>
      </c>
    </row>
    <row r="527" spans="1:14" x14ac:dyDescent="0.2">
      <c r="A527">
        <v>10773</v>
      </c>
      <c r="B527" t="s">
        <v>63</v>
      </c>
      <c r="C527">
        <v>1</v>
      </c>
      <c r="D527" s="5">
        <v>35775</v>
      </c>
      <c r="E527" s="5">
        <v>35803</v>
      </c>
      <c r="F527" s="5">
        <v>35780</v>
      </c>
      <c r="G527">
        <v>3</v>
      </c>
      <c r="H527" s="6">
        <v>96.43</v>
      </c>
      <c r="I527" t="s">
        <v>64</v>
      </c>
      <c r="J527" t="s">
        <v>65</v>
      </c>
      <c r="K527" t="s">
        <v>66</v>
      </c>
      <c r="L527" t="s">
        <v>18</v>
      </c>
      <c r="M527" s="7">
        <v>8010</v>
      </c>
      <c r="N527" t="s">
        <v>67</v>
      </c>
    </row>
    <row r="528" spans="1:14" x14ac:dyDescent="0.2">
      <c r="A528">
        <v>10774</v>
      </c>
      <c r="B528" t="s">
        <v>87</v>
      </c>
      <c r="C528">
        <v>4</v>
      </c>
      <c r="D528" s="5">
        <v>35775</v>
      </c>
      <c r="E528" s="5">
        <v>35789</v>
      </c>
      <c r="F528" s="5">
        <v>35776</v>
      </c>
      <c r="G528">
        <v>1</v>
      </c>
      <c r="H528" s="6">
        <v>48.2</v>
      </c>
      <c r="I528" t="s">
        <v>88</v>
      </c>
      <c r="J528" t="s">
        <v>89</v>
      </c>
      <c r="K528" t="s">
        <v>90</v>
      </c>
      <c r="L528" t="s">
        <v>18</v>
      </c>
      <c r="M528" s="7" t="s">
        <v>91</v>
      </c>
      <c r="N528" t="s">
        <v>92</v>
      </c>
    </row>
    <row r="529" spans="1:14" x14ac:dyDescent="0.2">
      <c r="A529">
        <v>10775</v>
      </c>
      <c r="B529" t="s">
        <v>396</v>
      </c>
      <c r="C529">
        <v>7</v>
      </c>
      <c r="D529" s="5">
        <v>35776</v>
      </c>
      <c r="E529" s="5">
        <v>35804</v>
      </c>
      <c r="F529" s="5">
        <v>35790</v>
      </c>
      <c r="G529">
        <v>1</v>
      </c>
      <c r="H529" s="6">
        <v>20.25</v>
      </c>
      <c r="I529" t="s">
        <v>397</v>
      </c>
      <c r="J529" t="s">
        <v>398</v>
      </c>
      <c r="K529" t="s">
        <v>399</v>
      </c>
      <c r="L529" t="s">
        <v>400</v>
      </c>
      <c r="M529" s="7">
        <v>59801</v>
      </c>
      <c r="N529" t="s">
        <v>86</v>
      </c>
    </row>
    <row r="530" spans="1:14" x14ac:dyDescent="0.2">
      <c r="A530">
        <v>10776</v>
      </c>
      <c r="B530" t="s">
        <v>63</v>
      </c>
      <c r="C530">
        <v>1</v>
      </c>
      <c r="D530" s="5">
        <v>35779</v>
      </c>
      <c r="E530" s="5">
        <v>35807</v>
      </c>
      <c r="F530" s="5">
        <v>35782</v>
      </c>
      <c r="G530">
        <v>3</v>
      </c>
      <c r="H530" s="6">
        <v>351.53</v>
      </c>
      <c r="I530" t="s">
        <v>64</v>
      </c>
      <c r="J530" t="s">
        <v>65</v>
      </c>
      <c r="K530" t="s">
        <v>66</v>
      </c>
      <c r="L530" t="s">
        <v>18</v>
      </c>
      <c r="M530" s="7">
        <v>8010</v>
      </c>
      <c r="N530" t="s">
        <v>67</v>
      </c>
    </row>
    <row r="531" spans="1:14" x14ac:dyDescent="0.2">
      <c r="A531">
        <v>10777</v>
      </c>
      <c r="B531" t="s">
        <v>342</v>
      </c>
      <c r="C531">
        <v>7</v>
      </c>
      <c r="D531" s="5">
        <v>35779</v>
      </c>
      <c r="E531" s="5">
        <v>35793</v>
      </c>
      <c r="F531" s="5">
        <v>35816</v>
      </c>
      <c r="G531">
        <v>2</v>
      </c>
      <c r="H531" s="6">
        <v>3.01</v>
      </c>
      <c r="I531" t="s">
        <v>343</v>
      </c>
      <c r="J531" t="s">
        <v>435</v>
      </c>
      <c r="K531" t="s">
        <v>345</v>
      </c>
      <c r="L531" t="s">
        <v>55</v>
      </c>
      <c r="M531" s="7" t="s">
        <v>346</v>
      </c>
      <c r="N531" t="s">
        <v>31</v>
      </c>
    </row>
    <row r="532" spans="1:14" x14ac:dyDescent="0.2">
      <c r="A532">
        <v>10778</v>
      </c>
      <c r="B532" t="s">
        <v>137</v>
      </c>
      <c r="C532">
        <v>3</v>
      </c>
      <c r="D532" s="5">
        <v>35780</v>
      </c>
      <c r="E532" s="5">
        <v>35808</v>
      </c>
      <c r="F532" s="5">
        <v>35788</v>
      </c>
      <c r="G532">
        <v>1</v>
      </c>
      <c r="H532" s="6">
        <v>6.79</v>
      </c>
      <c r="I532" t="s">
        <v>138</v>
      </c>
      <c r="J532" t="s">
        <v>139</v>
      </c>
      <c r="K532" t="s">
        <v>140</v>
      </c>
      <c r="L532" t="s">
        <v>18</v>
      </c>
      <c r="M532" s="7" t="s">
        <v>141</v>
      </c>
      <c r="N532" t="s">
        <v>92</v>
      </c>
    </row>
    <row r="533" spans="1:14" x14ac:dyDescent="0.2">
      <c r="A533">
        <v>10779</v>
      </c>
      <c r="B533" t="s">
        <v>133</v>
      </c>
      <c r="C533">
        <v>3</v>
      </c>
      <c r="D533" s="5">
        <v>35780</v>
      </c>
      <c r="E533" s="5">
        <v>35808</v>
      </c>
      <c r="F533" s="5">
        <v>35809</v>
      </c>
      <c r="G533">
        <v>2</v>
      </c>
      <c r="H533" s="6">
        <v>58.13</v>
      </c>
      <c r="I533" t="s">
        <v>134</v>
      </c>
      <c r="J533" t="s">
        <v>135</v>
      </c>
      <c r="K533" t="s">
        <v>136</v>
      </c>
      <c r="L533" t="s">
        <v>18</v>
      </c>
      <c r="M533" s="7">
        <v>4179</v>
      </c>
      <c r="N533" t="s">
        <v>24</v>
      </c>
    </row>
    <row r="534" spans="1:14" x14ac:dyDescent="0.2">
      <c r="A534">
        <v>10780</v>
      </c>
      <c r="B534" t="s">
        <v>151</v>
      </c>
      <c r="C534">
        <v>2</v>
      </c>
      <c r="D534" s="5">
        <v>35780</v>
      </c>
      <c r="E534" s="5">
        <v>35794</v>
      </c>
      <c r="F534" s="5">
        <v>35789</v>
      </c>
      <c r="G534">
        <v>1</v>
      </c>
      <c r="H534" s="6">
        <v>42.13</v>
      </c>
      <c r="I534" t="s">
        <v>152</v>
      </c>
      <c r="J534" t="s">
        <v>153</v>
      </c>
      <c r="K534" t="s">
        <v>154</v>
      </c>
      <c r="L534" t="s">
        <v>155</v>
      </c>
      <c r="M534" s="7">
        <v>3508</v>
      </c>
      <c r="N534" t="s">
        <v>62</v>
      </c>
    </row>
    <row r="535" spans="1:14" x14ac:dyDescent="0.2">
      <c r="A535">
        <v>10781</v>
      </c>
      <c r="B535" t="s">
        <v>97</v>
      </c>
      <c r="C535">
        <v>2</v>
      </c>
      <c r="D535" s="5">
        <v>35781</v>
      </c>
      <c r="E535" s="5">
        <v>35809</v>
      </c>
      <c r="F535" s="5">
        <v>35783</v>
      </c>
      <c r="G535">
        <v>3</v>
      </c>
      <c r="H535" s="6">
        <v>73.16</v>
      </c>
      <c r="I535" t="s">
        <v>98</v>
      </c>
      <c r="J535" t="s">
        <v>99</v>
      </c>
      <c r="K535" t="s">
        <v>100</v>
      </c>
      <c r="L535" t="s">
        <v>18</v>
      </c>
      <c r="M535" s="7">
        <v>90110</v>
      </c>
      <c r="N535" t="s">
        <v>101</v>
      </c>
    </row>
    <row r="536" spans="1:14" x14ac:dyDescent="0.2">
      <c r="A536">
        <v>10782</v>
      </c>
      <c r="B536" t="s">
        <v>371</v>
      </c>
      <c r="C536">
        <v>9</v>
      </c>
      <c r="D536" s="5">
        <v>35781</v>
      </c>
      <c r="E536" s="5">
        <v>35809</v>
      </c>
      <c r="F536" s="5">
        <v>35786</v>
      </c>
      <c r="G536">
        <v>3</v>
      </c>
      <c r="H536" s="6">
        <v>1.1000000000000001</v>
      </c>
      <c r="I536" t="s">
        <v>372</v>
      </c>
      <c r="J536" t="s">
        <v>373</v>
      </c>
      <c r="K536" t="s">
        <v>336</v>
      </c>
      <c r="L536" t="s">
        <v>18</v>
      </c>
      <c r="M536" s="7">
        <v>1010</v>
      </c>
      <c r="N536" t="s">
        <v>337</v>
      </c>
    </row>
    <row r="537" spans="1:14" x14ac:dyDescent="0.2">
      <c r="A537">
        <v>10783</v>
      </c>
      <c r="B537" t="s">
        <v>25</v>
      </c>
      <c r="C537">
        <v>4</v>
      </c>
      <c r="D537" s="5">
        <v>35782</v>
      </c>
      <c r="E537" s="5">
        <v>35810</v>
      </c>
      <c r="F537" s="5">
        <v>35783</v>
      </c>
      <c r="G537">
        <v>2</v>
      </c>
      <c r="H537" s="6">
        <v>124.98</v>
      </c>
      <c r="I537" t="s">
        <v>26</v>
      </c>
      <c r="J537" t="s">
        <v>417</v>
      </c>
      <c r="K537" t="s">
        <v>28</v>
      </c>
      <c r="L537" t="s">
        <v>29</v>
      </c>
      <c r="M537" s="7" t="s">
        <v>30</v>
      </c>
      <c r="N537" t="s">
        <v>31</v>
      </c>
    </row>
    <row r="538" spans="1:14" x14ac:dyDescent="0.2">
      <c r="A538">
        <v>10784</v>
      </c>
      <c r="B538" t="s">
        <v>125</v>
      </c>
      <c r="C538">
        <v>4</v>
      </c>
      <c r="D538" s="5">
        <v>35782</v>
      </c>
      <c r="E538" s="5">
        <v>35810</v>
      </c>
      <c r="F538" s="5">
        <v>35786</v>
      </c>
      <c r="G538">
        <v>3</v>
      </c>
      <c r="H538" s="6">
        <v>70.09</v>
      </c>
      <c r="I538" t="s">
        <v>126</v>
      </c>
      <c r="J538" t="s">
        <v>127</v>
      </c>
      <c r="K538" t="s">
        <v>128</v>
      </c>
      <c r="L538" t="s">
        <v>18</v>
      </c>
      <c r="M538" s="7">
        <v>24100</v>
      </c>
      <c r="N538" t="s">
        <v>129</v>
      </c>
    </row>
    <row r="539" spans="1:14" x14ac:dyDescent="0.2">
      <c r="A539">
        <v>10785</v>
      </c>
      <c r="B539" t="s">
        <v>106</v>
      </c>
      <c r="C539">
        <v>1</v>
      </c>
      <c r="D539" s="5">
        <v>35782</v>
      </c>
      <c r="E539" s="5">
        <v>35810</v>
      </c>
      <c r="F539" s="5">
        <v>35788</v>
      </c>
      <c r="G539">
        <v>3</v>
      </c>
      <c r="H539" s="6">
        <v>1.51</v>
      </c>
      <c r="I539" t="s">
        <v>107</v>
      </c>
      <c r="J539" t="s">
        <v>108</v>
      </c>
      <c r="K539" t="s">
        <v>109</v>
      </c>
      <c r="L539" t="s">
        <v>110</v>
      </c>
      <c r="M539" s="7">
        <v>1081</v>
      </c>
      <c r="N539" t="s">
        <v>62</v>
      </c>
    </row>
    <row r="540" spans="1:14" x14ac:dyDescent="0.2">
      <c r="A540">
        <v>10786</v>
      </c>
      <c r="B540" t="s">
        <v>299</v>
      </c>
      <c r="C540">
        <v>8</v>
      </c>
      <c r="D540" s="5">
        <v>35783</v>
      </c>
      <c r="E540" s="5">
        <v>35811</v>
      </c>
      <c r="F540" s="5">
        <v>35787</v>
      </c>
      <c r="G540">
        <v>1</v>
      </c>
      <c r="H540" s="6">
        <v>110.87</v>
      </c>
      <c r="I540" t="s">
        <v>300</v>
      </c>
      <c r="J540" t="s">
        <v>433</v>
      </c>
      <c r="K540" t="s">
        <v>173</v>
      </c>
      <c r="L540" t="s">
        <v>55</v>
      </c>
      <c r="M540" s="7" t="s">
        <v>302</v>
      </c>
      <c r="N540" t="s">
        <v>31</v>
      </c>
    </row>
    <row r="541" spans="1:14" x14ac:dyDescent="0.2">
      <c r="A541">
        <v>10787</v>
      </c>
      <c r="B541" t="s">
        <v>262</v>
      </c>
      <c r="C541">
        <v>2</v>
      </c>
      <c r="D541" s="5">
        <v>35783</v>
      </c>
      <c r="E541" s="5">
        <v>35797</v>
      </c>
      <c r="F541" s="5">
        <v>35790</v>
      </c>
      <c r="G541">
        <v>1</v>
      </c>
      <c r="H541" s="6">
        <v>249.93</v>
      </c>
      <c r="I541" t="s">
        <v>263</v>
      </c>
      <c r="J541" t="s">
        <v>264</v>
      </c>
      <c r="K541" t="s">
        <v>265</v>
      </c>
      <c r="L541" t="s">
        <v>18</v>
      </c>
      <c r="M541" s="7">
        <v>31000</v>
      </c>
      <c r="N541" t="s">
        <v>19</v>
      </c>
    </row>
    <row r="542" spans="1:14" x14ac:dyDescent="0.2">
      <c r="A542">
        <v>10788</v>
      </c>
      <c r="B542" t="s">
        <v>121</v>
      </c>
      <c r="C542">
        <v>1</v>
      </c>
      <c r="D542" s="5">
        <v>35786</v>
      </c>
      <c r="E542" s="5">
        <v>35814</v>
      </c>
      <c r="F542" s="5">
        <v>35814</v>
      </c>
      <c r="G542">
        <v>2</v>
      </c>
      <c r="H542" s="6">
        <v>42.7</v>
      </c>
      <c r="I542" t="s">
        <v>122</v>
      </c>
      <c r="J542" t="s">
        <v>123</v>
      </c>
      <c r="K542" t="s">
        <v>124</v>
      </c>
      <c r="L542" t="s">
        <v>18</v>
      </c>
      <c r="M542" s="7">
        <v>1307</v>
      </c>
      <c r="N542" t="s">
        <v>24</v>
      </c>
    </row>
    <row r="543" spans="1:14" x14ac:dyDescent="0.2">
      <c r="A543">
        <v>10789</v>
      </c>
      <c r="B543" t="s">
        <v>329</v>
      </c>
      <c r="C543">
        <v>1</v>
      </c>
      <c r="D543" s="5">
        <v>35786</v>
      </c>
      <c r="E543" s="5">
        <v>35814</v>
      </c>
      <c r="F543" s="5">
        <v>35795</v>
      </c>
      <c r="G543">
        <v>2</v>
      </c>
      <c r="H543" s="6">
        <v>100.6</v>
      </c>
      <c r="I543" t="s">
        <v>330</v>
      </c>
      <c r="J543" t="s">
        <v>434</v>
      </c>
      <c r="K543" t="s">
        <v>332</v>
      </c>
      <c r="L543" t="s">
        <v>18</v>
      </c>
      <c r="M543" s="7">
        <v>59000</v>
      </c>
      <c r="N543" t="s">
        <v>19</v>
      </c>
    </row>
    <row r="544" spans="1:14" x14ac:dyDescent="0.2">
      <c r="A544">
        <v>10790</v>
      </c>
      <c r="B544" t="s">
        <v>342</v>
      </c>
      <c r="C544">
        <v>6</v>
      </c>
      <c r="D544" s="5">
        <v>35786</v>
      </c>
      <c r="E544" s="5">
        <v>35814</v>
      </c>
      <c r="F544" s="5">
        <v>35790</v>
      </c>
      <c r="G544">
        <v>1</v>
      </c>
      <c r="H544" s="6">
        <v>28.23</v>
      </c>
      <c r="I544" t="s">
        <v>343</v>
      </c>
      <c r="J544" t="s">
        <v>435</v>
      </c>
      <c r="K544" t="s">
        <v>345</v>
      </c>
      <c r="L544" t="s">
        <v>55</v>
      </c>
      <c r="M544" s="7" t="s">
        <v>346</v>
      </c>
      <c r="N544" t="s">
        <v>31</v>
      </c>
    </row>
    <row r="545" spans="1:14" x14ac:dyDescent="0.2">
      <c r="A545">
        <v>10791</v>
      </c>
      <c r="B545" t="s">
        <v>102</v>
      </c>
      <c r="C545">
        <v>6</v>
      </c>
      <c r="D545" s="5">
        <v>35787</v>
      </c>
      <c r="E545" s="5">
        <v>35815</v>
      </c>
      <c r="F545" s="5">
        <v>35796</v>
      </c>
      <c r="G545">
        <v>2</v>
      </c>
      <c r="H545" s="6">
        <v>16.850000000000001</v>
      </c>
      <c r="I545" t="s">
        <v>103</v>
      </c>
      <c r="J545" t="s">
        <v>104</v>
      </c>
      <c r="K545" t="s">
        <v>105</v>
      </c>
      <c r="L545" t="s">
        <v>18</v>
      </c>
      <c r="M545" s="7">
        <v>80805</v>
      </c>
      <c r="N545" t="s">
        <v>24</v>
      </c>
    </row>
    <row r="546" spans="1:14" x14ac:dyDescent="0.2">
      <c r="A546">
        <v>10792</v>
      </c>
      <c r="B546" t="s">
        <v>303</v>
      </c>
      <c r="C546">
        <v>1</v>
      </c>
      <c r="D546" s="5">
        <v>35787</v>
      </c>
      <c r="E546" s="5">
        <v>35815</v>
      </c>
      <c r="F546" s="5">
        <v>35795</v>
      </c>
      <c r="G546">
        <v>3</v>
      </c>
      <c r="H546" s="6">
        <v>23.79</v>
      </c>
      <c r="I546" t="s">
        <v>304</v>
      </c>
      <c r="J546" t="s">
        <v>305</v>
      </c>
      <c r="K546" t="s">
        <v>306</v>
      </c>
      <c r="L546" t="s">
        <v>18</v>
      </c>
      <c r="M546" s="7" t="s">
        <v>307</v>
      </c>
      <c r="N546" t="s">
        <v>308</v>
      </c>
    </row>
    <row r="547" spans="1:14" x14ac:dyDescent="0.2">
      <c r="A547">
        <v>10793</v>
      </c>
      <c r="B547" t="s">
        <v>270</v>
      </c>
      <c r="C547">
        <v>3</v>
      </c>
      <c r="D547" s="5">
        <v>35788</v>
      </c>
      <c r="E547" s="5">
        <v>35816</v>
      </c>
      <c r="F547" s="5">
        <v>35803</v>
      </c>
      <c r="G547">
        <v>3</v>
      </c>
      <c r="H547" s="6">
        <v>4.5199999999999996</v>
      </c>
      <c r="I547" t="s">
        <v>271</v>
      </c>
      <c r="J547" t="s">
        <v>272</v>
      </c>
      <c r="K547" t="s">
        <v>273</v>
      </c>
      <c r="L547" t="s">
        <v>274</v>
      </c>
      <c r="M547" s="7" t="s">
        <v>275</v>
      </c>
      <c r="N547" t="s">
        <v>169</v>
      </c>
    </row>
    <row r="548" spans="1:14" x14ac:dyDescent="0.2">
      <c r="A548">
        <v>10794</v>
      </c>
      <c r="B548" t="s">
        <v>77</v>
      </c>
      <c r="C548">
        <v>6</v>
      </c>
      <c r="D548" s="5">
        <v>35788</v>
      </c>
      <c r="E548" s="5">
        <v>35816</v>
      </c>
      <c r="F548" s="5">
        <v>35797</v>
      </c>
      <c r="G548">
        <v>1</v>
      </c>
      <c r="H548" s="6">
        <v>21.49</v>
      </c>
      <c r="I548" t="s">
        <v>78</v>
      </c>
      <c r="J548" t="s">
        <v>421</v>
      </c>
      <c r="K548" t="s">
        <v>28</v>
      </c>
      <c r="L548" t="s">
        <v>29</v>
      </c>
      <c r="M548" s="7" t="s">
        <v>80</v>
      </c>
      <c r="N548" t="s">
        <v>31</v>
      </c>
    </row>
    <row r="549" spans="1:14" x14ac:dyDescent="0.2">
      <c r="A549">
        <v>10795</v>
      </c>
      <c r="B549" t="s">
        <v>63</v>
      </c>
      <c r="C549">
        <v>8</v>
      </c>
      <c r="D549" s="5">
        <v>35788</v>
      </c>
      <c r="E549" s="5">
        <v>35816</v>
      </c>
      <c r="F549" s="5">
        <v>35815</v>
      </c>
      <c r="G549">
        <v>2</v>
      </c>
      <c r="H549" s="6">
        <v>126.66</v>
      </c>
      <c r="I549" t="s">
        <v>64</v>
      </c>
      <c r="J549" t="s">
        <v>65</v>
      </c>
      <c r="K549" t="s">
        <v>66</v>
      </c>
      <c r="L549" t="s">
        <v>18</v>
      </c>
      <c r="M549" s="7">
        <v>8010</v>
      </c>
      <c r="N549" t="s">
        <v>67</v>
      </c>
    </row>
    <row r="550" spans="1:14" x14ac:dyDescent="0.2">
      <c r="A550">
        <v>10796</v>
      </c>
      <c r="B550" t="s">
        <v>57</v>
      </c>
      <c r="C550">
        <v>3</v>
      </c>
      <c r="D550" s="5">
        <v>35789</v>
      </c>
      <c r="E550" s="5">
        <v>35817</v>
      </c>
      <c r="F550" s="5">
        <v>35809</v>
      </c>
      <c r="G550">
        <v>1</v>
      </c>
      <c r="H550" s="6">
        <v>26.52</v>
      </c>
      <c r="I550" t="s">
        <v>58</v>
      </c>
      <c r="J550" t="s">
        <v>59</v>
      </c>
      <c r="K550" t="s">
        <v>60</v>
      </c>
      <c r="L550" t="s">
        <v>61</v>
      </c>
      <c r="M550" s="7">
        <v>5022</v>
      </c>
      <c r="N550" t="s">
        <v>62</v>
      </c>
    </row>
    <row r="551" spans="1:14" x14ac:dyDescent="0.2">
      <c r="A551">
        <v>10797</v>
      </c>
      <c r="B551" t="s">
        <v>280</v>
      </c>
      <c r="C551">
        <v>7</v>
      </c>
      <c r="D551" s="5">
        <v>35789</v>
      </c>
      <c r="E551" s="5">
        <v>35817</v>
      </c>
      <c r="F551" s="5">
        <v>35800</v>
      </c>
      <c r="G551">
        <v>2</v>
      </c>
      <c r="H551" s="6">
        <v>33.35</v>
      </c>
      <c r="I551" t="s">
        <v>281</v>
      </c>
      <c r="J551" t="s">
        <v>282</v>
      </c>
      <c r="K551" t="s">
        <v>283</v>
      </c>
      <c r="L551" t="s">
        <v>18</v>
      </c>
      <c r="M551" s="7">
        <v>52066</v>
      </c>
      <c r="N551" t="s">
        <v>24</v>
      </c>
    </row>
    <row r="552" spans="1:14" x14ac:dyDescent="0.2">
      <c r="A552">
        <v>10798</v>
      </c>
      <c r="B552" t="s">
        <v>213</v>
      </c>
      <c r="C552">
        <v>2</v>
      </c>
      <c r="D552" s="5">
        <v>35790</v>
      </c>
      <c r="E552" s="5">
        <v>35818</v>
      </c>
      <c r="F552" s="5">
        <v>35800</v>
      </c>
      <c r="G552">
        <v>1</v>
      </c>
      <c r="H552" s="6">
        <v>2.33</v>
      </c>
      <c r="I552" t="s">
        <v>214</v>
      </c>
      <c r="J552" t="s">
        <v>215</v>
      </c>
      <c r="K552" t="s">
        <v>216</v>
      </c>
      <c r="L552" t="s">
        <v>217</v>
      </c>
      <c r="M552" s="7" t="s">
        <v>218</v>
      </c>
      <c r="N552" t="s">
        <v>169</v>
      </c>
    </row>
    <row r="553" spans="1:14" x14ac:dyDescent="0.2">
      <c r="A553">
        <v>10799</v>
      </c>
      <c r="B553" t="s">
        <v>222</v>
      </c>
      <c r="C553">
        <v>9</v>
      </c>
      <c r="D553" s="5">
        <v>35790</v>
      </c>
      <c r="E553" s="5">
        <v>35832</v>
      </c>
      <c r="F553" s="5">
        <v>35800</v>
      </c>
      <c r="G553">
        <v>3</v>
      </c>
      <c r="H553" s="6">
        <v>30.76</v>
      </c>
      <c r="I553" t="s">
        <v>223</v>
      </c>
      <c r="J553" t="s">
        <v>224</v>
      </c>
      <c r="K553" t="s">
        <v>225</v>
      </c>
      <c r="L553" t="s">
        <v>18</v>
      </c>
      <c r="M553" s="7">
        <v>14776</v>
      </c>
      <c r="N553" t="s">
        <v>24</v>
      </c>
    </row>
    <row r="554" spans="1:14" x14ac:dyDescent="0.2">
      <c r="A554">
        <v>10800</v>
      </c>
      <c r="B554" t="s">
        <v>276</v>
      </c>
      <c r="C554">
        <v>1</v>
      </c>
      <c r="D554" s="5">
        <v>35790</v>
      </c>
      <c r="E554" s="5">
        <v>35818</v>
      </c>
      <c r="F554" s="5">
        <v>35800</v>
      </c>
      <c r="G554">
        <v>3</v>
      </c>
      <c r="H554" s="6">
        <v>137.44</v>
      </c>
      <c r="I554" t="s">
        <v>277</v>
      </c>
      <c r="J554" t="s">
        <v>278</v>
      </c>
      <c r="K554" t="s">
        <v>167</v>
      </c>
      <c r="L554" t="s">
        <v>18</v>
      </c>
      <c r="M554" s="7" t="s">
        <v>279</v>
      </c>
      <c r="N554" t="s">
        <v>169</v>
      </c>
    </row>
    <row r="555" spans="1:14" x14ac:dyDescent="0.2">
      <c r="A555">
        <v>10801</v>
      </c>
      <c r="B555" t="s">
        <v>231</v>
      </c>
      <c r="C555">
        <v>4</v>
      </c>
      <c r="D555" s="5">
        <v>35793</v>
      </c>
      <c r="E555" s="5">
        <v>35821</v>
      </c>
      <c r="F555" s="5">
        <v>35795</v>
      </c>
      <c r="G555">
        <v>2</v>
      </c>
      <c r="H555" s="6">
        <v>97.09</v>
      </c>
      <c r="I555" t="s">
        <v>232</v>
      </c>
      <c r="J555" t="s">
        <v>429</v>
      </c>
      <c r="K555" t="s">
        <v>149</v>
      </c>
      <c r="L555" t="s">
        <v>18</v>
      </c>
      <c r="M555" s="7">
        <v>28023</v>
      </c>
      <c r="N555" t="s">
        <v>150</v>
      </c>
    </row>
    <row r="556" spans="1:14" x14ac:dyDescent="0.2">
      <c r="A556">
        <v>10802</v>
      </c>
      <c r="B556" t="s">
        <v>253</v>
      </c>
      <c r="C556">
        <v>4</v>
      </c>
      <c r="D556" s="5">
        <v>35793</v>
      </c>
      <c r="E556" s="5">
        <v>35821</v>
      </c>
      <c r="F556" s="5">
        <v>35797</v>
      </c>
      <c r="G556">
        <v>2</v>
      </c>
      <c r="H556" s="6">
        <v>257.26</v>
      </c>
      <c r="I556" t="s">
        <v>254</v>
      </c>
      <c r="J556" t="s">
        <v>255</v>
      </c>
      <c r="K556" t="s">
        <v>256</v>
      </c>
      <c r="L556" t="s">
        <v>18</v>
      </c>
      <c r="M556" s="7">
        <v>1734</v>
      </c>
      <c r="N556" t="s">
        <v>257</v>
      </c>
    </row>
    <row r="557" spans="1:14" x14ac:dyDescent="0.2">
      <c r="A557">
        <v>10803</v>
      </c>
      <c r="B557" t="s">
        <v>51</v>
      </c>
      <c r="C557">
        <v>4</v>
      </c>
      <c r="D557" s="5">
        <v>35794</v>
      </c>
      <c r="E557" s="5">
        <v>35822</v>
      </c>
      <c r="F557" s="5">
        <v>35801</v>
      </c>
      <c r="G557">
        <v>1</v>
      </c>
      <c r="H557" s="6">
        <v>55.23</v>
      </c>
      <c r="I557" t="s">
        <v>52</v>
      </c>
      <c r="J557" t="s">
        <v>420</v>
      </c>
      <c r="K557" t="s">
        <v>54</v>
      </c>
      <c r="L557" t="s">
        <v>55</v>
      </c>
      <c r="M557" s="7" t="s">
        <v>56</v>
      </c>
      <c r="N557" t="s">
        <v>31</v>
      </c>
    </row>
    <row r="558" spans="1:14" x14ac:dyDescent="0.2">
      <c r="A558">
        <v>10804</v>
      </c>
      <c r="B558" t="s">
        <v>276</v>
      </c>
      <c r="C558">
        <v>6</v>
      </c>
      <c r="D558" s="5">
        <v>35794</v>
      </c>
      <c r="E558" s="5">
        <v>35822</v>
      </c>
      <c r="F558" s="5">
        <v>35802</v>
      </c>
      <c r="G558">
        <v>2</v>
      </c>
      <c r="H558" s="6">
        <v>27.33</v>
      </c>
      <c r="I558" t="s">
        <v>277</v>
      </c>
      <c r="J558" t="s">
        <v>278</v>
      </c>
      <c r="K558" t="s">
        <v>167</v>
      </c>
      <c r="L558" t="s">
        <v>18</v>
      </c>
      <c r="M558" s="7" t="s">
        <v>279</v>
      </c>
      <c r="N558" t="s">
        <v>169</v>
      </c>
    </row>
    <row r="559" spans="1:14" x14ac:dyDescent="0.2">
      <c r="A559">
        <v>10805</v>
      </c>
      <c r="B559" t="s">
        <v>206</v>
      </c>
      <c r="C559">
        <v>2</v>
      </c>
      <c r="D559" s="5">
        <v>35794</v>
      </c>
      <c r="E559" s="5">
        <v>35822</v>
      </c>
      <c r="F559" s="5">
        <v>35804</v>
      </c>
      <c r="G559">
        <v>3</v>
      </c>
      <c r="H559" s="6">
        <v>237.34</v>
      </c>
      <c r="I559" t="s">
        <v>207</v>
      </c>
      <c r="J559" t="s">
        <v>208</v>
      </c>
      <c r="K559" t="s">
        <v>201</v>
      </c>
      <c r="L559" t="s">
        <v>202</v>
      </c>
      <c r="M559" s="7">
        <v>97201</v>
      </c>
      <c r="N559" t="s">
        <v>86</v>
      </c>
    </row>
    <row r="560" spans="1:14" x14ac:dyDescent="0.2">
      <c r="A560">
        <v>10806</v>
      </c>
      <c r="B560" t="s">
        <v>32</v>
      </c>
      <c r="C560">
        <v>3</v>
      </c>
      <c r="D560" s="5">
        <v>35795</v>
      </c>
      <c r="E560" s="5">
        <v>35823</v>
      </c>
      <c r="F560" s="5">
        <v>35800</v>
      </c>
      <c r="G560">
        <v>2</v>
      </c>
      <c r="H560" s="6">
        <v>22.11</v>
      </c>
      <c r="I560" t="s">
        <v>33</v>
      </c>
      <c r="J560" t="s">
        <v>418</v>
      </c>
      <c r="K560" t="s">
        <v>35</v>
      </c>
      <c r="L560" t="s">
        <v>18</v>
      </c>
      <c r="M560" s="7">
        <v>69004</v>
      </c>
      <c r="N560" t="s">
        <v>19</v>
      </c>
    </row>
    <row r="561" spans="1:14" x14ac:dyDescent="0.2">
      <c r="A561">
        <v>10807</v>
      </c>
      <c r="B561" t="s">
        <v>338</v>
      </c>
      <c r="C561">
        <v>4</v>
      </c>
      <c r="D561" s="5">
        <v>35795</v>
      </c>
      <c r="E561" s="5">
        <v>35823</v>
      </c>
      <c r="F561" s="5">
        <v>35825</v>
      </c>
      <c r="G561">
        <v>1</v>
      </c>
      <c r="H561" s="6">
        <v>1.36</v>
      </c>
      <c r="I561" t="s">
        <v>339</v>
      </c>
      <c r="J561" t="s">
        <v>340</v>
      </c>
      <c r="K561" t="s">
        <v>341</v>
      </c>
      <c r="L561" t="s">
        <v>18</v>
      </c>
      <c r="M561" s="7">
        <v>10100</v>
      </c>
      <c r="N561" t="s">
        <v>129</v>
      </c>
    </row>
    <row r="562" spans="1:14" x14ac:dyDescent="0.2">
      <c r="A562">
        <v>10808</v>
      </c>
      <c r="B562" t="s">
        <v>193</v>
      </c>
      <c r="C562">
        <v>2</v>
      </c>
      <c r="D562" s="5">
        <v>35796</v>
      </c>
      <c r="E562" s="5">
        <v>35824</v>
      </c>
      <c r="F562" s="5">
        <v>35804</v>
      </c>
      <c r="G562">
        <v>3</v>
      </c>
      <c r="H562" s="6">
        <v>45.53</v>
      </c>
      <c r="I562" t="s">
        <v>194</v>
      </c>
      <c r="J562" t="s">
        <v>195</v>
      </c>
      <c r="K562" t="s">
        <v>196</v>
      </c>
      <c r="L562" t="s">
        <v>197</v>
      </c>
      <c r="M562" s="7">
        <v>99508</v>
      </c>
      <c r="N562" t="s">
        <v>86</v>
      </c>
    </row>
    <row r="563" spans="1:14" x14ac:dyDescent="0.2">
      <c r="A563">
        <v>10809</v>
      </c>
      <c r="B563" t="s">
        <v>51</v>
      </c>
      <c r="C563">
        <v>7</v>
      </c>
      <c r="D563" s="5">
        <v>35796</v>
      </c>
      <c r="E563" s="5">
        <v>35824</v>
      </c>
      <c r="F563" s="5">
        <v>35802</v>
      </c>
      <c r="G563">
        <v>1</v>
      </c>
      <c r="H563" s="6">
        <v>4.87</v>
      </c>
      <c r="I563" t="s">
        <v>52</v>
      </c>
      <c r="J563" t="s">
        <v>420</v>
      </c>
      <c r="K563" t="s">
        <v>54</v>
      </c>
      <c r="L563" t="s">
        <v>55</v>
      </c>
      <c r="M563" s="7" t="s">
        <v>56</v>
      </c>
      <c r="N563" t="s">
        <v>31</v>
      </c>
    </row>
    <row r="564" spans="1:14" x14ac:dyDescent="0.2">
      <c r="A564">
        <v>10810</v>
      </c>
      <c r="B564" t="s">
        <v>358</v>
      </c>
      <c r="C564">
        <v>2</v>
      </c>
      <c r="D564" s="5">
        <v>35796</v>
      </c>
      <c r="E564" s="5">
        <v>35824</v>
      </c>
      <c r="F564" s="5">
        <v>35802</v>
      </c>
      <c r="G564">
        <v>3</v>
      </c>
      <c r="H564" s="6">
        <v>4.33</v>
      </c>
      <c r="I564" t="s">
        <v>359</v>
      </c>
      <c r="J564" t="s">
        <v>360</v>
      </c>
      <c r="K564" t="s">
        <v>361</v>
      </c>
      <c r="L564" t="s">
        <v>322</v>
      </c>
      <c r="M564" s="7" t="s">
        <v>362</v>
      </c>
      <c r="N564" t="s">
        <v>249</v>
      </c>
    </row>
    <row r="565" spans="1:14" x14ac:dyDescent="0.2">
      <c r="A565">
        <v>10811</v>
      </c>
      <c r="B565" t="s">
        <v>324</v>
      </c>
      <c r="C565">
        <v>8</v>
      </c>
      <c r="D565" s="5">
        <v>35797</v>
      </c>
      <c r="E565" s="5">
        <v>35825</v>
      </c>
      <c r="F565" s="5">
        <v>35803</v>
      </c>
      <c r="G565">
        <v>1</v>
      </c>
      <c r="H565" s="6">
        <v>31.22</v>
      </c>
      <c r="I565" t="s">
        <v>325</v>
      </c>
      <c r="J565" t="s">
        <v>326</v>
      </c>
      <c r="K565" t="s">
        <v>327</v>
      </c>
      <c r="L565" t="s">
        <v>328</v>
      </c>
      <c r="M565" s="7">
        <v>4980</v>
      </c>
      <c r="N565" t="s">
        <v>62</v>
      </c>
    </row>
    <row r="566" spans="1:14" x14ac:dyDescent="0.2">
      <c r="A566">
        <v>10812</v>
      </c>
      <c r="B566" t="s">
        <v>160</v>
      </c>
      <c r="C566">
        <v>5</v>
      </c>
      <c r="D566" s="5">
        <v>35797</v>
      </c>
      <c r="E566" s="5">
        <v>35825</v>
      </c>
      <c r="F566" s="5">
        <v>35807</v>
      </c>
      <c r="G566">
        <v>1</v>
      </c>
      <c r="H566" s="6">
        <v>59.78</v>
      </c>
      <c r="I566" t="s">
        <v>161</v>
      </c>
      <c r="J566" t="s">
        <v>162</v>
      </c>
      <c r="K566" t="s">
        <v>163</v>
      </c>
      <c r="L566" t="s">
        <v>18</v>
      </c>
      <c r="M566" s="7">
        <v>42100</v>
      </c>
      <c r="N566" t="s">
        <v>129</v>
      </c>
    </row>
    <row r="567" spans="1:14" x14ac:dyDescent="0.2">
      <c r="A567">
        <v>10813</v>
      </c>
      <c r="B567" t="s">
        <v>156</v>
      </c>
      <c r="C567">
        <v>1</v>
      </c>
      <c r="D567" s="5">
        <v>35800</v>
      </c>
      <c r="E567" s="5">
        <v>35828</v>
      </c>
      <c r="F567" s="5">
        <v>35804</v>
      </c>
      <c r="G567">
        <v>1</v>
      </c>
      <c r="H567" s="6">
        <v>47.38</v>
      </c>
      <c r="I567" t="s">
        <v>157</v>
      </c>
      <c r="J567" t="s">
        <v>424</v>
      </c>
      <c r="K567" t="s">
        <v>28</v>
      </c>
      <c r="L567" t="s">
        <v>29</v>
      </c>
      <c r="M567" s="7" t="s">
        <v>159</v>
      </c>
      <c r="N567" t="s">
        <v>31</v>
      </c>
    </row>
    <row r="568" spans="1:14" x14ac:dyDescent="0.2">
      <c r="A568">
        <v>10814</v>
      </c>
      <c r="B568" t="s">
        <v>32</v>
      </c>
      <c r="C568">
        <v>3</v>
      </c>
      <c r="D568" s="5">
        <v>35800</v>
      </c>
      <c r="E568" s="5">
        <v>35828</v>
      </c>
      <c r="F568" s="5">
        <v>35809</v>
      </c>
      <c r="G568">
        <v>3</v>
      </c>
      <c r="H568" s="6">
        <v>130.94</v>
      </c>
      <c r="I568" t="s">
        <v>33</v>
      </c>
      <c r="J568" t="s">
        <v>418</v>
      </c>
      <c r="K568" t="s">
        <v>35</v>
      </c>
      <c r="L568" t="s">
        <v>18</v>
      </c>
      <c r="M568" s="7">
        <v>69004</v>
      </c>
      <c r="N568" t="s">
        <v>19</v>
      </c>
    </row>
    <row r="569" spans="1:14" x14ac:dyDescent="0.2">
      <c r="A569">
        <v>10815</v>
      </c>
      <c r="B569" t="s">
        <v>226</v>
      </c>
      <c r="C569">
        <v>2</v>
      </c>
      <c r="D569" s="5">
        <v>35800</v>
      </c>
      <c r="E569" s="5">
        <v>35828</v>
      </c>
      <c r="F569" s="5">
        <v>35809</v>
      </c>
      <c r="G569">
        <v>3</v>
      </c>
      <c r="H569" s="6">
        <v>14.62</v>
      </c>
      <c r="I569" t="s">
        <v>227</v>
      </c>
      <c r="J569" t="s">
        <v>228</v>
      </c>
      <c r="K569" t="s">
        <v>229</v>
      </c>
      <c r="L569" t="s">
        <v>230</v>
      </c>
      <c r="M569" s="7">
        <v>83720</v>
      </c>
      <c r="N569" t="s">
        <v>86</v>
      </c>
    </row>
    <row r="570" spans="1:14" x14ac:dyDescent="0.2">
      <c r="A570">
        <v>10816</v>
      </c>
      <c r="B570" t="s">
        <v>374</v>
      </c>
      <c r="C570">
        <v>4</v>
      </c>
      <c r="D570" s="5">
        <v>35801</v>
      </c>
      <c r="E570" s="5">
        <v>35829</v>
      </c>
      <c r="F570" s="5">
        <v>35830</v>
      </c>
      <c r="G570">
        <v>2</v>
      </c>
      <c r="H570" s="6">
        <v>719.78</v>
      </c>
      <c r="I570" t="s">
        <v>375</v>
      </c>
      <c r="J570" t="s">
        <v>376</v>
      </c>
      <c r="K570" t="s">
        <v>377</v>
      </c>
      <c r="L570" t="s">
        <v>202</v>
      </c>
      <c r="M570" s="7">
        <v>97403</v>
      </c>
      <c r="N570" t="s">
        <v>86</v>
      </c>
    </row>
    <row r="571" spans="1:14" x14ac:dyDescent="0.2">
      <c r="A571">
        <v>10817</v>
      </c>
      <c r="B571" t="s">
        <v>222</v>
      </c>
      <c r="C571">
        <v>3</v>
      </c>
      <c r="D571" s="5">
        <v>35801</v>
      </c>
      <c r="E571" s="5">
        <v>35815</v>
      </c>
      <c r="F571" s="5">
        <v>35808</v>
      </c>
      <c r="G571">
        <v>2</v>
      </c>
      <c r="H571" s="6">
        <v>306.07</v>
      </c>
      <c r="I571" t="s">
        <v>223</v>
      </c>
      <c r="J571" t="s">
        <v>224</v>
      </c>
      <c r="K571" t="s">
        <v>225</v>
      </c>
      <c r="L571" t="s">
        <v>18</v>
      </c>
      <c r="M571" s="7">
        <v>14776</v>
      </c>
      <c r="N571" t="s">
        <v>24</v>
      </c>
    </row>
    <row r="572" spans="1:14" x14ac:dyDescent="0.2">
      <c r="A572">
        <v>10818</v>
      </c>
      <c r="B572" t="s">
        <v>125</v>
      </c>
      <c r="C572">
        <v>7</v>
      </c>
      <c r="D572" s="5">
        <v>35802</v>
      </c>
      <c r="E572" s="5">
        <v>35830</v>
      </c>
      <c r="F572" s="5">
        <v>35807</v>
      </c>
      <c r="G572">
        <v>3</v>
      </c>
      <c r="H572" s="6">
        <v>65.48</v>
      </c>
      <c r="I572" t="s">
        <v>126</v>
      </c>
      <c r="J572" t="s">
        <v>127</v>
      </c>
      <c r="K572" t="s">
        <v>128</v>
      </c>
      <c r="L572" t="s">
        <v>18</v>
      </c>
      <c r="M572" s="7">
        <v>24100</v>
      </c>
      <c r="N572" t="s">
        <v>129</v>
      </c>
    </row>
    <row r="573" spans="1:14" x14ac:dyDescent="0.2">
      <c r="A573">
        <v>10819</v>
      </c>
      <c r="B573" t="s">
        <v>371</v>
      </c>
      <c r="C573">
        <v>2</v>
      </c>
      <c r="D573" s="5">
        <v>35802</v>
      </c>
      <c r="E573" s="5">
        <v>35830</v>
      </c>
      <c r="F573" s="5">
        <v>35811</v>
      </c>
      <c r="G573">
        <v>3</v>
      </c>
      <c r="H573" s="6">
        <v>19.760000000000002</v>
      </c>
      <c r="I573" t="s">
        <v>372</v>
      </c>
      <c r="J573" t="s">
        <v>373</v>
      </c>
      <c r="K573" t="s">
        <v>336</v>
      </c>
      <c r="L573" t="s">
        <v>18</v>
      </c>
      <c r="M573" s="7">
        <v>1010</v>
      </c>
      <c r="N573" t="s">
        <v>337</v>
      </c>
    </row>
    <row r="574" spans="1:14" x14ac:dyDescent="0.2">
      <c r="A574">
        <v>10820</v>
      </c>
      <c r="B574" t="s">
        <v>81</v>
      </c>
      <c r="C574">
        <v>3</v>
      </c>
      <c r="D574" s="5">
        <v>35802</v>
      </c>
      <c r="E574" s="5">
        <v>35830</v>
      </c>
      <c r="F574" s="5">
        <v>35808</v>
      </c>
      <c r="G574">
        <v>2</v>
      </c>
      <c r="H574" s="6">
        <v>37.520000000000003</v>
      </c>
      <c r="I574" t="s">
        <v>82</v>
      </c>
      <c r="J574" t="s">
        <v>83</v>
      </c>
      <c r="K574" t="s">
        <v>84</v>
      </c>
      <c r="L574" t="s">
        <v>85</v>
      </c>
      <c r="M574" s="7">
        <v>87110</v>
      </c>
      <c r="N574" t="s">
        <v>86</v>
      </c>
    </row>
    <row r="575" spans="1:14" x14ac:dyDescent="0.2">
      <c r="A575">
        <v>10821</v>
      </c>
      <c r="B575" t="s">
        <v>116</v>
      </c>
      <c r="C575">
        <v>1</v>
      </c>
      <c r="D575" s="5">
        <v>35803</v>
      </c>
      <c r="E575" s="5">
        <v>35831</v>
      </c>
      <c r="F575" s="5">
        <v>35810</v>
      </c>
      <c r="G575">
        <v>1</v>
      </c>
      <c r="H575" s="6">
        <v>36.68</v>
      </c>
      <c r="I575" t="s">
        <v>117</v>
      </c>
      <c r="J575" t="s">
        <v>118</v>
      </c>
      <c r="K575" t="s">
        <v>119</v>
      </c>
      <c r="L575" t="s">
        <v>120</v>
      </c>
      <c r="M575" s="7">
        <v>82520</v>
      </c>
      <c r="N575" t="s">
        <v>86</v>
      </c>
    </row>
    <row r="576" spans="1:14" x14ac:dyDescent="0.2">
      <c r="A576">
        <v>10822</v>
      </c>
      <c r="B576" t="s">
        <v>383</v>
      </c>
      <c r="C576">
        <v>6</v>
      </c>
      <c r="D576" s="5">
        <v>35803</v>
      </c>
      <c r="E576" s="5">
        <v>35831</v>
      </c>
      <c r="F576" s="5">
        <v>35811</v>
      </c>
      <c r="G576">
        <v>3</v>
      </c>
      <c r="H576" s="6">
        <v>7</v>
      </c>
      <c r="I576" t="s">
        <v>384</v>
      </c>
      <c r="J576" t="s">
        <v>385</v>
      </c>
      <c r="K576" t="s">
        <v>386</v>
      </c>
      <c r="L576" t="s">
        <v>115</v>
      </c>
      <c r="M576" s="7">
        <v>98034</v>
      </c>
      <c r="N576" t="s">
        <v>86</v>
      </c>
    </row>
    <row r="577" spans="1:14" x14ac:dyDescent="0.2">
      <c r="A577">
        <v>10823</v>
      </c>
      <c r="B577" t="s">
        <v>151</v>
      </c>
      <c r="C577">
        <v>5</v>
      </c>
      <c r="D577" s="5">
        <v>35804</v>
      </c>
      <c r="E577" s="5">
        <v>35832</v>
      </c>
      <c r="F577" s="5">
        <v>35808</v>
      </c>
      <c r="G577">
        <v>2</v>
      </c>
      <c r="H577" s="6">
        <v>163.97</v>
      </c>
      <c r="I577" t="s">
        <v>152</v>
      </c>
      <c r="J577" t="s">
        <v>153</v>
      </c>
      <c r="K577" t="s">
        <v>154</v>
      </c>
      <c r="L577" t="s">
        <v>155</v>
      </c>
      <c r="M577" s="7">
        <v>3508</v>
      </c>
      <c r="N577" t="s">
        <v>62</v>
      </c>
    </row>
    <row r="578" spans="1:14" x14ac:dyDescent="0.2">
      <c r="A578">
        <v>10824</v>
      </c>
      <c r="B578" t="s">
        <v>87</v>
      </c>
      <c r="C578">
        <v>8</v>
      </c>
      <c r="D578" s="5">
        <v>35804</v>
      </c>
      <c r="E578" s="5">
        <v>35832</v>
      </c>
      <c r="F578" s="5">
        <v>35825</v>
      </c>
      <c r="G578">
        <v>1</v>
      </c>
      <c r="H578" s="6">
        <v>1.23</v>
      </c>
      <c r="I578" t="s">
        <v>88</v>
      </c>
      <c r="J578" t="s">
        <v>89</v>
      </c>
      <c r="K578" t="s">
        <v>90</v>
      </c>
      <c r="L578" t="s">
        <v>18</v>
      </c>
      <c r="M578" s="7" t="s">
        <v>91</v>
      </c>
      <c r="N578" t="s">
        <v>92</v>
      </c>
    </row>
    <row r="579" spans="1:14" x14ac:dyDescent="0.2">
      <c r="A579">
        <v>10825</v>
      </c>
      <c r="B579" t="s">
        <v>280</v>
      </c>
      <c r="C579">
        <v>1</v>
      </c>
      <c r="D579" s="5">
        <v>35804</v>
      </c>
      <c r="E579" s="5">
        <v>35832</v>
      </c>
      <c r="F579" s="5">
        <v>35809</v>
      </c>
      <c r="G579">
        <v>1</v>
      </c>
      <c r="H579" s="6">
        <v>79.25</v>
      </c>
      <c r="I579" t="s">
        <v>281</v>
      </c>
      <c r="J579" t="s">
        <v>282</v>
      </c>
      <c r="K579" t="s">
        <v>283</v>
      </c>
      <c r="L579" t="s">
        <v>18</v>
      </c>
      <c r="M579" s="7">
        <v>52066</v>
      </c>
      <c r="N579" t="s">
        <v>24</v>
      </c>
    </row>
    <row r="580" spans="1:14" x14ac:dyDescent="0.2">
      <c r="A580">
        <v>10826</v>
      </c>
      <c r="B580" t="s">
        <v>93</v>
      </c>
      <c r="C580">
        <v>6</v>
      </c>
      <c r="D580" s="5">
        <v>35807</v>
      </c>
      <c r="E580" s="5">
        <v>35835</v>
      </c>
      <c r="F580" s="5">
        <v>35832</v>
      </c>
      <c r="G580">
        <v>1</v>
      </c>
      <c r="H580" s="6">
        <v>7.09</v>
      </c>
      <c r="I580" t="s">
        <v>94</v>
      </c>
      <c r="J580" t="s">
        <v>422</v>
      </c>
      <c r="K580" t="s">
        <v>96</v>
      </c>
      <c r="L580" t="s">
        <v>18</v>
      </c>
      <c r="M580" s="7">
        <v>67000</v>
      </c>
      <c r="N580" t="s">
        <v>19</v>
      </c>
    </row>
    <row r="581" spans="1:14" x14ac:dyDescent="0.2">
      <c r="A581">
        <v>10827</v>
      </c>
      <c r="B581" t="s">
        <v>239</v>
      </c>
      <c r="C581">
        <v>1</v>
      </c>
      <c r="D581" s="5">
        <v>35807</v>
      </c>
      <c r="E581" s="5">
        <v>35821</v>
      </c>
      <c r="F581" s="5">
        <v>35832</v>
      </c>
      <c r="G581">
        <v>2</v>
      </c>
      <c r="H581" s="6">
        <v>63.54</v>
      </c>
      <c r="I581" t="s">
        <v>240</v>
      </c>
      <c r="J581" t="s">
        <v>430</v>
      </c>
      <c r="K581" t="s">
        <v>242</v>
      </c>
      <c r="L581" t="s">
        <v>18</v>
      </c>
      <c r="M581" s="7">
        <v>13008</v>
      </c>
      <c r="N581" t="s">
        <v>19</v>
      </c>
    </row>
    <row r="582" spans="1:14" x14ac:dyDescent="0.2">
      <c r="A582">
        <v>10828</v>
      </c>
      <c r="B582" t="s">
        <v>351</v>
      </c>
      <c r="C582">
        <v>9</v>
      </c>
      <c r="D582" s="5">
        <v>35808</v>
      </c>
      <c r="E582" s="5">
        <v>35822</v>
      </c>
      <c r="F582" s="5">
        <v>35830</v>
      </c>
      <c r="G582">
        <v>1</v>
      </c>
      <c r="H582" s="6">
        <v>90.85</v>
      </c>
      <c r="I582" t="s">
        <v>352</v>
      </c>
      <c r="J582" t="s">
        <v>353</v>
      </c>
      <c r="K582" t="s">
        <v>336</v>
      </c>
      <c r="L582" t="s">
        <v>18</v>
      </c>
      <c r="M582" s="7">
        <v>1010</v>
      </c>
      <c r="N582" t="s">
        <v>337</v>
      </c>
    </row>
    <row r="583" spans="1:14" x14ac:dyDescent="0.2">
      <c r="A583">
        <v>10829</v>
      </c>
      <c r="B583" t="s">
        <v>213</v>
      </c>
      <c r="C583">
        <v>9</v>
      </c>
      <c r="D583" s="5">
        <v>35808</v>
      </c>
      <c r="E583" s="5">
        <v>35836</v>
      </c>
      <c r="F583" s="5">
        <v>35818</v>
      </c>
      <c r="G583">
        <v>1</v>
      </c>
      <c r="H583" s="6">
        <v>154.72</v>
      </c>
      <c r="I583" t="s">
        <v>214</v>
      </c>
      <c r="J583" t="s">
        <v>215</v>
      </c>
      <c r="K583" t="s">
        <v>216</v>
      </c>
      <c r="L583" t="s">
        <v>217</v>
      </c>
      <c r="M583" s="7" t="s">
        <v>218</v>
      </c>
      <c r="N583" t="s">
        <v>169</v>
      </c>
    </row>
    <row r="584" spans="1:14" x14ac:dyDescent="0.2">
      <c r="A584">
        <v>10830</v>
      </c>
      <c r="B584" t="s">
        <v>175</v>
      </c>
      <c r="C584">
        <v>4</v>
      </c>
      <c r="D584" s="5">
        <v>35808</v>
      </c>
      <c r="E584" s="5">
        <v>35850</v>
      </c>
      <c r="F584" s="5">
        <v>35816</v>
      </c>
      <c r="G584">
        <v>2</v>
      </c>
      <c r="H584" s="6">
        <v>81.83</v>
      </c>
      <c r="I584" t="s">
        <v>176</v>
      </c>
      <c r="J584" t="s">
        <v>426</v>
      </c>
      <c r="K584" t="s">
        <v>173</v>
      </c>
      <c r="L584" t="s">
        <v>55</v>
      </c>
      <c r="M584" s="7" t="s">
        <v>178</v>
      </c>
      <c r="N584" t="s">
        <v>31</v>
      </c>
    </row>
    <row r="585" spans="1:14" x14ac:dyDescent="0.2">
      <c r="A585">
        <v>10831</v>
      </c>
      <c r="B585" t="s">
        <v>313</v>
      </c>
      <c r="C585">
        <v>3</v>
      </c>
      <c r="D585" s="5">
        <v>35809</v>
      </c>
      <c r="E585" s="5">
        <v>35837</v>
      </c>
      <c r="F585" s="5">
        <v>35818</v>
      </c>
      <c r="G585">
        <v>2</v>
      </c>
      <c r="H585" s="6">
        <v>72.19</v>
      </c>
      <c r="I585" t="s">
        <v>314</v>
      </c>
      <c r="J585" t="s">
        <v>315</v>
      </c>
      <c r="K585" t="s">
        <v>316</v>
      </c>
      <c r="L585" t="s">
        <v>18</v>
      </c>
      <c r="M585" s="7">
        <v>4110</v>
      </c>
      <c r="N585" t="s">
        <v>317</v>
      </c>
    </row>
    <row r="586" spans="1:14" x14ac:dyDescent="0.2">
      <c r="A586">
        <v>10832</v>
      </c>
      <c r="B586" t="s">
        <v>262</v>
      </c>
      <c r="C586">
        <v>2</v>
      </c>
      <c r="D586" s="5">
        <v>35809</v>
      </c>
      <c r="E586" s="5">
        <v>35837</v>
      </c>
      <c r="F586" s="5">
        <v>35814</v>
      </c>
      <c r="G586">
        <v>2</v>
      </c>
      <c r="H586" s="6">
        <v>43.26</v>
      </c>
      <c r="I586" t="s">
        <v>263</v>
      </c>
      <c r="J586" t="s">
        <v>264</v>
      </c>
      <c r="K586" t="s">
        <v>265</v>
      </c>
      <c r="L586" t="s">
        <v>18</v>
      </c>
      <c r="M586" s="7">
        <v>31000</v>
      </c>
      <c r="N586" t="s">
        <v>19</v>
      </c>
    </row>
    <row r="587" spans="1:14" x14ac:dyDescent="0.2">
      <c r="A587">
        <v>10833</v>
      </c>
      <c r="B587" t="s">
        <v>73</v>
      </c>
      <c r="C587">
        <v>6</v>
      </c>
      <c r="D587" s="5">
        <v>35810</v>
      </c>
      <c r="E587" s="5">
        <v>35838</v>
      </c>
      <c r="F587" s="5">
        <v>35818</v>
      </c>
      <c r="G587">
        <v>2</v>
      </c>
      <c r="H587" s="6">
        <v>71.489999999999995</v>
      </c>
      <c r="I587" t="s">
        <v>74</v>
      </c>
      <c r="J587" t="s">
        <v>75</v>
      </c>
      <c r="K587" t="s">
        <v>76</v>
      </c>
      <c r="L587" t="s">
        <v>18</v>
      </c>
      <c r="M587" s="7">
        <v>50739</v>
      </c>
      <c r="N587" t="s">
        <v>24</v>
      </c>
    </row>
    <row r="588" spans="1:14" x14ac:dyDescent="0.2">
      <c r="A588">
        <v>10834</v>
      </c>
      <c r="B588" t="s">
        <v>175</v>
      </c>
      <c r="C588">
        <v>1</v>
      </c>
      <c r="D588" s="5">
        <v>35810</v>
      </c>
      <c r="E588" s="5">
        <v>35838</v>
      </c>
      <c r="F588" s="5">
        <v>35814</v>
      </c>
      <c r="G588">
        <v>3</v>
      </c>
      <c r="H588" s="6">
        <v>29.78</v>
      </c>
      <c r="I588" t="s">
        <v>176</v>
      </c>
      <c r="J588" t="s">
        <v>426</v>
      </c>
      <c r="K588" t="s">
        <v>173</v>
      </c>
      <c r="L588" t="s">
        <v>55</v>
      </c>
      <c r="M588" s="7" t="s">
        <v>178</v>
      </c>
      <c r="N588" t="s">
        <v>31</v>
      </c>
    </row>
    <row r="589" spans="1:14" x14ac:dyDescent="0.2">
      <c r="A589">
        <v>10835</v>
      </c>
      <c r="B589" t="s">
        <v>401</v>
      </c>
      <c r="C589">
        <v>1</v>
      </c>
      <c r="D589" s="5">
        <v>35810</v>
      </c>
      <c r="E589" s="5">
        <v>35838</v>
      </c>
      <c r="F589" s="5">
        <v>35816</v>
      </c>
      <c r="G589">
        <v>3</v>
      </c>
      <c r="H589" s="6">
        <v>69.53</v>
      </c>
      <c r="I589" t="s">
        <v>408</v>
      </c>
      <c r="J589" t="s">
        <v>403</v>
      </c>
      <c r="K589" t="s">
        <v>404</v>
      </c>
      <c r="L589" t="s">
        <v>18</v>
      </c>
      <c r="M589" s="7">
        <v>12209</v>
      </c>
      <c r="N589" t="s">
        <v>24</v>
      </c>
    </row>
    <row r="590" spans="1:14" x14ac:dyDescent="0.2">
      <c r="A590">
        <v>10836</v>
      </c>
      <c r="B590" t="s">
        <v>63</v>
      </c>
      <c r="C590">
        <v>7</v>
      </c>
      <c r="D590" s="5">
        <v>35811</v>
      </c>
      <c r="E590" s="5">
        <v>35839</v>
      </c>
      <c r="F590" s="5">
        <v>35816</v>
      </c>
      <c r="G590">
        <v>1</v>
      </c>
      <c r="H590" s="6">
        <v>411.88</v>
      </c>
      <c r="I590" t="s">
        <v>64</v>
      </c>
      <c r="J590" t="s">
        <v>65</v>
      </c>
      <c r="K590" t="s">
        <v>66</v>
      </c>
      <c r="L590" t="s">
        <v>18</v>
      </c>
      <c r="M590" s="7">
        <v>8010</v>
      </c>
      <c r="N590" t="s">
        <v>67</v>
      </c>
    </row>
    <row r="591" spans="1:14" x14ac:dyDescent="0.2">
      <c r="A591">
        <v>10837</v>
      </c>
      <c r="B591" t="s">
        <v>137</v>
      </c>
      <c r="C591">
        <v>9</v>
      </c>
      <c r="D591" s="5">
        <v>35811</v>
      </c>
      <c r="E591" s="5">
        <v>35839</v>
      </c>
      <c r="F591" s="5">
        <v>35818</v>
      </c>
      <c r="G591">
        <v>3</v>
      </c>
      <c r="H591" s="6">
        <v>13.32</v>
      </c>
      <c r="I591" t="s">
        <v>138</v>
      </c>
      <c r="J591" t="s">
        <v>139</v>
      </c>
      <c r="K591" t="s">
        <v>140</v>
      </c>
      <c r="L591" t="s">
        <v>18</v>
      </c>
      <c r="M591" s="7" t="s">
        <v>141</v>
      </c>
      <c r="N591" t="s">
        <v>92</v>
      </c>
    </row>
    <row r="592" spans="1:14" x14ac:dyDescent="0.2">
      <c r="A592">
        <v>10838</v>
      </c>
      <c r="B592" t="s">
        <v>324</v>
      </c>
      <c r="C592">
        <v>3</v>
      </c>
      <c r="D592" s="5">
        <v>35814</v>
      </c>
      <c r="E592" s="5">
        <v>35842</v>
      </c>
      <c r="F592" s="5">
        <v>35818</v>
      </c>
      <c r="G592">
        <v>3</v>
      </c>
      <c r="H592" s="6">
        <v>59.28</v>
      </c>
      <c r="I592" t="s">
        <v>325</v>
      </c>
      <c r="J592" t="s">
        <v>326</v>
      </c>
      <c r="K592" t="s">
        <v>327</v>
      </c>
      <c r="L592" t="s">
        <v>328</v>
      </c>
      <c r="M592" s="7">
        <v>4980</v>
      </c>
      <c r="N592" t="s">
        <v>62</v>
      </c>
    </row>
    <row r="593" spans="1:14" x14ac:dyDescent="0.2">
      <c r="A593">
        <v>10839</v>
      </c>
      <c r="B593" t="s">
        <v>175</v>
      </c>
      <c r="C593">
        <v>3</v>
      </c>
      <c r="D593" s="5">
        <v>35814</v>
      </c>
      <c r="E593" s="5">
        <v>35842</v>
      </c>
      <c r="F593" s="5">
        <v>35817</v>
      </c>
      <c r="G593">
        <v>3</v>
      </c>
      <c r="H593" s="6">
        <v>35.43</v>
      </c>
      <c r="I593" t="s">
        <v>176</v>
      </c>
      <c r="J593" t="s">
        <v>426</v>
      </c>
      <c r="K593" t="s">
        <v>173</v>
      </c>
      <c r="L593" t="s">
        <v>55</v>
      </c>
      <c r="M593" s="7" t="s">
        <v>178</v>
      </c>
      <c r="N593" t="s">
        <v>31</v>
      </c>
    </row>
    <row r="594" spans="1:14" x14ac:dyDescent="0.2">
      <c r="A594">
        <v>10840</v>
      </c>
      <c r="B594" t="s">
        <v>324</v>
      </c>
      <c r="C594">
        <v>4</v>
      </c>
      <c r="D594" s="5">
        <v>35814</v>
      </c>
      <c r="E594" s="5">
        <v>35856</v>
      </c>
      <c r="F594" s="5">
        <v>35842</v>
      </c>
      <c r="G594">
        <v>2</v>
      </c>
      <c r="H594" s="6">
        <v>2.71</v>
      </c>
      <c r="I594" t="s">
        <v>325</v>
      </c>
      <c r="J594" t="s">
        <v>326</v>
      </c>
      <c r="K594" t="s">
        <v>327</v>
      </c>
      <c r="L594" t="s">
        <v>328</v>
      </c>
      <c r="M594" s="7">
        <v>4980</v>
      </c>
      <c r="N594" t="s">
        <v>62</v>
      </c>
    </row>
    <row r="595" spans="1:14" x14ac:dyDescent="0.2">
      <c r="A595">
        <v>10841</v>
      </c>
      <c r="B595" t="s">
        <v>36</v>
      </c>
      <c r="C595">
        <v>5</v>
      </c>
      <c r="D595" s="5">
        <v>35815</v>
      </c>
      <c r="E595" s="5">
        <v>35843</v>
      </c>
      <c r="F595" s="5">
        <v>35824</v>
      </c>
      <c r="G595">
        <v>2</v>
      </c>
      <c r="H595" s="6">
        <v>424.3</v>
      </c>
      <c r="I595" t="s">
        <v>37</v>
      </c>
      <c r="J595" t="s">
        <v>419</v>
      </c>
      <c r="K595" t="s">
        <v>39</v>
      </c>
      <c r="L595" t="s">
        <v>18</v>
      </c>
      <c r="M595" s="7" t="s">
        <v>40</v>
      </c>
      <c r="N595" t="s">
        <v>41</v>
      </c>
    </row>
    <row r="596" spans="1:14" x14ac:dyDescent="0.2">
      <c r="A596">
        <v>10842</v>
      </c>
      <c r="B596" t="s">
        <v>130</v>
      </c>
      <c r="C596">
        <v>1</v>
      </c>
      <c r="D596" s="5">
        <v>35815</v>
      </c>
      <c r="E596" s="5">
        <v>35843</v>
      </c>
      <c r="F596" s="5">
        <v>35824</v>
      </c>
      <c r="G596">
        <v>3</v>
      </c>
      <c r="H596" s="6">
        <v>54.42</v>
      </c>
      <c r="I596" t="s">
        <v>131</v>
      </c>
      <c r="J596" t="s">
        <v>132</v>
      </c>
      <c r="K596" t="s">
        <v>71</v>
      </c>
      <c r="L596" t="s">
        <v>18</v>
      </c>
      <c r="M596" s="7">
        <v>5033</v>
      </c>
      <c r="N596" t="s">
        <v>72</v>
      </c>
    </row>
    <row r="597" spans="1:14" x14ac:dyDescent="0.2">
      <c r="A597">
        <v>10843</v>
      </c>
      <c r="B597" t="s">
        <v>32</v>
      </c>
      <c r="C597">
        <v>4</v>
      </c>
      <c r="D597" s="5">
        <v>35816</v>
      </c>
      <c r="E597" s="5">
        <v>35844</v>
      </c>
      <c r="F597" s="5">
        <v>35821</v>
      </c>
      <c r="G597">
        <v>2</v>
      </c>
      <c r="H597" s="6">
        <v>9.26</v>
      </c>
      <c r="I597" t="s">
        <v>33</v>
      </c>
      <c r="J597" t="s">
        <v>418</v>
      </c>
      <c r="K597" t="s">
        <v>35</v>
      </c>
      <c r="L597" t="s">
        <v>18</v>
      </c>
      <c r="M597" s="7">
        <v>69004</v>
      </c>
      <c r="N597" t="s">
        <v>19</v>
      </c>
    </row>
    <row r="598" spans="1:14" x14ac:dyDescent="0.2">
      <c r="A598">
        <v>10844</v>
      </c>
      <c r="B598" t="s">
        <v>266</v>
      </c>
      <c r="C598">
        <v>8</v>
      </c>
      <c r="D598" s="5">
        <v>35816</v>
      </c>
      <c r="E598" s="5">
        <v>35844</v>
      </c>
      <c r="F598" s="5">
        <v>35821</v>
      </c>
      <c r="G598">
        <v>2</v>
      </c>
      <c r="H598" s="6">
        <v>25.22</v>
      </c>
      <c r="I598" t="s">
        <v>267</v>
      </c>
      <c r="J598" t="s">
        <v>268</v>
      </c>
      <c r="K598" t="s">
        <v>269</v>
      </c>
      <c r="L598" t="s">
        <v>18</v>
      </c>
      <c r="M598" s="7">
        <v>5020</v>
      </c>
      <c r="N598" t="s">
        <v>67</v>
      </c>
    </row>
    <row r="599" spans="1:14" x14ac:dyDescent="0.2">
      <c r="A599">
        <v>10845</v>
      </c>
      <c r="B599" t="s">
        <v>121</v>
      </c>
      <c r="C599">
        <v>8</v>
      </c>
      <c r="D599" s="5">
        <v>35816</v>
      </c>
      <c r="E599" s="5">
        <v>35830</v>
      </c>
      <c r="F599" s="5">
        <v>35825</v>
      </c>
      <c r="G599">
        <v>1</v>
      </c>
      <c r="H599" s="6">
        <v>212.98</v>
      </c>
      <c r="I599" t="s">
        <v>122</v>
      </c>
      <c r="J599" t="s">
        <v>123</v>
      </c>
      <c r="K599" t="s">
        <v>124</v>
      </c>
      <c r="L599" t="s">
        <v>18</v>
      </c>
      <c r="M599" s="7">
        <v>1307</v>
      </c>
      <c r="N599" t="s">
        <v>24</v>
      </c>
    </row>
    <row r="600" spans="1:14" x14ac:dyDescent="0.2">
      <c r="A600">
        <v>10846</v>
      </c>
      <c r="B600" t="s">
        <v>36</v>
      </c>
      <c r="C600">
        <v>2</v>
      </c>
      <c r="D600" s="5">
        <v>35817</v>
      </c>
      <c r="E600" s="5">
        <v>35859</v>
      </c>
      <c r="F600" s="5">
        <v>35818</v>
      </c>
      <c r="G600">
        <v>3</v>
      </c>
      <c r="H600" s="6">
        <v>56.46</v>
      </c>
      <c r="I600" t="s">
        <v>37</v>
      </c>
      <c r="J600" t="s">
        <v>419</v>
      </c>
      <c r="K600" t="s">
        <v>39</v>
      </c>
      <c r="L600" t="s">
        <v>18</v>
      </c>
      <c r="M600" s="7" t="s">
        <v>40</v>
      </c>
      <c r="N600" t="s">
        <v>41</v>
      </c>
    </row>
    <row r="601" spans="1:14" x14ac:dyDescent="0.2">
      <c r="A601">
        <v>10847</v>
      </c>
      <c r="B601" t="s">
        <v>226</v>
      </c>
      <c r="C601">
        <v>4</v>
      </c>
      <c r="D601" s="5">
        <v>35817</v>
      </c>
      <c r="E601" s="5">
        <v>35831</v>
      </c>
      <c r="F601" s="5">
        <v>35836</v>
      </c>
      <c r="G601">
        <v>3</v>
      </c>
      <c r="H601" s="6">
        <v>487.57</v>
      </c>
      <c r="I601" t="s">
        <v>227</v>
      </c>
      <c r="J601" t="s">
        <v>228</v>
      </c>
      <c r="K601" t="s">
        <v>229</v>
      </c>
      <c r="L601" t="s">
        <v>230</v>
      </c>
      <c r="M601" s="7">
        <v>83720</v>
      </c>
      <c r="N601" t="s">
        <v>86</v>
      </c>
    </row>
    <row r="602" spans="1:14" x14ac:dyDescent="0.2">
      <c r="A602">
        <v>10848</v>
      </c>
      <c r="B602" t="s">
        <v>347</v>
      </c>
      <c r="C602">
        <v>7</v>
      </c>
      <c r="D602" s="5">
        <v>35818</v>
      </c>
      <c r="E602" s="5">
        <v>35846</v>
      </c>
      <c r="F602" s="5">
        <v>35824</v>
      </c>
      <c r="G602">
        <v>2</v>
      </c>
      <c r="H602" s="6">
        <v>38.24</v>
      </c>
      <c r="I602" t="s">
        <v>348</v>
      </c>
      <c r="J602" t="s">
        <v>349</v>
      </c>
      <c r="K602" t="s">
        <v>167</v>
      </c>
      <c r="L602" t="s">
        <v>18</v>
      </c>
      <c r="M602" s="7" t="s">
        <v>350</v>
      </c>
      <c r="N602" t="s">
        <v>169</v>
      </c>
    </row>
    <row r="603" spans="1:14" x14ac:dyDescent="0.2">
      <c r="A603">
        <v>10849</v>
      </c>
      <c r="B603" t="s">
        <v>222</v>
      </c>
      <c r="C603">
        <v>9</v>
      </c>
      <c r="D603" s="5">
        <v>35818</v>
      </c>
      <c r="E603" s="5">
        <v>35846</v>
      </c>
      <c r="F603" s="5">
        <v>35825</v>
      </c>
      <c r="G603">
        <v>2</v>
      </c>
      <c r="H603" s="6">
        <v>0.56000000000000005</v>
      </c>
      <c r="I603" t="s">
        <v>223</v>
      </c>
      <c r="J603" t="s">
        <v>224</v>
      </c>
      <c r="K603" t="s">
        <v>225</v>
      </c>
      <c r="L603" t="s">
        <v>18</v>
      </c>
      <c r="M603" s="7">
        <v>14776</v>
      </c>
      <c r="N603" t="s">
        <v>24</v>
      </c>
    </row>
    <row r="604" spans="1:14" x14ac:dyDescent="0.2">
      <c r="A604">
        <v>10850</v>
      </c>
      <c r="B604" t="s">
        <v>32</v>
      </c>
      <c r="C604">
        <v>1</v>
      </c>
      <c r="D604" s="5">
        <v>35818</v>
      </c>
      <c r="E604" s="5">
        <v>35860</v>
      </c>
      <c r="F604" s="5">
        <v>35825</v>
      </c>
      <c r="G604">
        <v>1</v>
      </c>
      <c r="H604" s="6">
        <v>49.19</v>
      </c>
      <c r="I604" t="s">
        <v>33</v>
      </c>
      <c r="J604" t="s">
        <v>418</v>
      </c>
      <c r="K604" t="s">
        <v>35</v>
      </c>
      <c r="L604" t="s">
        <v>18</v>
      </c>
      <c r="M604" s="7">
        <v>69004</v>
      </c>
      <c r="N604" t="s">
        <v>19</v>
      </c>
    </row>
    <row r="605" spans="1:14" x14ac:dyDescent="0.2">
      <c r="A605">
        <v>10851</v>
      </c>
      <c r="B605" t="s">
        <v>156</v>
      </c>
      <c r="C605">
        <v>5</v>
      </c>
      <c r="D605" s="5">
        <v>35821</v>
      </c>
      <c r="E605" s="5">
        <v>35849</v>
      </c>
      <c r="F605" s="5">
        <v>35828</v>
      </c>
      <c r="G605">
        <v>1</v>
      </c>
      <c r="H605" s="6">
        <v>160.55000000000001</v>
      </c>
      <c r="I605" t="s">
        <v>157</v>
      </c>
      <c r="J605" t="s">
        <v>424</v>
      </c>
      <c r="K605" t="s">
        <v>28</v>
      </c>
      <c r="L605" t="s">
        <v>29</v>
      </c>
      <c r="M605" s="7" t="s">
        <v>159</v>
      </c>
      <c r="N605" t="s">
        <v>31</v>
      </c>
    </row>
    <row r="606" spans="1:14" x14ac:dyDescent="0.2">
      <c r="A606">
        <v>10852</v>
      </c>
      <c r="B606" t="s">
        <v>81</v>
      </c>
      <c r="C606">
        <v>8</v>
      </c>
      <c r="D606" s="5">
        <v>35821</v>
      </c>
      <c r="E606" s="5">
        <v>35835</v>
      </c>
      <c r="F606" s="5">
        <v>35825</v>
      </c>
      <c r="G606">
        <v>1</v>
      </c>
      <c r="H606" s="6">
        <v>174.05</v>
      </c>
      <c r="I606" t="s">
        <v>82</v>
      </c>
      <c r="J606" t="s">
        <v>83</v>
      </c>
      <c r="K606" t="s">
        <v>84</v>
      </c>
      <c r="L606" t="s">
        <v>85</v>
      </c>
      <c r="M606" s="7">
        <v>87110</v>
      </c>
      <c r="N606" t="s">
        <v>86</v>
      </c>
    </row>
    <row r="607" spans="1:14" x14ac:dyDescent="0.2">
      <c r="A607">
        <v>10853</v>
      </c>
      <c r="B607" t="s">
        <v>363</v>
      </c>
      <c r="C607">
        <v>9</v>
      </c>
      <c r="D607" s="5">
        <v>35822</v>
      </c>
      <c r="E607" s="5">
        <v>35850</v>
      </c>
      <c r="F607" s="5">
        <v>35829</v>
      </c>
      <c r="G607">
        <v>2</v>
      </c>
      <c r="H607" s="6">
        <v>53.83</v>
      </c>
      <c r="I607" t="s">
        <v>364</v>
      </c>
      <c r="J607" t="s">
        <v>365</v>
      </c>
      <c r="K607" t="s">
        <v>366</v>
      </c>
      <c r="L607" t="s">
        <v>18</v>
      </c>
      <c r="M607" s="7">
        <v>68306</v>
      </c>
      <c r="N607" t="s">
        <v>24</v>
      </c>
    </row>
    <row r="608" spans="1:14" x14ac:dyDescent="0.2">
      <c r="A608">
        <v>10854</v>
      </c>
      <c r="B608" t="s">
        <v>63</v>
      </c>
      <c r="C608">
        <v>3</v>
      </c>
      <c r="D608" s="5">
        <v>35822</v>
      </c>
      <c r="E608" s="5">
        <v>35850</v>
      </c>
      <c r="F608" s="5">
        <v>35831</v>
      </c>
      <c r="G608">
        <v>2</v>
      </c>
      <c r="H608" s="6">
        <v>100.22</v>
      </c>
      <c r="I608" t="s">
        <v>64</v>
      </c>
      <c r="J608" t="s">
        <v>65</v>
      </c>
      <c r="K608" t="s">
        <v>66</v>
      </c>
      <c r="L608" t="s">
        <v>18</v>
      </c>
      <c r="M608" s="7">
        <v>8010</v>
      </c>
      <c r="N608" t="s">
        <v>67</v>
      </c>
    </row>
    <row r="609" spans="1:14" x14ac:dyDescent="0.2">
      <c r="A609">
        <v>10855</v>
      </c>
      <c r="B609" t="s">
        <v>193</v>
      </c>
      <c r="C609">
        <v>3</v>
      </c>
      <c r="D609" s="5">
        <v>35822</v>
      </c>
      <c r="E609" s="5">
        <v>35850</v>
      </c>
      <c r="F609" s="5">
        <v>35830</v>
      </c>
      <c r="G609">
        <v>1</v>
      </c>
      <c r="H609" s="6">
        <v>170.97</v>
      </c>
      <c r="I609" t="s">
        <v>194</v>
      </c>
      <c r="J609" t="s">
        <v>195</v>
      </c>
      <c r="K609" t="s">
        <v>196</v>
      </c>
      <c r="L609" t="s">
        <v>197</v>
      </c>
      <c r="M609" s="7">
        <v>99508</v>
      </c>
      <c r="N609" t="s">
        <v>86</v>
      </c>
    </row>
    <row r="610" spans="1:14" x14ac:dyDescent="0.2">
      <c r="A610">
        <v>10856</v>
      </c>
      <c r="B610" t="s">
        <v>288</v>
      </c>
      <c r="C610">
        <v>3</v>
      </c>
      <c r="D610" s="5">
        <v>35823</v>
      </c>
      <c r="E610" s="5">
        <v>35851</v>
      </c>
      <c r="F610" s="5">
        <v>35836</v>
      </c>
      <c r="G610">
        <v>2</v>
      </c>
      <c r="H610" s="6">
        <v>58.43</v>
      </c>
      <c r="I610" t="s">
        <v>289</v>
      </c>
      <c r="J610" t="s">
        <v>290</v>
      </c>
      <c r="K610" t="s">
        <v>71</v>
      </c>
      <c r="L610" t="s">
        <v>18</v>
      </c>
      <c r="M610" s="7">
        <v>5023</v>
      </c>
      <c r="N610" t="s">
        <v>72</v>
      </c>
    </row>
    <row r="611" spans="1:14" x14ac:dyDescent="0.2">
      <c r="A611">
        <v>10857</v>
      </c>
      <c r="B611" t="s">
        <v>137</v>
      </c>
      <c r="C611">
        <v>8</v>
      </c>
      <c r="D611" s="5">
        <v>35823</v>
      </c>
      <c r="E611" s="5">
        <v>35851</v>
      </c>
      <c r="F611" s="5">
        <v>35832</v>
      </c>
      <c r="G611">
        <v>2</v>
      </c>
      <c r="H611" s="6">
        <v>188.85</v>
      </c>
      <c r="I611" t="s">
        <v>138</v>
      </c>
      <c r="J611" t="s">
        <v>139</v>
      </c>
      <c r="K611" t="s">
        <v>140</v>
      </c>
      <c r="L611" t="s">
        <v>18</v>
      </c>
      <c r="M611" s="7" t="s">
        <v>141</v>
      </c>
      <c r="N611" t="s">
        <v>92</v>
      </c>
    </row>
    <row r="612" spans="1:14" x14ac:dyDescent="0.2">
      <c r="A612">
        <v>10858</v>
      </c>
      <c r="B612" t="s">
        <v>413</v>
      </c>
      <c r="C612">
        <v>2</v>
      </c>
      <c r="D612" s="5">
        <v>35824</v>
      </c>
      <c r="E612" s="5">
        <v>35852</v>
      </c>
      <c r="F612" s="5">
        <v>35829</v>
      </c>
      <c r="G612">
        <v>1</v>
      </c>
      <c r="H612" s="6">
        <v>52.51</v>
      </c>
      <c r="I612" t="s">
        <v>414</v>
      </c>
      <c r="J612" t="s">
        <v>438</v>
      </c>
      <c r="K612" t="s">
        <v>416</v>
      </c>
      <c r="L612" t="s">
        <v>18</v>
      </c>
      <c r="M612" s="7">
        <v>78000</v>
      </c>
      <c r="N612" t="s">
        <v>19</v>
      </c>
    </row>
    <row r="613" spans="1:14" x14ac:dyDescent="0.2">
      <c r="A613">
        <v>10859</v>
      </c>
      <c r="B613" t="s">
        <v>102</v>
      </c>
      <c r="C613">
        <v>1</v>
      </c>
      <c r="D613" s="5">
        <v>35824</v>
      </c>
      <c r="E613" s="5">
        <v>35852</v>
      </c>
      <c r="F613" s="5">
        <v>35828</v>
      </c>
      <c r="G613">
        <v>2</v>
      </c>
      <c r="H613" s="6">
        <v>76.099999999999994</v>
      </c>
      <c r="I613" t="s">
        <v>103</v>
      </c>
      <c r="J613" t="s">
        <v>104</v>
      </c>
      <c r="K613" t="s">
        <v>105</v>
      </c>
      <c r="L613" t="s">
        <v>18</v>
      </c>
      <c r="M613" s="7">
        <v>80805</v>
      </c>
      <c r="N613" t="s">
        <v>24</v>
      </c>
    </row>
    <row r="614" spans="1:14" x14ac:dyDescent="0.2">
      <c r="A614">
        <v>10860</v>
      </c>
      <c r="B614" t="s">
        <v>405</v>
      </c>
      <c r="C614">
        <v>3</v>
      </c>
      <c r="D614" s="5">
        <v>35824</v>
      </c>
      <c r="E614" s="5">
        <v>35852</v>
      </c>
      <c r="F614" s="5">
        <v>35830</v>
      </c>
      <c r="G614">
        <v>3</v>
      </c>
      <c r="H614" s="6">
        <v>19.260000000000002</v>
      </c>
      <c r="I614" t="s">
        <v>406</v>
      </c>
      <c r="J614" t="s">
        <v>436</v>
      </c>
      <c r="K614" t="s">
        <v>212</v>
      </c>
      <c r="L614" t="s">
        <v>18</v>
      </c>
      <c r="M614" s="7">
        <v>44000</v>
      </c>
      <c r="N614" t="s">
        <v>19</v>
      </c>
    </row>
    <row r="615" spans="1:14" x14ac:dyDescent="0.2">
      <c r="A615">
        <v>10861</v>
      </c>
      <c r="B615" t="s">
        <v>111</v>
      </c>
      <c r="C615">
        <v>4</v>
      </c>
      <c r="D615" s="5">
        <v>35825</v>
      </c>
      <c r="E615" s="5">
        <v>35853</v>
      </c>
      <c r="F615" s="5">
        <v>35843</v>
      </c>
      <c r="G615">
        <v>2</v>
      </c>
      <c r="H615" s="6">
        <v>14.93</v>
      </c>
      <c r="I615" t="s">
        <v>112</v>
      </c>
      <c r="J615" t="s">
        <v>113</v>
      </c>
      <c r="K615" t="s">
        <v>114</v>
      </c>
      <c r="L615" t="s">
        <v>115</v>
      </c>
      <c r="M615" s="7">
        <v>98124</v>
      </c>
      <c r="N615" t="s">
        <v>86</v>
      </c>
    </row>
    <row r="616" spans="1:14" x14ac:dyDescent="0.2">
      <c r="A616">
        <v>10862</v>
      </c>
      <c r="B616" t="s">
        <v>142</v>
      </c>
      <c r="C616">
        <v>8</v>
      </c>
      <c r="D616" s="5">
        <v>35825</v>
      </c>
      <c r="E616" s="5">
        <v>35867</v>
      </c>
      <c r="F616" s="5">
        <v>35828</v>
      </c>
      <c r="G616">
        <v>2</v>
      </c>
      <c r="H616" s="6">
        <v>53.23</v>
      </c>
      <c r="I616" t="s">
        <v>143</v>
      </c>
      <c r="J616" t="s">
        <v>144</v>
      </c>
      <c r="K616" t="s">
        <v>145</v>
      </c>
      <c r="L616" t="s">
        <v>18</v>
      </c>
      <c r="M616" s="7">
        <v>60528</v>
      </c>
      <c r="N616" t="s">
        <v>24</v>
      </c>
    </row>
    <row r="617" spans="1:14" x14ac:dyDescent="0.2">
      <c r="A617">
        <v>10863</v>
      </c>
      <c r="B617" t="s">
        <v>57</v>
      </c>
      <c r="C617">
        <v>4</v>
      </c>
      <c r="D617" s="5">
        <v>35828</v>
      </c>
      <c r="E617" s="5">
        <v>35856</v>
      </c>
      <c r="F617" s="5">
        <v>35843</v>
      </c>
      <c r="G617">
        <v>2</v>
      </c>
      <c r="H617" s="6">
        <v>30.26</v>
      </c>
      <c r="I617" t="s">
        <v>58</v>
      </c>
      <c r="J617" t="s">
        <v>59</v>
      </c>
      <c r="K617" t="s">
        <v>60</v>
      </c>
      <c r="L617" t="s">
        <v>61</v>
      </c>
      <c r="M617" s="7">
        <v>5022</v>
      </c>
      <c r="N617" t="s">
        <v>62</v>
      </c>
    </row>
    <row r="618" spans="1:14" x14ac:dyDescent="0.2">
      <c r="A618">
        <v>10864</v>
      </c>
      <c r="B618" t="s">
        <v>270</v>
      </c>
      <c r="C618">
        <v>4</v>
      </c>
      <c r="D618" s="5">
        <v>35828</v>
      </c>
      <c r="E618" s="5">
        <v>35856</v>
      </c>
      <c r="F618" s="5">
        <v>35835</v>
      </c>
      <c r="G618">
        <v>2</v>
      </c>
      <c r="H618" s="6">
        <v>3.04</v>
      </c>
      <c r="I618" t="s">
        <v>271</v>
      </c>
      <c r="J618" t="s">
        <v>272</v>
      </c>
      <c r="K618" t="s">
        <v>273</v>
      </c>
      <c r="L618" t="s">
        <v>274</v>
      </c>
      <c r="M618" s="7" t="s">
        <v>275</v>
      </c>
      <c r="N618" t="s">
        <v>169</v>
      </c>
    </row>
    <row r="619" spans="1:14" x14ac:dyDescent="0.2">
      <c r="A619">
        <v>10865</v>
      </c>
      <c r="B619" t="s">
        <v>121</v>
      </c>
      <c r="C619">
        <v>2</v>
      </c>
      <c r="D619" s="5">
        <v>35828</v>
      </c>
      <c r="E619" s="5">
        <v>35842</v>
      </c>
      <c r="F619" s="5">
        <v>35838</v>
      </c>
      <c r="G619">
        <v>1</v>
      </c>
      <c r="H619" s="6">
        <v>348.14</v>
      </c>
      <c r="I619" t="s">
        <v>122</v>
      </c>
      <c r="J619" t="s">
        <v>123</v>
      </c>
      <c r="K619" t="s">
        <v>124</v>
      </c>
      <c r="L619" t="s">
        <v>18</v>
      </c>
      <c r="M619" s="7">
        <v>1307</v>
      </c>
      <c r="N619" t="s">
        <v>24</v>
      </c>
    </row>
    <row r="620" spans="1:14" x14ac:dyDescent="0.2">
      <c r="A620">
        <v>10866</v>
      </c>
      <c r="B620" t="s">
        <v>137</v>
      </c>
      <c r="C620">
        <v>5</v>
      </c>
      <c r="D620" s="5">
        <v>35829</v>
      </c>
      <c r="E620" s="5">
        <v>35857</v>
      </c>
      <c r="F620" s="5">
        <v>35838</v>
      </c>
      <c r="G620">
        <v>1</v>
      </c>
      <c r="H620" s="6">
        <v>109.11</v>
      </c>
      <c r="I620" t="s">
        <v>138</v>
      </c>
      <c r="J620" t="s">
        <v>139</v>
      </c>
      <c r="K620" t="s">
        <v>140</v>
      </c>
      <c r="L620" t="s">
        <v>18</v>
      </c>
      <c r="M620" s="7" t="s">
        <v>141</v>
      </c>
      <c r="N620" t="s">
        <v>92</v>
      </c>
    </row>
    <row r="621" spans="1:14" x14ac:dyDescent="0.2">
      <c r="A621">
        <v>10867</v>
      </c>
      <c r="B621" t="s">
        <v>198</v>
      </c>
      <c r="C621">
        <v>6</v>
      </c>
      <c r="D621" s="5">
        <v>35829</v>
      </c>
      <c r="E621" s="5">
        <v>35871</v>
      </c>
      <c r="F621" s="5">
        <v>35837</v>
      </c>
      <c r="G621">
        <v>1</v>
      </c>
      <c r="H621" s="6">
        <v>1.93</v>
      </c>
      <c r="I621" t="s">
        <v>199</v>
      </c>
      <c r="J621" t="s">
        <v>200</v>
      </c>
      <c r="K621" t="s">
        <v>201</v>
      </c>
      <c r="L621" t="s">
        <v>202</v>
      </c>
      <c r="M621" s="7">
        <v>97219</v>
      </c>
      <c r="N621" t="s">
        <v>86</v>
      </c>
    </row>
    <row r="622" spans="1:14" x14ac:dyDescent="0.2">
      <c r="A622">
        <v>10868</v>
      </c>
      <c r="B622" t="s">
        <v>299</v>
      </c>
      <c r="C622">
        <v>7</v>
      </c>
      <c r="D622" s="5">
        <v>35830</v>
      </c>
      <c r="E622" s="5">
        <v>35858</v>
      </c>
      <c r="F622" s="5">
        <v>35849</v>
      </c>
      <c r="G622">
        <v>2</v>
      </c>
      <c r="H622" s="6">
        <v>191.27</v>
      </c>
      <c r="I622" t="s">
        <v>300</v>
      </c>
      <c r="J622" t="s">
        <v>433</v>
      </c>
      <c r="K622" t="s">
        <v>173</v>
      </c>
      <c r="L622" t="s">
        <v>55</v>
      </c>
      <c r="M622" s="7" t="s">
        <v>302</v>
      </c>
      <c r="N622" t="s">
        <v>31</v>
      </c>
    </row>
    <row r="623" spans="1:14" x14ac:dyDescent="0.2">
      <c r="A623">
        <v>10869</v>
      </c>
      <c r="B623" t="s">
        <v>276</v>
      </c>
      <c r="C623">
        <v>5</v>
      </c>
      <c r="D623" s="5">
        <v>35830</v>
      </c>
      <c r="E623" s="5">
        <v>35858</v>
      </c>
      <c r="F623" s="5">
        <v>35835</v>
      </c>
      <c r="G623">
        <v>1</v>
      </c>
      <c r="H623" s="6">
        <v>143.28</v>
      </c>
      <c r="I623" t="s">
        <v>277</v>
      </c>
      <c r="J623" t="s">
        <v>278</v>
      </c>
      <c r="K623" t="s">
        <v>167</v>
      </c>
      <c r="L623" t="s">
        <v>18</v>
      </c>
      <c r="M623" s="7" t="s">
        <v>279</v>
      </c>
      <c r="N623" t="s">
        <v>169</v>
      </c>
    </row>
    <row r="624" spans="1:14" x14ac:dyDescent="0.2">
      <c r="A624">
        <v>10870</v>
      </c>
      <c r="B624" t="s">
        <v>303</v>
      </c>
      <c r="C624">
        <v>5</v>
      </c>
      <c r="D624" s="5">
        <v>35830</v>
      </c>
      <c r="E624" s="5">
        <v>35858</v>
      </c>
      <c r="F624" s="5">
        <v>35839</v>
      </c>
      <c r="G624">
        <v>3</v>
      </c>
      <c r="H624" s="6">
        <v>12.04</v>
      </c>
      <c r="I624" t="s">
        <v>304</v>
      </c>
      <c r="J624" t="s">
        <v>305</v>
      </c>
      <c r="K624" t="s">
        <v>306</v>
      </c>
      <c r="L624" t="s">
        <v>18</v>
      </c>
      <c r="M624" s="7" t="s">
        <v>307</v>
      </c>
      <c r="N624" t="s">
        <v>308</v>
      </c>
    </row>
    <row r="625" spans="1:14" x14ac:dyDescent="0.2">
      <c r="A625">
        <v>10871</v>
      </c>
      <c r="B625" t="s">
        <v>239</v>
      </c>
      <c r="C625">
        <v>9</v>
      </c>
      <c r="D625" s="5">
        <v>35831</v>
      </c>
      <c r="E625" s="5">
        <v>35859</v>
      </c>
      <c r="F625" s="5">
        <v>35836</v>
      </c>
      <c r="G625">
        <v>2</v>
      </c>
      <c r="H625" s="6">
        <v>112.27</v>
      </c>
      <c r="I625" t="s">
        <v>240</v>
      </c>
      <c r="J625" t="s">
        <v>430</v>
      </c>
      <c r="K625" t="s">
        <v>242</v>
      </c>
      <c r="L625" t="s">
        <v>18</v>
      </c>
      <c r="M625" s="7">
        <v>13008</v>
      </c>
      <c r="N625" t="s">
        <v>19</v>
      </c>
    </row>
    <row r="626" spans="1:14" x14ac:dyDescent="0.2">
      <c r="A626">
        <v>10872</v>
      </c>
      <c r="B626" t="s">
        <v>189</v>
      </c>
      <c r="C626">
        <v>5</v>
      </c>
      <c r="D626" s="5">
        <v>35831</v>
      </c>
      <c r="E626" s="5">
        <v>35859</v>
      </c>
      <c r="F626" s="5">
        <v>35835</v>
      </c>
      <c r="G626">
        <v>2</v>
      </c>
      <c r="H626" s="6">
        <v>175.32</v>
      </c>
      <c r="I626" t="s">
        <v>190</v>
      </c>
      <c r="J626" t="s">
        <v>427</v>
      </c>
      <c r="K626" t="s">
        <v>192</v>
      </c>
      <c r="L626" t="s">
        <v>18</v>
      </c>
      <c r="M626" s="7">
        <v>41101</v>
      </c>
      <c r="N626" t="s">
        <v>150</v>
      </c>
    </row>
    <row r="627" spans="1:14" x14ac:dyDescent="0.2">
      <c r="A627">
        <v>10873</v>
      </c>
      <c r="B627" t="s">
        <v>392</v>
      </c>
      <c r="C627">
        <v>4</v>
      </c>
      <c r="D627" s="5">
        <v>35832</v>
      </c>
      <c r="E627" s="5">
        <v>35860</v>
      </c>
      <c r="F627" s="5">
        <v>35835</v>
      </c>
      <c r="G627">
        <v>1</v>
      </c>
      <c r="H627" s="6">
        <v>0.82</v>
      </c>
      <c r="I627" t="s">
        <v>393</v>
      </c>
      <c r="J627" t="s">
        <v>394</v>
      </c>
      <c r="K627" t="s">
        <v>395</v>
      </c>
      <c r="L627" t="s">
        <v>18</v>
      </c>
      <c r="M627" s="7">
        <v>21240</v>
      </c>
      <c r="N627" t="s">
        <v>101</v>
      </c>
    </row>
    <row r="628" spans="1:14" x14ac:dyDescent="0.2">
      <c r="A628">
        <v>10874</v>
      </c>
      <c r="B628" t="s">
        <v>189</v>
      </c>
      <c r="C628">
        <v>5</v>
      </c>
      <c r="D628" s="5">
        <v>35832</v>
      </c>
      <c r="E628" s="5">
        <v>35860</v>
      </c>
      <c r="F628" s="5">
        <v>35837</v>
      </c>
      <c r="G628">
        <v>2</v>
      </c>
      <c r="H628" s="6">
        <v>19.579999999999998</v>
      </c>
      <c r="I628" t="s">
        <v>190</v>
      </c>
      <c r="J628" t="s">
        <v>427</v>
      </c>
      <c r="K628" t="s">
        <v>192</v>
      </c>
      <c r="L628" t="s">
        <v>18</v>
      </c>
      <c r="M628" s="7">
        <v>41101</v>
      </c>
      <c r="N628" t="s">
        <v>150</v>
      </c>
    </row>
    <row r="629" spans="1:14" x14ac:dyDescent="0.2">
      <c r="A629">
        <v>10875</v>
      </c>
      <c r="B629" t="s">
        <v>137</v>
      </c>
      <c r="C629">
        <v>4</v>
      </c>
      <c r="D629" s="5">
        <v>35832</v>
      </c>
      <c r="E629" s="5">
        <v>35860</v>
      </c>
      <c r="F629" s="5">
        <v>35857</v>
      </c>
      <c r="G629">
        <v>2</v>
      </c>
      <c r="H629" s="6">
        <v>32.369999999999997</v>
      </c>
      <c r="I629" t="s">
        <v>138</v>
      </c>
      <c r="J629" t="s">
        <v>139</v>
      </c>
      <c r="K629" t="s">
        <v>140</v>
      </c>
      <c r="L629" t="s">
        <v>18</v>
      </c>
      <c r="M629" s="7" t="s">
        <v>141</v>
      </c>
      <c r="N629" t="s">
        <v>92</v>
      </c>
    </row>
    <row r="630" spans="1:14" x14ac:dyDescent="0.2">
      <c r="A630">
        <v>10876</v>
      </c>
      <c r="B630" t="s">
        <v>239</v>
      </c>
      <c r="C630">
        <v>7</v>
      </c>
      <c r="D630" s="5">
        <v>35835</v>
      </c>
      <c r="E630" s="5">
        <v>35863</v>
      </c>
      <c r="F630" s="5">
        <v>35838</v>
      </c>
      <c r="G630">
        <v>3</v>
      </c>
      <c r="H630" s="6">
        <v>60.42</v>
      </c>
      <c r="I630" t="s">
        <v>240</v>
      </c>
      <c r="J630" t="s">
        <v>430</v>
      </c>
      <c r="K630" t="s">
        <v>242</v>
      </c>
      <c r="L630" t="s">
        <v>18</v>
      </c>
      <c r="M630" s="7">
        <v>13008</v>
      </c>
      <c r="N630" t="s">
        <v>19</v>
      </c>
    </row>
    <row r="631" spans="1:14" x14ac:dyDescent="0.2">
      <c r="A631">
        <v>10877</v>
      </c>
      <c r="B631" t="s">
        <v>156</v>
      </c>
      <c r="C631">
        <v>1</v>
      </c>
      <c r="D631" s="5">
        <v>35835</v>
      </c>
      <c r="E631" s="5">
        <v>35863</v>
      </c>
      <c r="F631" s="5">
        <v>35845</v>
      </c>
      <c r="G631">
        <v>1</v>
      </c>
      <c r="H631" s="6">
        <v>38.06</v>
      </c>
      <c r="I631" t="s">
        <v>157</v>
      </c>
      <c r="J631" t="s">
        <v>424</v>
      </c>
      <c r="K631" t="s">
        <v>28</v>
      </c>
      <c r="L631" t="s">
        <v>29</v>
      </c>
      <c r="M631" s="7" t="s">
        <v>159</v>
      </c>
      <c r="N631" t="s">
        <v>31</v>
      </c>
    </row>
    <row r="632" spans="1:14" x14ac:dyDescent="0.2">
      <c r="A632">
        <v>10878</v>
      </c>
      <c r="B632" t="s">
        <v>121</v>
      </c>
      <c r="C632">
        <v>4</v>
      </c>
      <c r="D632" s="5">
        <v>35836</v>
      </c>
      <c r="E632" s="5">
        <v>35864</v>
      </c>
      <c r="F632" s="5">
        <v>35838</v>
      </c>
      <c r="G632">
        <v>1</v>
      </c>
      <c r="H632" s="6">
        <v>46.69</v>
      </c>
      <c r="I632" t="s">
        <v>122</v>
      </c>
      <c r="J632" t="s">
        <v>123</v>
      </c>
      <c r="K632" t="s">
        <v>124</v>
      </c>
      <c r="L632" t="s">
        <v>18</v>
      </c>
      <c r="M632" s="7">
        <v>1307</v>
      </c>
      <c r="N632" t="s">
        <v>24</v>
      </c>
    </row>
    <row r="633" spans="1:14" x14ac:dyDescent="0.2">
      <c r="A633">
        <v>10879</v>
      </c>
      <c r="B633" t="s">
        <v>392</v>
      </c>
      <c r="C633">
        <v>3</v>
      </c>
      <c r="D633" s="5">
        <v>35836</v>
      </c>
      <c r="E633" s="5">
        <v>35864</v>
      </c>
      <c r="F633" s="5">
        <v>35838</v>
      </c>
      <c r="G633">
        <v>3</v>
      </c>
      <c r="H633" s="6">
        <v>8.5</v>
      </c>
      <c r="I633" t="s">
        <v>393</v>
      </c>
      <c r="J633" t="s">
        <v>394</v>
      </c>
      <c r="K633" t="s">
        <v>395</v>
      </c>
      <c r="L633" t="s">
        <v>18</v>
      </c>
      <c r="M633" s="7">
        <v>21240</v>
      </c>
      <c r="N633" t="s">
        <v>101</v>
      </c>
    </row>
    <row r="634" spans="1:14" x14ac:dyDescent="0.2">
      <c r="A634">
        <v>10880</v>
      </c>
      <c r="B634" t="s">
        <v>87</v>
      </c>
      <c r="C634">
        <v>7</v>
      </c>
      <c r="D634" s="5">
        <v>35836</v>
      </c>
      <c r="E634" s="5">
        <v>35878</v>
      </c>
      <c r="F634" s="5">
        <v>35844</v>
      </c>
      <c r="G634">
        <v>1</v>
      </c>
      <c r="H634" s="6">
        <v>88.01</v>
      </c>
      <c r="I634" t="s">
        <v>88</v>
      </c>
      <c r="J634" t="s">
        <v>89</v>
      </c>
      <c r="K634" t="s">
        <v>90</v>
      </c>
      <c r="L634" t="s">
        <v>18</v>
      </c>
      <c r="M634" s="7" t="s">
        <v>91</v>
      </c>
      <c r="N634" t="s">
        <v>92</v>
      </c>
    </row>
    <row r="635" spans="1:14" x14ac:dyDescent="0.2">
      <c r="A635">
        <v>10881</v>
      </c>
      <c r="B635" t="s">
        <v>371</v>
      </c>
      <c r="C635">
        <v>4</v>
      </c>
      <c r="D635" s="5">
        <v>35837</v>
      </c>
      <c r="E635" s="5">
        <v>35865</v>
      </c>
      <c r="F635" s="5">
        <v>35844</v>
      </c>
      <c r="G635">
        <v>1</v>
      </c>
      <c r="H635" s="6">
        <v>2.84</v>
      </c>
      <c r="I635" t="s">
        <v>372</v>
      </c>
      <c r="J635" t="s">
        <v>373</v>
      </c>
      <c r="K635" t="s">
        <v>336</v>
      </c>
      <c r="L635" t="s">
        <v>18</v>
      </c>
      <c r="M635" s="7">
        <v>1010</v>
      </c>
      <c r="N635" t="s">
        <v>337</v>
      </c>
    </row>
    <row r="636" spans="1:14" x14ac:dyDescent="0.2">
      <c r="A636">
        <v>10882</v>
      </c>
      <c r="B636" t="s">
        <v>226</v>
      </c>
      <c r="C636">
        <v>4</v>
      </c>
      <c r="D636" s="5">
        <v>35837</v>
      </c>
      <c r="E636" s="5">
        <v>35865</v>
      </c>
      <c r="F636" s="5">
        <v>35846</v>
      </c>
      <c r="G636">
        <v>3</v>
      </c>
      <c r="H636" s="6">
        <v>23.1</v>
      </c>
      <c r="I636" t="s">
        <v>227</v>
      </c>
      <c r="J636" t="s">
        <v>228</v>
      </c>
      <c r="K636" t="s">
        <v>229</v>
      </c>
      <c r="L636" t="s">
        <v>230</v>
      </c>
      <c r="M636" s="7">
        <v>83720</v>
      </c>
      <c r="N636" t="s">
        <v>86</v>
      </c>
    </row>
    <row r="637" spans="1:14" x14ac:dyDescent="0.2">
      <c r="A637">
        <v>10883</v>
      </c>
      <c r="B637" t="s">
        <v>198</v>
      </c>
      <c r="C637">
        <v>8</v>
      </c>
      <c r="D637" s="5">
        <v>35838</v>
      </c>
      <c r="E637" s="5">
        <v>35866</v>
      </c>
      <c r="F637" s="5">
        <v>35846</v>
      </c>
      <c r="G637">
        <v>3</v>
      </c>
      <c r="H637" s="6">
        <v>0.53</v>
      </c>
      <c r="I637" t="s">
        <v>199</v>
      </c>
      <c r="J637" t="s">
        <v>200</v>
      </c>
      <c r="K637" t="s">
        <v>201</v>
      </c>
      <c r="L637" t="s">
        <v>202</v>
      </c>
      <c r="M637" s="7">
        <v>97219</v>
      </c>
      <c r="N637" t="s">
        <v>86</v>
      </c>
    </row>
    <row r="638" spans="1:14" x14ac:dyDescent="0.2">
      <c r="A638">
        <v>10884</v>
      </c>
      <c r="B638" t="s">
        <v>387</v>
      </c>
      <c r="C638">
        <v>4</v>
      </c>
      <c r="D638" s="5">
        <v>35838</v>
      </c>
      <c r="E638" s="5">
        <v>35866</v>
      </c>
      <c r="F638" s="5">
        <v>35839</v>
      </c>
      <c r="G638">
        <v>2</v>
      </c>
      <c r="H638" s="6">
        <v>90.97</v>
      </c>
      <c r="I638" t="s">
        <v>388</v>
      </c>
      <c r="J638" t="s">
        <v>389</v>
      </c>
      <c r="K638" t="s">
        <v>390</v>
      </c>
      <c r="L638" t="s">
        <v>391</v>
      </c>
      <c r="M638" s="7">
        <v>94117</v>
      </c>
      <c r="N638" t="s">
        <v>86</v>
      </c>
    </row>
    <row r="639" spans="1:14" x14ac:dyDescent="0.2">
      <c r="A639">
        <v>10885</v>
      </c>
      <c r="B639" t="s">
        <v>36</v>
      </c>
      <c r="C639">
        <v>6</v>
      </c>
      <c r="D639" s="5">
        <v>35838</v>
      </c>
      <c r="E639" s="5">
        <v>35866</v>
      </c>
      <c r="F639" s="5">
        <v>35844</v>
      </c>
      <c r="G639">
        <v>3</v>
      </c>
      <c r="H639" s="6">
        <v>5.64</v>
      </c>
      <c r="I639" t="s">
        <v>37</v>
      </c>
      <c r="J639" t="s">
        <v>419</v>
      </c>
      <c r="K639" t="s">
        <v>39</v>
      </c>
      <c r="L639" t="s">
        <v>18</v>
      </c>
      <c r="M639" s="7" t="s">
        <v>40</v>
      </c>
      <c r="N639" t="s">
        <v>41</v>
      </c>
    </row>
    <row r="640" spans="1:14" x14ac:dyDescent="0.2">
      <c r="A640">
        <v>10886</v>
      </c>
      <c r="B640" t="s">
        <v>25</v>
      </c>
      <c r="C640">
        <v>1</v>
      </c>
      <c r="D640" s="5">
        <v>35839</v>
      </c>
      <c r="E640" s="5">
        <v>35867</v>
      </c>
      <c r="F640" s="5">
        <v>35856</v>
      </c>
      <c r="G640">
        <v>1</v>
      </c>
      <c r="H640" s="6">
        <v>4.99</v>
      </c>
      <c r="I640" t="s">
        <v>26</v>
      </c>
      <c r="J640" t="s">
        <v>417</v>
      </c>
      <c r="K640" t="s">
        <v>28</v>
      </c>
      <c r="L640" t="s">
        <v>29</v>
      </c>
      <c r="M640" s="7" t="s">
        <v>30</v>
      </c>
      <c r="N640" t="s">
        <v>31</v>
      </c>
    </row>
    <row r="641" spans="1:14" x14ac:dyDescent="0.2">
      <c r="A641">
        <v>10887</v>
      </c>
      <c r="B641" t="s">
        <v>291</v>
      </c>
      <c r="C641">
        <v>8</v>
      </c>
      <c r="D641" s="5">
        <v>35839</v>
      </c>
      <c r="E641" s="5">
        <v>35867</v>
      </c>
      <c r="F641" s="5">
        <v>35842</v>
      </c>
      <c r="G641">
        <v>3</v>
      </c>
      <c r="H641" s="6">
        <v>1.25</v>
      </c>
      <c r="I641" t="s">
        <v>292</v>
      </c>
      <c r="J641" t="s">
        <v>432</v>
      </c>
      <c r="K641" t="s">
        <v>294</v>
      </c>
      <c r="L641" t="s">
        <v>18</v>
      </c>
      <c r="M641" s="7">
        <v>8022</v>
      </c>
      <c r="N641" t="s">
        <v>150</v>
      </c>
    </row>
    <row r="642" spans="1:14" x14ac:dyDescent="0.2">
      <c r="A642">
        <v>10888</v>
      </c>
      <c r="B642" t="s">
        <v>189</v>
      </c>
      <c r="C642">
        <v>1</v>
      </c>
      <c r="D642" s="5">
        <v>35842</v>
      </c>
      <c r="E642" s="5">
        <v>35870</v>
      </c>
      <c r="F642" s="5">
        <v>35849</v>
      </c>
      <c r="G642">
        <v>2</v>
      </c>
      <c r="H642" s="6">
        <v>51.87</v>
      </c>
      <c r="I642" t="s">
        <v>190</v>
      </c>
      <c r="J642" t="s">
        <v>427</v>
      </c>
      <c r="K642" t="s">
        <v>192</v>
      </c>
      <c r="L642" t="s">
        <v>18</v>
      </c>
      <c r="M642" s="7">
        <v>41101</v>
      </c>
      <c r="N642" t="s">
        <v>150</v>
      </c>
    </row>
    <row r="643" spans="1:14" x14ac:dyDescent="0.2">
      <c r="A643">
        <v>10889</v>
      </c>
      <c r="B643" t="s">
        <v>81</v>
      </c>
      <c r="C643">
        <v>9</v>
      </c>
      <c r="D643" s="5">
        <v>35842</v>
      </c>
      <c r="E643" s="5">
        <v>35870</v>
      </c>
      <c r="F643" s="5">
        <v>35849</v>
      </c>
      <c r="G643">
        <v>3</v>
      </c>
      <c r="H643" s="6">
        <v>280.61</v>
      </c>
      <c r="I643" t="s">
        <v>82</v>
      </c>
      <c r="J643" t="s">
        <v>83</v>
      </c>
      <c r="K643" t="s">
        <v>84</v>
      </c>
      <c r="L643" t="s">
        <v>85</v>
      </c>
      <c r="M643" s="7">
        <v>87110</v>
      </c>
      <c r="N643" t="s">
        <v>86</v>
      </c>
    </row>
    <row r="644" spans="1:14" x14ac:dyDescent="0.2">
      <c r="A644">
        <v>10890</v>
      </c>
      <c r="B644" t="s">
        <v>209</v>
      </c>
      <c r="C644">
        <v>7</v>
      </c>
      <c r="D644" s="5">
        <v>35842</v>
      </c>
      <c r="E644" s="5">
        <v>35870</v>
      </c>
      <c r="F644" s="5">
        <v>35844</v>
      </c>
      <c r="G644">
        <v>1</v>
      </c>
      <c r="H644" s="6">
        <v>32.76</v>
      </c>
      <c r="I644" t="s">
        <v>210</v>
      </c>
      <c r="J644" t="s">
        <v>428</v>
      </c>
      <c r="K644" t="s">
        <v>212</v>
      </c>
      <c r="L644" t="s">
        <v>18</v>
      </c>
      <c r="M644" s="7">
        <v>44000</v>
      </c>
      <c r="N644" t="s">
        <v>19</v>
      </c>
    </row>
    <row r="645" spans="1:14" x14ac:dyDescent="0.2">
      <c r="A645">
        <v>10891</v>
      </c>
      <c r="B645" t="s">
        <v>142</v>
      </c>
      <c r="C645">
        <v>7</v>
      </c>
      <c r="D645" s="5">
        <v>35843</v>
      </c>
      <c r="E645" s="5">
        <v>35871</v>
      </c>
      <c r="F645" s="5">
        <v>35845</v>
      </c>
      <c r="G645">
        <v>2</v>
      </c>
      <c r="H645" s="6">
        <v>20.37</v>
      </c>
      <c r="I645" t="s">
        <v>143</v>
      </c>
      <c r="J645" t="s">
        <v>144</v>
      </c>
      <c r="K645" t="s">
        <v>145</v>
      </c>
      <c r="L645" t="s">
        <v>18</v>
      </c>
      <c r="M645" s="7">
        <v>60528</v>
      </c>
      <c r="N645" t="s">
        <v>24</v>
      </c>
    </row>
    <row r="646" spans="1:14" x14ac:dyDescent="0.2">
      <c r="A646">
        <v>10892</v>
      </c>
      <c r="B646" t="s">
        <v>378</v>
      </c>
      <c r="C646">
        <v>4</v>
      </c>
      <c r="D646" s="5">
        <v>35843</v>
      </c>
      <c r="E646" s="5">
        <v>35871</v>
      </c>
      <c r="F646" s="5">
        <v>35845</v>
      </c>
      <c r="G646">
        <v>2</v>
      </c>
      <c r="H646" s="6">
        <v>120.27</v>
      </c>
      <c r="I646" t="s">
        <v>379</v>
      </c>
      <c r="J646" t="s">
        <v>380</v>
      </c>
      <c r="K646" t="s">
        <v>381</v>
      </c>
      <c r="L646" t="s">
        <v>18</v>
      </c>
      <c r="M646" s="7" t="s">
        <v>382</v>
      </c>
      <c r="N646" t="s">
        <v>41</v>
      </c>
    </row>
    <row r="647" spans="1:14" x14ac:dyDescent="0.2">
      <c r="A647">
        <v>10893</v>
      </c>
      <c r="B647" t="s">
        <v>222</v>
      </c>
      <c r="C647">
        <v>9</v>
      </c>
      <c r="D647" s="5">
        <v>35844</v>
      </c>
      <c r="E647" s="5">
        <v>35872</v>
      </c>
      <c r="F647" s="5">
        <v>35846</v>
      </c>
      <c r="G647">
        <v>2</v>
      </c>
      <c r="H647" s="6">
        <v>77.78</v>
      </c>
      <c r="I647" t="s">
        <v>223</v>
      </c>
      <c r="J647" t="s">
        <v>224</v>
      </c>
      <c r="K647" t="s">
        <v>225</v>
      </c>
      <c r="L647" t="s">
        <v>18</v>
      </c>
      <c r="M647" s="7">
        <v>14776</v>
      </c>
      <c r="N647" t="s">
        <v>24</v>
      </c>
    </row>
    <row r="648" spans="1:14" x14ac:dyDescent="0.2">
      <c r="A648">
        <v>10894</v>
      </c>
      <c r="B648" t="s">
        <v>226</v>
      </c>
      <c r="C648">
        <v>1</v>
      </c>
      <c r="D648" s="5">
        <v>35844</v>
      </c>
      <c r="E648" s="5">
        <v>35872</v>
      </c>
      <c r="F648" s="5">
        <v>35846</v>
      </c>
      <c r="G648">
        <v>1</v>
      </c>
      <c r="H648" s="6">
        <v>116.13</v>
      </c>
      <c r="I648" t="s">
        <v>227</v>
      </c>
      <c r="J648" t="s">
        <v>228</v>
      </c>
      <c r="K648" t="s">
        <v>229</v>
      </c>
      <c r="L648" t="s">
        <v>230</v>
      </c>
      <c r="M648" s="7">
        <v>83720</v>
      </c>
      <c r="N648" t="s">
        <v>86</v>
      </c>
    </row>
    <row r="649" spans="1:14" x14ac:dyDescent="0.2">
      <c r="A649">
        <v>10895</v>
      </c>
      <c r="B649" t="s">
        <v>63</v>
      </c>
      <c r="C649">
        <v>3</v>
      </c>
      <c r="D649" s="5">
        <v>35844</v>
      </c>
      <c r="E649" s="5">
        <v>35872</v>
      </c>
      <c r="F649" s="5">
        <v>35849</v>
      </c>
      <c r="G649">
        <v>1</v>
      </c>
      <c r="H649" s="6">
        <v>162.75</v>
      </c>
      <c r="I649" t="s">
        <v>64</v>
      </c>
      <c r="J649" t="s">
        <v>65</v>
      </c>
      <c r="K649" t="s">
        <v>66</v>
      </c>
      <c r="L649" t="s">
        <v>18</v>
      </c>
      <c r="M649" s="7">
        <v>8010</v>
      </c>
      <c r="N649" t="s">
        <v>67</v>
      </c>
    </row>
    <row r="650" spans="1:14" x14ac:dyDescent="0.2">
      <c r="A650">
        <v>10896</v>
      </c>
      <c r="B650" t="s">
        <v>378</v>
      </c>
      <c r="C650">
        <v>7</v>
      </c>
      <c r="D650" s="5">
        <v>35845</v>
      </c>
      <c r="E650" s="5">
        <v>35873</v>
      </c>
      <c r="F650" s="5">
        <v>35853</v>
      </c>
      <c r="G650">
        <v>3</v>
      </c>
      <c r="H650" s="6">
        <v>32.450000000000003</v>
      </c>
      <c r="I650" t="s">
        <v>379</v>
      </c>
      <c r="J650" t="s">
        <v>380</v>
      </c>
      <c r="K650" t="s">
        <v>381</v>
      </c>
      <c r="L650" t="s">
        <v>18</v>
      </c>
      <c r="M650" s="7" t="s">
        <v>382</v>
      </c>
      <c r="N650" t="s">
        <v>41</v>
      </c>
    </row>
    <row r="651" spans="1:14" x14ac:dyDescent="0.2">
      <c r="A651">
        <v>10897</v>
      </c>
      <c r="B651" t="s">
        <v>179</v>
      </c>
      <c r="C651">
        <v>3</v>
      </c>
      <c r="D651" s="5">
        <v>35845</v>
      </c>
      <c r="E651" s="5">
        <v>35873</v>
      </c>
      <c r="F651" s="5">
        <v>35851</v>
      </c>
      <c r="G651">
        <v>2</v>
      </c>
      <c r="H651" s="6">
        <v>603.54</v>
      </c>
      <c r="I651" t="s">
        <v>180</v>
      </c>
      <c r="J651" t="s">
        <v>181</v>
      </c>
      <c r="K651" t="s">
        <v>182</v>
      </c>
      <c r="L651" t="s">
        <v>183</v>
      </c>
      <c r="M651" s="7" t="s">
        <v>18</v>
      </c>
      <c r="N651" t="s">
        <v>184</v>
      </c>
    </row>
    <row r="652" spans="1:14" x14ac:dyDescent="0.2">
      <c r="A652">
        <v>10898</v>
      </c>
      <c r="B652" t="s">
        <v>333</v>
      </c>
      <c r="C652">
        <v>4</v>
      </c>
      <c r="D652" s="5">
        <v>35846</v>
      </c>
      <c r="E652" s="5">
        <v>35874</v>
      </c>
      <c r="F652" s="5">
        <v>35860</v>
      </c>
      <c r="G652">
        <v>2</v>
      </c>
      <c r="H652" s="6">
        <v>1.27</v>
      </c>
      <c r="I652" t="s">
        <v>334</v>
      </c>
      <c r="J652" t="s">
        <v>335</v>
      </c>
      <c r="K652" t="s">
        <v>336</v>
      </c>
      <c r="L652" t="s">
        <v>18</v>
      </c>
      <c r="M652" s="7">
        <v>1010</v>
      </c>
      <c r="N652" t="s">
        <v>337</v>
      </c>
    </row>
    <row r="653" spans="1:14" x14ac:dyDescent="0.2">
      <c r="A653">
        <v>10899</v>
      </c>
      <c r="B653" t="s">
        <v>151</v>
      </c>
      <c r="C653">
        <v>5</v>
      </c>
      <c r="D653" s="5">
        <v>35846</v>
      </c>
      <c r="E653" s="5">
        <v>35874</v>
      </c>
      <c r="F653" s="5">
        <v>35852</v>
      </c>
      <c r="G653">
        <v>3</v>
      </c>
      <c r="H653" s="6">
        <v>1.21</v>
      </c>
      <c r="I653" t="s">
        <v>152</v>
      </c>
      <c r="J653" t="s">
        <v>153</v>
      </c>
      <c r="K653" t="s">
        <v>154</v>
      </c>
      <c r="L653" t="s">
        <v>155</v>
      </c>
      <c r="M653" s="7">
        <v>3508</v>
      </c>
      <c r="N653" t="s">
        <v>62</v>
      </c>
    </row>
    <row r="654" spans="1:14" x14ac:dyDescent="0.2">
      <c r="A654">
        <v>10900</v>
      </c>
      <c r="B654" t="s">
        <v>51</v>
      </c>
      <c r="C654">
        <v>1</v>
      </c>
      <c r="D654" s="5">
        <v>35846</v>
      </c>
      <c r="E654" s="5">
        <v>35874</v>
      </c>
      <c r="F654" s="5">
        <v>35858</v>
      </c>
      <c r="G654">
        <v>2</v>
      </c>
      <c r="H654" s="6">
        <v>1.66</v>
      </c>
      <c r="I654" t="s">
        <v>52</v>
      </c>
      <c r="J654" t="s">
        <v>420</v>
      </c>
      <c r="K654" t="s">
        <v>54</v>
      </c>
      <c r="L654" t="s">
        <v>55</v>
      </c>
      <c r="M654" s="7" t="s">
        <v>56</v>
      </c>
      <c r="N654" t="s">
        <v>31</v>
      </c>
    </row>
    <row r="655" spans="1:14" x14ac:dyDescent="0.2">
      <c r="A655">
        <v>10901</v>
      </c>
      <c r="B655" t="s">
        <v>57</v>
      </c>
      <c r="C655">
        <v>4</v>
      </c>
      <c r="D655" s="5">
        <v>35849</v>
      </c>
      <c r="E655" s="5">
        <v>35877</v>
      </c>
      <c r="F655" s="5">
        <v>35852</v>
      </c>
      <c r="G655">
        <v>1</v>
      </c>
      <c r="H655" s="6">
        <v>62.09</v>
      </c>
      <c r="I655" t="s">
        <v>58</v>
      </c>
      <c r="J655" t="s">
        <v>59</v>
      </c>
      <c r="K655" t="s">
        <v>60</v>
      </c>
      <c r="L655" t="s">
        <v>61</v>
      </c>
      <c r="M655" s="7">
        <v>5022</v>
      </c>
      <c r="N655" t="s">
        <v>62</v>
      </c>
    </row>
    <row r="656" spans="1:14" x14ac:dyDescent="0.2">
      <c r="A656">
        <v>10902</v>
      </c>
      <c r="B656" t="s">
        <v>87</v>
      </c>
      <c r="C656">
        <v>1</v>
      </c>
      <c r="D656" s="5">
        <v>35849</v>
      </c>
      <c r="E656" s="5">
        <v>35877</v>
      </c>
      <c r="F656" s="5">
        <v>35857</v>
      </c>
      <c r="G656">
        <v>1</v>
      </c>
      <c r="H656" s="6">
        <v>44.15</v>
      </c>
      <c r="I656" t="s">
        <v>88</v>
      </c>
      <c r="J656" t="s">
        <v>89</v>
      </c>
      <c r="K656" t="s">
        <v>90</v>
      </c>
      <c r="L656" t="s">
        <v>18</v>
      </c>
      <c r="M656" s="7" t="s">
        <v>91</v>
      </c>
      <c r="N656" t="s">
        <v>92</v>
      </c>
    </row>
    <row r="657" spans="1:14" x14ac:dyDescent="0.2">
      <c r="A657">
        <v>10903</v>
      </c>
      <c r="B657" t="s">
        <v>25</v>
      </c>
      <c r="C657">
        <v>3</v>
      </c>
      <c r="D657" s="5">
        <v>35850</v>
      </c>
      <c r="E657" s="5">
        <v>35878</v>
      </c>
      <c r="F657" s="5">
        <v>35858</v>
      </c>
      <c r="G657">
        <v>3</v>
      </c>
      <c r="H657" s="6">
        <v>36.71</v>
      </c>
      <c r="I657" t="s">
        <v>26</v>
      </c>
      <c r="J657" t="s">
        <v>417</v>
      </c>
      <c r="K657" t="s">
        <v>28</v>
      </c>
      <c r="L657" t="s">
        <v>29</v>
      </c>
      <c r="M657" s="7" t="s">
        <v>30</v>
      </c>
      <c r="N657" t="s">
        <v>31</v>
      </c>
    </row>
    <row r="658" spans="1:14" x14ac:dyDescent="0.2">
      <c r="A658">
        <v>10904</v>
      </c>
      <c r="B658" t="s">
        <v>111</v>
      </c>
      <c r="C658">
        <v>3</v>
      </c>
      <c r="D658" s="5">
        <v>35850</v>
      </c>
      <c r="E658" s="5">
        <v>35878</v>
      </c>
      <c r="F658" s="5">
        <v>35853</v>
      </c>
      <c r="G658">
        <v>3</v>
      </c>
      <c r="H658" s="6">
        <v>162.94999999999999</v>
      </c>
      <c r="I658" t="s">
        <v>112</v>
      </c>
      <c r="J658" t="s">
        <v>113</v>
      </c>
      <c r="K658" t="s">
        <v>114</v>
      </c>
      <c r="L658" t="s">
        <v>115</v>
      </c>
      <c r="M658" s="7">
        <v>98124</v>
      </c>
      <c r="N658" t="s">
        <v>86</v>
      </c>
    </row>
    <row r="659" spans="1:14" x14ac:dyDescent="0.2">
      <c r="A659">
        <v>10905</v>
      </c>
      <c r="B659" t="s">
        <v>51</v>
      </c>
      <c r="C659">
        <v>9</v>
      </c>
      <c r="D659" s="5">
        <v>35850</v>
      </c>
      <c r="E659" s="5">
        <v>35878</v>
      </c>
      <c r="F659" s="5">
        <v>35860</v>
      </c>
      <c r="G659">
        <v>2</v>
      </c>
      <c r="H659" s="6">
        <v>13.72</v>
      </c>
      <c r="I659" t="s">
        <v>52</v>
      </c>
      <c r="J659" t="s">
        <v>420</v>
      </c>
      <c r="K659" t="s">
        <v>54</v>
      </c>
      <c r="L659" t="s">
        <v>55</v>
      </c>
      <c r="M659" s="7" t="s">
        <v>56</v>
      </c>
      <c r="N659" t="s">
        <v>31</v>
      </c>
    </row>
    <row r="660" spans="1:14" x14ac:dyDescent="0.2">
      <c r="A660">
        <v>10906</v>
      </c>
      <c r="B660" t="s">
        <v>303</v>
      </c>
      <c r="C660">
        <v>4</v>
      </c>
      <c r="D660" s="5">
        <v>35851</v>
      </c>
      <c r="E660" s="5">
        <v>35865</v>
      </c>
      <c r="F660" s="5">
        <v>35857</v>
      </c>
      <c r="G660">
        <v>3</v>
      </c>
      <c r="H660" s="6">
        <v>26.29</v>
      </c>
      <c r="I660" t="s">
        <v>304</v>
      </c>
      <c r="J660" t="s">
        <v>305</v>
      </c>
      <c r="K660" t="s">
        <v>306</v>
      </c>
      <c r="L660" t="s">
        <v>18</v>
      </c>
      <c r="M660" s="7" t="s">
        <v>307</v>
      </c>
      <c r="N660" t="s">
        <v>308</v>
      </c>
    </row>
    <row r="661" spans="1:14" x14ac:dyDescent="0.2">
      <c r="A661">
        <v>10907</v>
      </c>
      <c r="B661" t="s">
        <v>409</v>
      </c>
      <c r="C661">
        <v>6</v>
      </c>
      <c r="D661" s="5">
        <v>35851</v>
      </c>
      <c r="E661" s="5">
        <v>35879</v>
      </c>
      <c r="F661" s="5">
        <v>35853</v>
      </c>
      <c r="G661">
        <v>3</v>
      </c>
      <c r="H661" s="6">
        <v>9.19</v>
      </c>
      <c r="I661" t="s">
        <v>410</v>
      </c>
      <c r="J661" t="s">
        <v>437</v>
      </c>
      <c r="K661" t="s">
        <v>412</v>
      </c>
      <c r="L661" t="s">
        <v>18</v>
      </c>
      <c r="M661" s="7">
        <v>75016</v>
      </c>
      <c r="N661" t="s">
        <v>19</v>
      </c>
    </row>
    <row r="662" spans="1:14" x14ac:dyDescent="0.2">
      <c r="A662">
        <v>10908</v>
      </c>
      <c r="B662" t="s">
        <v>160</v>
      </c>
      <c r="C662">
        <v>4</v>
      </c>
      <c r="D662" s="5">
        <v>35852</v>
      </c>
      <c r="E662" s="5">
        <v>35880</v>
      </c>
      <c r="F662" s="5">
        <v>35860</v>
      </c>
      <c r="G662">
        <v>2</v>
      </c>
      <c r="H662" s="6">
        <v>32.96</v>
      </c>
      <c r="I662" t="s">
        <v>161</v>
      </c>
      <c r="J662" t="s">
        <v>162</v>
      </c>
      <c r="K662" t="s">
        <v>163</v>
      </c>
      <c r="L662" t="s">
        <v>18</v>
      </c>
      <c r="M662" s="7">
        <v>42100</v>
      </c>
      <c r="N662" t="s">
        <v>129</v>
      </c>
    </row>
    <row r="663" spans="1:14" x14ac:dyDescent="0.2">
      <c r="A663">
        <v>10909</v>
      </c>
      <c r="B663" t="s">
        <v>313</v>
      </c>
      <c r="C663">
        <v>1</v>
      </c>
      <c r="D663" s="5">
        <v>35852</v>
      </c>
      <c r="E663" s="5">
        <v>35880</v>
      </c>
      <c r="F663" s="5">
        <v>35864</v>
      </c>
      <c r="G663">
        <v>2</v>
      </c>
      <c r="H663" s="6">
        <v>53.05</v>
      </c>
      <c r="I663" t="s">
        <v>314</v>
      </c>
      <c r="J663" t="s">
        <v>315</v>
      </c>
      <c r="K663" t="s">
        <v>316</v>
      </c>
      <c r="L663" t="s">
        <v>18</v>
      </c>
      <c r="M663" s="7">
        <v>4110</v>
      </c>
      <c r="N663" t="s">
        <v>317</v>
      </c>
    </row>
    <row r="664" spans="1:14" x14ac:dyDescent="0.2">
      <c r="A664">
        <v>10910</v>
      </c>
      <c r="B664" t="s">
        <v>392</v>
      </c>
      <c r="C664">
        <v>1</v>
      </c>
      <c r="D664" s="5">
        <v>35852</v>
      </c>
      <c r="E664" s="5">
        <v>35880</v>
      </c>
      <c r="F664" s="5">
        <v>35858</v>
      </c>
      <c r="G664">
        <v>3</v>
      </c>
      <c r="H664" s="6">
        <v>38.11</v>
      </c>
      <c r="I664" t="s">
        <v>393</v>
      </c>
      <c r="J664" t="s">
        <v>394</v>
      </c>
      <c r="K664" t="s">
        <v>395</v>
      </c>
      <c r="L664" t="s">
        <v>18</v>
      </c>
      <c r="M664" s="7">
        <v>21240</v>
      </c>
      <c r="N664" t="s">
        <v>101</v>
      </c>
    </row>
    <row r="665" spans="1:14" x14ac:dyDescent="0.2">
      <c r="A665">
        <v>10911</v>
      </c>
      <c r="B665" t="s">
        <v>189</v>
      </c>
      <c r="C665">
        <v>3</v>
      </c>
      <c r="D665" s="5">
        <v>35852</v>
      </c>
      <c r="E665" s="5">
        <v>35880</v>
      </c>
      <c r="F665" s="5">
        <v>35859</v>
      </c>
      <c r="G665">
        <v>1</v>
      </c>
      <c r="H665" s="6">
        <v>38.19</v>
      </c>
      <c r="I665" t="s">
        <v>190</v>
      </c>
      <c r="J665" t="s">
        <v>427</v>
      </c>
      <c r="K665" t="s">
        <v>192</v>
      </c>
      <c r="L665" t="s">
        <v>18</v>
      </c>
      <c r="M665" s="7">
        <v>41101</v>
      </c>
      <c r="N665" t="s">
        <v>150</v>
      </c>
    </row>
    <row r="666" spans="1:14" x14ac:dyDescent="0.2">
      <c r="A666">
        <v>10912</v>
      </c>
      <c r="B666" t="s">
        <v>179</v>
      </c>
      <c r="C666">
        <v>2</v>
      </c>
      <c r="D666" s="5">
        <v>35852</v>
      </c>
      <c r="E666" s="5">
        <v>35880</v>
      </c>
      <c r="F666" s="5">
        <v>35872</v>
      </c>
      <c r="G666">
        <v>2</v>
      </c>
      <c r="H666" s="6">
        <v>580.91</v>
      </c>
      <c r="I666" t="s">
        <v>180</v>
      </c>
      <c r="J666" t="s">
        <v>181</v>
      </c>
      <c r="K666" t="s">
        <v>182</v>
      </c>
      <c r="L666" t="s">
        <v>183</v>
      </c>
      <c r="M666" s="7" t="s">
        <v>18</v>
      </c>
      <c r="N666" t="s">
        <v>184</v>
      </c>
    </row>
    <row r="667" spans="1:14" x14ac:dyDescent="0.2">
      <c r="A667">
        <v>10913</v>
      </c>
      <c r="B667" t="s">
        <v>299</v>
      </c>
      <c r="C667">
        <v>4</v>
      </c>
      <c r="D667" s="5">
        <v>35852</v>
      </c>
      <c r="E667" s="5">
        <v>35880</v>
      </c>
      <c r="F667" s="5">
        <v>35858</v>
      </c>
      <c r="G667">
        <v>1</v>
      </c>
      <c r="H667" s="6">
        <v>33.049999999999997</v>
      </c>
      <c r="I667" t="s">
        <v>300</v>
      </c>
      <c r="J667" t="s">
        <v>433</v>
      </c>
      <c r="K667" t="s">
        <v>173</v>
      </c>
      <c r="L667" t="s">
        <v>55</v>
      </c>
      <c r="M667" s="7" t="s">
        <v>302</v>
      </c>
      <c r="N667" t="s">
        <v>31</v>
      </c>
    </row>
    <row r="668" spans="1:14" x14ac:dyDescent="0.2">
      <c r="A668">
        <v>10914</v>
      </c>
      <c r="B668" t="s">
        <v>299</v>
      </c>
      <c r="C668">
        <v>6</v>
      </c>
      <c r="D668" s="5">
        <v>35853</v>
      </c>
      <c r="E668" s="5">
        <v>35881</v>
      </c>
      <c r="F668" s="5">
        <v>35856</v>
      </c>
      <c r="G668">
        <v>1</v>
      </c>
      <c r="H668" s="6">
        <v>21.19</v>
      </c>
      <c r="I668" t="s">
        <v>300</v>
      </c>
      <c r="J668" t="s">
        <v>433</v>
      </c>
      <c r="K668" t="s">
        <v>173</v>
      </c>
      <c r="L668" t="s">
        <v>55</v>
      </c>
      <c r="M668" s="7" t="s">
        <v>302</v>
      </c>
      <c r="N668" t="s">
        <v>31</v>
      </c>
    </row>
    <row r="669" spans="1:14" x14ac:dyDescent="0.2">
      <c r="A669">
        <v>10915</v>
      </c>
      <c r="B669" t="s">
        <v>130</v>
      </c>
      <c r="C669">
        <v>2</v>
      </c>
      <c r="D669" s="5">
        <v>35853</v>
      </c>
      <c r="E669" s="5">
        <v>35881</v>
      </c>
      <c r="F669" s="5">
        <v>35856</v>
      </c>
      <c r="G669">
        <v>2</v>
      </c>
      <c r="H669" s="6">
        <v>3.51</v>
      </c>
      <c r="I669" t="s">
        <v>131</v>
      </c>
      <c r="J669" t="s">
        <v>132</v>
      </c>
      <c r="K669" t="s">
        <v>71</v>
      </c>
      <c r="L669" t="s">
        <v>18</v>
      </c>
      <c r="M669" s="7">
        <v>5033</v>
      </c>
      <c r="N669" t="s">
        <v>72</v>
      </c>
    </row>
    <row r="670" spans="1:14" x14ac:dyDescent="0.2">
      <c r="A670">
        <v>10916</v>
      </c>
      <c r="B670" t="s">
        <v>351</v>
      </c>
      <c r="C670">
        <v>1</v>
      </c>
      <c r="D670" s="5">
        <v>35853</v>
      </c>
      <c r="E670" s="5">
        <v>35881</v>
      </c>
      <c r="F670" s="5">
        <v>35863</v>
      </c>
      <c r="G670">
        <v>2</v>
      </c>
      <c r="H670" s="6">
        <v>63.77</v>
      </c>
      <c r="I670" t="s">
        <v>352</v>
      </c>
      <c r="J670" t="s">
        <v>353</v>
      </c>
      <c r="K670" t="s">
        <v>336</v>
      </c>
      <c r="L670" t="s">
        <v>18</v>
      </c>
      <c r="M670" s="7">
        <v>1010</v>
      </c>
      <c r="N670" t="s">
        <v>337</v>
      </c>
    </row>
    <row r="671" spans="1:14" x14ac:dyDescent="0.2">
      <c r="A671">
        <v>10917</v>
      </c>
      <c r="B671" t="s">
        <v>146</v>
      </c>
      <c r="C671">
        <v>4</v>
      </c>
      <c r="D671" s="5">
        <v>35856</v>
      </c>
      <c r="E671" s="5">
        <v>35884</v>
      </c>
      <c r="F671" s="5">
        <v>35865</v>
      </c>
      <c r="G671">
        <v>2</v>
      </c>
      <c r="H671" s="6">
        <v>8.2899999999999991</v>
      </c>
      <c r="I671" t="s">
        <v>147</v>
      </c>
      <c r="J671" t="s">
        <v>423</v>
      </c>
      <c r="K671" t="s">
        <v>149</v>
      </c>
      <c r="L671" t="s">
        <v>18</v>
      </c>
      <c r="M671" s="7">
        <v>28001</v>
      </c>
      <c r="N671" t="s">
        <v>150</v>
      </c>
    </row>
    <row r="672" spans="1:14" x14ac:dyDescent="0.2">
      <c r="A672">
        <v>10918</v>
      </c>
      <c r="B672" t="s">
        <v>318</v>
      </c>
      <c r="C672">
        <v>3</v>
      </c>
      <c r="D672" s="5">
        <v>35856</v>
      </c>
      <c r="E672" s="5">
        <v>35884</v>
      </c>
      <c r="F672" s="5">
        <v>35865</v>
      </c>
      <c r="G672">
        <v>3</v>
      </c>
      <c r="H672" s="6">
        <v>48.83</v>
      </c>
      <c r="I672" t="s">
        <v>319</v>
      </c>
      <c r="J672" t="s">
        <v>320</v>
      </c>
      <c r="K672" t="s">
        <v>321</v>
      </c>
      <c r="L672" t="s">
        <v>322</v>
      </c>
      <c r="M672" s="7" t="s">
        <v>323</v>
      </c>
      <c r="N672" t="s">
        <v>249</v>
      </c>
    </row>
    <row r="673" spans="1:14" x14ac:dyDescent="0.2">
      <c r="A673">
        <v>10919</v>
      </c>
      <c r="B673" t="s">
        <v>324</v>
      </c>
      <c r="C673">
        <v>2</v>
      </c>
      <c r="D673" s="5">
        <v>35856</v>
      </c>
      <c r="E673" s="5">
        <v>35884</v>
      </c>
      <c r="F673" s="5">
        <v>35858</v>
      </c>
      <c r="G673">
        <v>2</v>
      </c>
      <c r="H673" s="6">
        <v>19.8</v>
      </c>
      <c r="I673" t="s">
        <v>325</v>
      </c>
      <c r="J673" t="s">
        <v>326</v>
      </c>
      <c r="K673" t="s">
        <v>327</v>
      </c>
      <c r="L673" t="s">
        <v>328</v>
      </c>
      <c r="M673" s="7">
        <v>4980</v>
      </c>
      <c r="N673" t="s">
        <v>62</v>
      </c>
    </row>
    <row r="674" spans="1:14" x14ac:dyDescent="0.2">
      <c r="A674">
        <v>10920</v>
      </c>
      <c r="B674" t="s">
        <v>270</v>
      </c>
      <c r="C674">
        <v>4</v>
      </c>
      <c r="D674" s="5">
        <v>35857</v>
      </c>
      <c r="E674" s="5">
        <v>35885</v>
      </c>
      <c r="F674" s="5">
        <v>35863</v>
      </c>
      <c r="G674">
        <v>2</v>
      </c>
      <c r="H674" s="6">
        <v>29.61</v>
      </c>
      <c r="I674" t="s">
        <v>271</v>
      </c>
      <c r="J674" t="s">
        <v>272</v>
      </c>
      <c r="K674" t="s">
        <v>273</v>
      </c>
      <c r="L674" t="s">
        <v>274</v>
      </c>
      <c r="M674" s="7" t="s">
        <v>275</v>
      </c>
      <c r="N674" t="s">
        <v>169</v>
      </c>
    </row>
    <row r="675" spans="1:14" x14ac:dyDescent="0.2">
      <c r="A675">
        <v>10921</v>
      </c>
      <c r="B675" t="s">
        <v>295</v>
      </c>
      <c r="C675">
        <v>1</v>
      </c>
      <c r="D675" s="5">
        <v>35857</v>
      </c>
      <c r="E675" s="5">
        <v>35899</v>
      </c>
      <c r="F675" s="5">
        <v>35863</v>
      </c>
      <c r="G675">
        <v>1</v>
      </c>
      <c r="H675" s="6">
        <v>176.48</v>
      </c>
      <c r="I675" t="s">
        <v>296</v>
      </c>
      <c r="J675" t="s">
        <v>297</v>
      </c>
      <c r="K675" t="s">
        <v>298</v>
      </c>
      <c r="L675" t="s">
        <v>18</v>
      </c>
      <c r="M675" s="7">
        <v>8200</v>
      </c>
      <c r="N675" t="s">
        <v>257</v>
      </c>
    </row>
    <row r="676" spans="1:14" x14ac:dyDescent="0.2">
      <c r="A676">
        <v>10922</v>
      </c>
      <c r="B676" t="s">
        <v>25</v>
      </c>
      <c r="C676">
        <v>5</v>
      </c>
      <c r="D676" s="5">
        <v>35857</v>
      </c>
      <c r="E676" s="5">
        <v>35885</v>
      </c>
      <c r="F676" s="5">
        <v>35859</v>
      </c>
      <c r="G676">
        <v>3</v>
      </c>
      <c r="H676" s="6">
        <v>62.74</v>
      </c>
      <c r="I676" t="s">
        <v>26</v>
      </c>
      <c r="J676" t="s">
        <v>417</v>
      </c>
      <c r="K676" t="s">
        <v>28</v>
      </c>
      <c r="L676" t="s">
        <v>29</v>
      </c>
      <c r="M676" s="7" t="s">
        <v>30</v>
      </c>
      <c r="N676" t="s">
        <v>31</v>
      </c>
    </row>
    <row r="677" spans="1:14" x14ac:dyDescent="0.2">
      <c r="A677">
        <v>10923</v>
      </c>
      <c r="B677" t="s">
        <v>262</v>
      </c>
      <c r="C677">
        <v>7</v>
      </c>
      <c r="D677" s="5">
        <v>35857</v>
      </c>
      <c r="E677" s="5">
        <v>35899</v>
      </c>
      <c r="F677" s="5">
        <v>35867</v>
      </c>
      <c r="G677">
        <v>3</v>
      </c>
      <c r="H677" s="6">
        <v>68.260000000000005</v>
      </c>
      <c r="I677" t="s">
        <v>263</v>
      </c>
      <c r="J677" t="s">
        <v>264</v>
      </c>
      <c r="K677" t="s">
        <v>265</v>
      </c>
      <c r="L677" t="s">
        <v>18</v>
      </c>
      <c r="M677" s="7">
        <v>31000</v>
      </c>
      <c r="N677" t="s">
        <v>19</v>
      </c>
    </row>
    <row r="678" spans="1:14" x14ac:dyDescent="0.2">
      <c r="A678">
        <v>10924</v>
      </c>
      <c r="B678" t="s">
        <v>137</v>
      </c>
      <c r="C678">
        <v>3</v>
      </c>
      <c r="D678" s="5">
        <v>35858</v>
      </c>
      <c r="E678" s="5">
        <v>35886</v>
      </c>
      <c r="F678" s="5">
        <v>35893</v>
      </c>
      <c r="G678">
        <v>2</v>
      </c>
      <c r="H678" s="6">
        <v>151.52000000000001</v>
      </c>
      <c r="I678" t="s">
        <v>138</v>
      </c>
      <c r="J678" t="s">
        <v>139</v>
      </c>
      <c r="K678" t="s">
        <v>140</v>
      </c>
      <c r="L678" t="s">
        <v>18</v>
      </c>
      <c r="M678" s="7" t="s">
        <v>141</v>
      </c>
      <c r="N678" t="s">
        <v>92</v>
      </c>
    </row>
    <row r="679" spans="1:14" x14ac:dyDescent="0.2">
      <c r="A679">
        <v>10925</v>
      </c>
      <c r="B679" t="s">
        <v>25</v>
      </c>
      <c r="C679">
        <v>3</v>
      </c>
      <c r="D679" s="5">
        <v>35858</v>
      </c>
      <c r="E679" s="5">
        <v>35886</v>
      </c>
      <c r="F679" s="5">
        <v>35867</v>
      </c>
      <c r="G679">
        <v>1</v>
      </c>
      <c r="H679" s="6">
        <v>2.27</v>
      </c>
      <c r="I679" t="s">
        <v>26</v>
      </c>
      <c r="J679" t="s">
        <v>417</v>
      </c>
      <c r="K679" t="s">
        <v>28</v>
      </c>
      <c r="L679" t="s">
        <v>29</v>
      </c>
      <c r="M679" s="7" t="s">
        <v>30</v>
      </c>
      <c r="N679" t="s">
        <v>31</v>
      </c>
    </row>
    <row r="680" spans="1:14" x14ac:dyDescent="0.2">
      <c r="A680">
        <v>10926</v>
      </c>
      <c r="B680" t="s">
        <v>203</v>
      </c>
      <c r="C680">
        <v>4</v>
      </c>
      <c r="D680" s="5">
        <v>35858</v>
      </c>
      <c r="E680" s="5">
        <v>35886</v>
      </c>
      <c r="F680" s="5">
        <v>35865</v>
      </c>
      <c r="G680">
        <v>3</v>
      </c>
      <c r="H680" s="6">
        <v>39.92</v>
      </c>
      <c r="I680" t="s">
        <v>204</v>
      </c>
      <c r="J680" t="s">
        <v>205</v>
      </c>
      <c r="K680" t="s">
        <v>71</v>
      </c>
      <c r="L680" t="s">
        <v>18</v>
      </c>
      <c r="M680" s="7">
        <v>5021</v>
      </c>
      <c r="N680" t="s">
        <v>72</v>
      </c>
    </row>
    <row r="681" spans="1:14" x14ac:dyDescent="0.2">
      <c r="A681">
        <v>10927</v>
      </c>
      <c r="B681" t="s">
        <v>413</v>
      </c>
      <c r="C681">
        <v>4</v>
      </c>
      <c r="D681" s="5">
        <v>35859</v>
      </c>
      <c r="E681" s="5">
        <v>35887</v>
      </c>
      <c r="F681" s="5">
        <v>35893</v>
      </c>
      <c r="G681">
        <v>1</v>
      </c>
      <c r="H681" s="6">
        <v>19.79</v>
      </c>
      <c r="I681" t="s">
        <v>414</v>
      </c>
      <c r="J681" t="s">
        <v>438</v>
      </c>
      <c r="K681" t="s">
        <v>416</v>
      </c>
      <c r="L681" t="s">
        <v>18</v>
      </c>
      <c r="M681" s="7">
        <v>78000</v>
      </c>
      <c r="N681" t="s">
        <v>19</v>
      </c>
    </row>
    <row r="682" spans="1:14" x14ac:dyDescent="0.2">
      <c r="A682">
        <v>10928</v>
      </c>
      <c r="B682" t="s">
        <v>291</v>
      </c>
      <c r="C682">
        <v>1</v>
      </c>
      <c r="D682" s="5">
        <v>35859</v>
      </c>
      <c r="E682" s="5">
        <v>35887</v>
      </c>
      <c r="F682" s="5">
        <v>35872</v>
      </c>
      <c r="G682">
        <v>1</v>
      </c>
      <c r="H682" s="6">
        <v>1.36</v>
      </c>
      <c r="I682" t="s">
        <v>292</v>
      </c>
      <c r="J682" t="s">
        <v>432</v>
      </c>
      <c r="K682" t="s">
        <v>294</v>
      </c>
      <c r="L682" t="s">
        <v>18</v>
      </c>
      <c r="M682" s="7">
        <v>8022</v>
      </c>
      <c r="N682" t="s">
        <v>150</v>
      </c>
    </row>
    <row r="683" spans="1:14" x14ac:dyDescent="0.2">
      <c r="A683">
        <v>10929</v>
      </c>
      <c r="B683" t="s">
        <v>102</v>
      </c>
      <c r="C683">
        <v>6</v>
      </c>
      <c r="D683" s="5">
        <v>35859</v>
      </c>
      <c r="E683" s="5">
        <v>35887</v>
      </c>
      <c r="F683" s="5">
        <v>35866</v>
      </c>
      <c r="G683">
        <v>1</v>
      </c>
      <c r="H683" s="6">
        <v>33.93</v>
      </c>
      <c r="I683" t="s">
        <v>103</v>
      </c>
      <c r="J683" t="s">
        <v>104</v>
      </c>
      <c r="K683" t="s">
        <v>105</v>
      </c>
      <c r="L683" t="s">
        <v>18</v>
      </c>
      <c r="M683" s="7">
        <v>80805</v>
      </c>
      <c r="N683" t="s">
        <v>24</v>
      </c>
    </row>
    <row r="684" spans="1:14" x14ac:dyDescent="0.2">
      <c r="A684">
        <v>10930</v>
      </c>
      <c r="B684" t="s">
        <v>36</v>
      </c>
      <c r="C684">
        <v>4</v>
      </c>
      <c r="D684" s="5">
        <v>35860</v>
      </c>
      <c r="E684" s="5">
        <v>35902</v>
      </c>
      <c r="F684" s="5">
        <v>35872</v>
      </c>
      <c r="G684">
        <v>3</v>
      </c>
      <c r="H684" s="6">
        <v>15.55</v>
      </c>
      <c r="I684" t="s">
        <v>37</v>
      </c>
      <c r="J684" t="s">
        <v>419</v>
      </c>
      <c r="K684" t="s">
        <v>39</v>
      </c>
      <c r="L684" t="s">
        <v>18</v>
      </c>
      <c r="M684" s="7" t="s">
        <v>40</v>
      </c>
      <c r="N684" t="s">
        <v>41</v>
      </c>
    </row>
    <row r="685" spans="1:14" x14ac:dyDescent="0.2">
      <c r="A685">
        <v>10931</v>
      </c>
      <c r="B685" t="s">
        <v>47</v>
      </c>
      <c r="C685">
        <v>4</v>
      </c>
      <c r="D685" s="5">
        <v>35860</v>
      </c>
      <c r="E685" s="5">
        <v>35874</v>
      </c>
      <c r="F685" s="5">
        <v>35873</v>
      </c>
      <c r="G685">
        <v>2</v>
      </c>
      <c r="H685" s="6">
        <v>13.6</v>
      </c>
      <c r="I685" t="s">
        <v>48</v>
      </c>
      <c r="J685" t="s">
        <v>49</v>
      </c>
      <c r="K685" t="s">
        <v>50</v>
      </c>
      <c r="L685" t="s">
        <v>18</v>
      </c>
      <c r="M685" s="7">
        <v>1204</v>
      </c>
      <c r="N685" t="s">
        <v>46</v>
      </c>
    </row>
    <row r="686" spans="1:14" x14ac:dyDescent="0.2">
      <c r="A686">
        <v>10932</v>
      </c>
      <c r="B686" t="s">
        <v>239</v>
      </c>
      <c r="C686">
        <v>8</v>
      </c>
      <c r="D686" s="5">
        <v>35860</v>
      </c>
      <c r="E686" s="5">
        <v>35888</v>
      </c>
      <c r="F686" s="5">
        <v>35878</v>
      </c>
      <c r="G686">
        <v>1</v>
      </c>
      <c r="H686" s="6">
        <v>134.63999999999999</v>
      </c>
      <c r="I686" t="s">
        <v>240</v>
      </c>
      <c r="J686" t="s">
        <v>430</v>
      </c>
      <c r="K686" t="s">
        <v>242</v>
      </c>
      <c r="L686" t="s">
        <v>18</v>
      </c>
      <c r="M686" s="7">
        <v>13008</v>
      </c>
      <c r="N686" t="s">
        <v>19</v>
      </c>
    </row>
    <row r="687" spans="1:14" x14ac:dyDescent="0.2">
      <c r="A687">
        <v>10933</v>
      </c>
      <c r="B687" t="s">
        <v>213</v>
      </c>
      <c r="C687">
        <v>6</v>
      </c>
      <c r="D687" s="5">
        <v>35860</v>
      </c>
      <c r="E687" s="5">
        <v>35888</v>
      </c>
      <c r="F687" s="5">
        <v>35870</v>
      </c>
      <c r="G687">
        <v>3</v>
      </c>
      <c r="H687" s="6">
        <v>54.15</v>
      </c>
      <c r="I687" t="s">
        <v>214</v>
      </c>
      <c r="J687" t="s">
        <v>215</v>
      </c>
      <c r="K687" t="s">
        <v>216</v>
      </c>
      <c r="L687" t="s">
        <v>217</v>
      </c>
      <c r="M687" s="7" t="s">
        <v>218</v>
      </c>
      <c r="N687" t="s">
        <v>169</v>
      </c>
    </row>
    <row r="688" spans="1:14" x14ac:dyDescent="0.2">
      <c r="A688">
        <v>10934</v>
      </c>
      <c r="B688" t="s">
        <v>142</v>
      </c>
      <c r="C688">
        <v>3</v>
      </c>
      <c r="D688" s="5">
        <v>35863</v>
      </c>
      <c r="E688" s="5">
        <v>35891</v>
      </c>
      <c r="F688" s="5">
        <v>35866</v>
      </c>
      <c r="G688">
        <v>3</v>
      </c>
      <c r="H688" s="6">
        <v>32.01</v>
      </c>
      <c r="I688" t="s">
        <v>143</v>
      </c>
      <c r="J688" t="s">
        <v>144</v>
      </c>
      <c r="K688" t="s">
        <v>145</v>
      </c>
      <c r="L688" t="s">
        <v>18</v>
      </c>
      <c r="M688" s="7">
        <v>60528</v>
      </c>
      <c r="N688" t="s">
        <v>24</v>
      </c>
    </row>
    <row r="689" spans="1:14" x14ac:dyDescent="0.2">
      <c r="A689">
        <v>10935</v>
      </c>
      <c r="B689" t="s">
        <v>51</v>
      </c>
      <c r="C689">
        <v>4</v>
      </c>
      <c r="D689" s="5">
        <v>35863</v>
      </c>
      <c r="E689" s="5">
        <v>35891</v>
      </c>
      <c r="F689" s="5">
        <v>35872</v>
      </c>
      <c r="G689">
        <v>3</v>
      </c>
      <c r="H689" s="6">
        <v>47.59</v>
      </c>
      <c r="I689" t="s">
        <v>52</v>
      </c>
      <c r="J689" t="s">
        <v>420</v>
      </c>
      <c r="K689" t="s">
        <v>54</v>
      </c>
      <c r="L689" t="s">
        <v>55</v>
      </c>
      <c r="M689" s="7" t="s">
        <v>56</v>
      </c>
      <c r="N689" t="s">
        <v>31</v>
      </c>
    </row>
    <row r="690" spans="1:14" x14ac:dyDescent="0.2">
      <c r="A690">
        <v>10936</v>
      </c>
      <c r="B690" t="s">
        <v>374</v>
      </c>
      <c r="C690">
        <v>3</v>
      </c>
      <c r="D690" s="5">
        <v>35863</v>
      </c>
      <c r="E690" s="5">
        <v>35891</v>
      </c>
      <c r="F690" s="5">
        <v>35872</v>
      </c>
      <c r="G690">
        <v>2</v>
      </c>
      <c r="H690" s="6">
        <v>33.68</v>
      </c>
      <c r="I690" t="s">
        <v>375</v>
      </c>
      <c r="J690" t="s">
        <v>376</v>
      </c>
      <c r="K690" t="s">
        <v>377</v>
      </c>
      <c r="L690" t="s">
        <v>202</v>
      </c>
      <c r="M690" s="7">
        <v>97403</v>
      </c>
      <c r="N690" t="s">
        <v>86</v>
      </c>
    </row>
    <row r="691" spans="1:14" x14ac:dyDescent="0.2">
      <c r="A691">
        <v>10937</v>
      </c>
      <c r="B691" t="s">
        <v>371</v>
      </c>
      <c r="C691">
        <v>7</v>
      </c>
      <c r="D691" s="5">
        <v>35864</v>
      </c>
      <c r="E691" s="5">
        <v>35878</v>
      </c>
      <c r="F691" s="5">
        <v>35867</v>
      </c>
      <c r="G691">
        <v>3</v>
      </c>
      <c r="H691" s="6">
        <v>31.51</v>
      </c>
      <c r="I691" t="s">
        <v>372</v>
      </c>
      <c r="J691" t="s">
        <v>373</v>
      </c>
      <c r="K691" t="s">
        <v>336</v>
      </c>
      <c r="L691" t="s">
        <v>18</v>
      </c>
      <c r="M691" s="7">
        <v>1010</v>
      </c>
      <c r="N691" t="s">
        <v>337</v>
      </c>
    </row>
    <row r="692" spans="1:14" x14ac:dyDescent="0.2">
      <c r="A692">
        <v>10938</v>
      </c>
      <c r="B692" t="s">
        <v>121</v>
      </c>
      <c r="C692">
        <v>3</v>
      </c>
      <c r="D692" s="5">
        <v>35864</v>
      </c>
      <c r="E692" s="5">
        <v>35892</v>
      </c>
      <c r="F692" s="5">
        <v>35870</v>
      </c>
      <c r="G692">
        <v>2</v>
      </c>
      <c r="H692" s="6">
        <v>31.89</v>
      </c>
      <c r="I692" t="s">
        <v>122</v>
      </c>
      <c r="J692" t="s">
        <v>123</v>
      </c>
      <c r="K692" t="s">
        <v>124</v>
      </c>
      <c r="L692" t="s">
        <v>18</v>
      </c>
      <c r="M692" s="7">
        <v>1307</v>
      </c>
      <c r="N692" t="s">
        <v>24</v>
      </c>
    </row>
    <row r="693" spans="1:14" x14ac:dyDescent="0.2">
      <c r="A693">
        <v>10939</v>
      </c>
      <c r="B693" t="s">
        <v>125</v>
      </c>
      <c r="C693">
        <v>2</v>
      </c>
      <c r="D693" s="5">
        <v>35864</v>
      </c>
      <c r="E693" s="5">
        <v>35892</v>
      </c>
      <c r="F693" s="5">
        <v>35867</v>
      </c>
      <c r="G693">
        <v>2</v>
      </c>
      <c r="H693" s="6">
        <v>76.33</v>
      </c>
      <c r="I693" t="s">
        <v>126</v>
      </c>
      <c r="J693" t="s">
        <v>127</v>
      </c>
      <c r="K693" t="s">
        <v>128</v>
      </c>
      <c r="L693" t="s">
        <v>18</v>
      </c>
      <c r="M693" s="7">
        <v>24100</v>
      </c>
      <c r="N693" t="s">
        <v>129</v>
      </c>
    </row>
    <row r="694" spans="1:14" x14ac:dyDescent="0.2">
      <c r="A694">
        <v>10940</v>
      </c>
      <c r="B694" t="s">
        <v>239</v>
      </c>
      <c r="C694">
        <v>8</v>
      </c>
      <c r="D694" s="5">
        <v>35865</v>
      </c>
      <c r="E694" s="5">
        <v>35893</v>
      </c>
      <c r="F694" s="5">
        <v>35877</v>
      </c>
      <c r="G694">
        <v>3</v>
      </c>
      <c r="H694" s="6">
        <v>19.77</v>
      </c>
      <c r="I694" t="s">
        <v>240</v>
      </c>
      <c r="J694" t="s">
        <v>430</v>
      </c>
      <c r="K694" t="s">
        <v>242</v>
      </c>
      <c r="L694" t="s">
        <v>18</v>
      </c>
      <c r="M694" s="7">
        <v>13008</v>
      </c>
      <c r="N694" t="s">
        <v>19</v>
      </c>
    </row>
    <row r="695" spans="1:14" x14ac:dyDescent="0.2">
      <c r="A695">
        <v>10941</v>
      </c>
      <c r="B695" t="s">
        <v>226</v>
      </c>
      <c r="C695">
        <v>7</v>
      </c>
      <c r="D695" s="5">
        <v>35865</v>
      </c>
      <c r="E695" s="5">
        <v>35893</v>
      </c>
      <c r="F695" s="5">
        <v>35874</v>
      </c>
      <c r="G695">
        <v>2</v>
      </c>
      <c r="H695" s="6">
        <v>400.81</v>
      </c>
      <c r="I695" t="s">
        <v>227</v>
      </c>
      <c r="J695" t="s">
        <v>228</v>
      </c>
      <c r="K695" t="s">
        <v>229</v>
      </c>
      <c r="L695" t="s">
        <v>230</v>
      </c>
      <c r="M695" s="7">
        <v>83720</v>
      </c>
      <c r="N695" t="s">
        <v>86</v>
      </c>
    </row>
    <row r="696" spans="1:14" x14ac:dyDescent="0.2">
      <c r="A696">
        <v>10942</v>
      </c>
      <c r="B696" t="s">
        <v>160</v>
      </c>
      <c r="C696">
        <v>9</v>
      </c>
      <c r="D696" s="5">
        <v>35865</v>
      </c>
      <c r="E696" s="5">
        <v>35893</v>
      </c>
      <c r="F696" s="5">
        <v>35872</v>
      </c>
      <c r="G696">
        <v>3</v>
      </c>
      <c r="H696" s="6">
        <v>17.95</v>
      </c>
      <c r="I696" t="s">
        <v>161</v>
      </c>
      <c r="J696" t="s">
        <v>162</v>
      </c>
      <c r="K696" t="s">
        <v>163</v>
      </c>
      <c r="L696" t="s">
        <v>18</v>
      </c>
      <c r="M696" s="7">
        <v>42100</v>
      </c>
      <c r="N696" t="s">
        <v>129</v>
      </c>
    </row>
    <row r="697" spans="1:14" x14ac:dyDescent="0.2">
      <c r="A697">
        <v>10943</v>
      </c>
      <c r="B697" t="s">
        <v>164</v>
      </c>
      <c r="C697">
        <v>4</v>
      </c>
      <c r="D697" s="5">
        <v>35865</v>
      </c>
      <c r="E697" s="5">
        <v>35893</v>
      </c>
      <c r="F697" s="5">
        <v>35873</v>
      </c>
      <c r="G697">
        <v>2</v>
      </c>
      <c r="H697" s="6">
        <v>2.17</v>
      </c>
      <c r="I697" t="s">
        <v>165</v>
      </c>
      <c r="J697" t="s">
        <v>166</v>
      </c>
      <c r="K697" t="s">
        <v>167</v>
      </c>
      <c r="L697" t="s">
        <v>18</v>
      </c>
      <c r="M697" s="7" t="s">
        <v>168</v>
      </c>
      <c r="N697" t="s">
        <v>169</v>
      </c>
    </row>
    <row r="698" spans="1:14" x14ac:dyDescent="0.2">
      <c r="A698">
        <v>10944</v>
      </c>
      <c r="B698" t="s">
        <v>318</v>
      </c>
      <c r="C698">
        <v>6</v>
      </c>
      <c r="D698" s="5">
        <v>35866</v>
      </c>
      <c r="E698" s="5">
        <v>35880</v>
      </c>
      <c r="F698" s="5">
        <v>35867</v>
      </c>
      <c r="G698">
        <v>3</v>
      </c>
      <c r="H698" s="6">
        <v>52.92</v>
      </c>
      <c r="I698" t="s">
        <v>319</v>
      </c>
      <c r="J698" t="s">
        <v>320</v>
      </c>
      <c r="K698" t="s">
        <v>321</v>
      </c>
      <c r="L698" t="s">
        <v>322</v>
      </c>
      <c r="M698" s="7" t="s">
        <v>323</v>
      </c>
      <c r="N698" t="s">
        <v>249</v>
      </c>
    </row>
    <row r="699" spans="1:14" x14ac:dyDescent="0.2">
      <c r="A699">
        <v>10945</v>
      </c>
      <c r="B699" t="s">
        <v>133</v>
      </c>
      <c r="C699">
        <v>4</v>
      </c>
      <c r="D699" s="5">
        <v>35866</v>
      </c>
      <c r="E699" s="5">
        <v>35894</v>
      </c>
      <c r="F699" s="5">
        <v>35872</v>
      </c>
      <c r="G699">
        <v>1</v>
      </c>
      <c r="H699" s="6">
        <v>10.220000000000001</v>
      </c>
      <c r="I699" t="s">
        <v>134</v>
      </c>
      <c r="J699" t="s">
        <v>135</v>
      </c>
      <c r="K699" t="s">
        <v>136</v>
      </c>
      <c r="L699" t="s">
        <v>18</v>
      </c>
      <c r="M699" s="7">
        <v>4179</v>
      </c>
      <c r="N699" t="s">
        <v>24</v>
      </c>
    </row>
    <row r="700" spans="1:14" x14ac:dyDescent="0.2">
      <c r="A700">
        <v>10946</v>
      </c>
      <c r="B700" t="s">
        <v>295</v>
      </c>
      <c r="C700">
        <v>1</v>
      </c>
      <c r="D700" s="5">
        <v>35866</v>
      </c>
      <c r="E700" s="5">
        <v>35894</v>
      </c>
      <c r="F700" s="5">
        <v>35873</v>
      </c>
      <c r="G700">
        <v>2</v>
      </c>
      <c r="H700" s="6">
        <v>27.2</v>
      </c>
      <c r="I700" t="s">
        <v>296</v>
      </c>
      <c r="J700" t="s">
        <v>297</v>
      </c>
      <c r="K700" t="s">
        <v>298</v>
      </c>
      <c r="L700" t="s">
        <v>18</v>
      </c>
      <c r="M700" s="7">
        <v>8200</v>
      </c>
      <c r="N700" t="s">
        <v>257</v>
      </c>
    </row>
    <row r="701" spans="1:14" x14ac:dyDescent="0.2">
      <c r="A701">
        <v>10947</v>
      </c>
      <c r="B701" t="s">
        <v>164</v>
      </c>
      <c r="C701">
        <v>3</v>
      </c>
      <c r="D701" s="5">
        <v>35867</v>
      </c>
      <c r="E701" s="5">
        <v>35895</v>
      </c>
      <c r="F701" s="5">
        <v>35870</v>
      </c>
      <c r="G701">
        <v>2</v>
      </c>
      <c r="H701" s="6">
        <v>3.26</v>
      </c>
      <c r="I701" t="s">
        <v>165</v>
      </c>
      <c r="J701" t="s">
        <v>166</v>
      </c>
      <c r="K701" t="s">
        <v>167</v>
      </c>
      <c r="L701" t="s">
        <v>18</v>
      </c>
      <c r="M701" s="7" t="s">
        <v>168</v>
      </c>
      <c r="N701" t="s">
        <v>169</v>
      </c>
    </row>
    <row r="702" spans="1:14" x14ac:dyDescent="0.2">
      <c r="A702">
        <v>10948</v>
      </c>
      <c r="B702" t="s">
        <v>189</v>
      </c>
      <c r="C702">
        <v>3</v>
      </c>
      <c r="D702" s="5">
        <v>35867</v>
      </c>
      <c r="E702" s="5">
        <v>35895</v>
      </c>
      <c r="F702" s="5">
        <v>35873</v>
      </c>
      <c r="G702">
        <v>3</v>
      </c>
      <c r="H702" s="6">
        <v>23.39</v>
      </c>
      <c r="I702" t="s">
        <v>190</v>
      </c>
      <c r="J702" t="s">
        <v>427</v>
      </c>
      <c r="K702" t="s">
        <v>192</v>
      </c>
      <c r="L702" t="s">
        <v>18</v>
      </c>
      <c r="M702" s="7">
        <v>41101</v>
      </c>
      <c r="N702" t="s">
        <v>150</v>
      </c>
    </row>
    <row r="703" spans="1:14" x14ac:dyDescent="0.2">
      <c r="A703">
        <v>10949</v>
      </c>
      <c r="B703" t="s">
        <v>318</v>
      </c>
      <c r="C703">
        <v>2</v>
      </c>
      <c r="D703" s="5">
        <v>35867</v>
      </c>
      <c r="E703" s="5">
        <v>35895</v>
      </c>
      <c r="F703" s="5">
        <v>35871</v>
      </c>
      <c r="G703">
        <v>3</v>
      </c>
      <c r="H703" s="6">
        <v>74.44</v>
      </c>
      <c r="I703" t="s">
        <v>319</v>
      </c>
      <c r="J703" t="s">
        <v>320</v>
      </c>
      <c r="K703" t="s">
        <v>321</v>
      </c>
      <c r="L703" t="s">
        <v>322</v>
      </c>
      <c r="M703" s="7" t="s">
        <v>323</v>
      </c>
      <c r="N703" t="s">
        <v>249</v>
      </c>
    </row>
    <row r="704" spans="1:14" x14ac:dyDescent="0.2">
      <c r="A704">
        <v>10950</v>
      </c>
      <c r="B704" t="s">
        <v>125</v>
      </c>
      <c r="C704">
        <v>1</v>
      </c>
      <c r="D704" s="5">
        <v>35870</v>
      </c>
      <c r="E704" s="5">
        <v>35898</v>
      </c>
      <c r="F704" s="5">
        <v>35877</v>
      </c>
      <c r="G704">
        <v>2</v>
      </c>
      <c r="H704" s="6">
        <v>2.5</v>
      </c>
      <c r="I704" t="s">
        <v>126</v>
      </c>
      <c r="J704" t="s">
        <v>127</v>
      </c>
      <c r="K704" t="s">
        <v>128</v>
      </c>
      <c r="L704" t="s">
        <v>18</v>
      </c>
      <c r="M704" s="7">
        <v>24100</v>
      </c>
      <c r="N704" t="s">
        <v>129</v>
      </c>
    </row>
    <row r="705" spans="1:14" x14ac:dyDescent="0.2">
      <c r="A705">
        <v>10951</v>
      </c>
      <c r="B705" t="s">
        <v>47</v>
      </c>
      <c r="C705">
        <v>9</v>
      </c>
      <c r="D705" s="5">
        <v>35870</v>
      </c>
      <c r="E705" s="5">
        <v>35912</v>
      </c>
      <c r="F705" s="5">
        <v>35892</v>
      </c>
      <c r="G705">
        <v>2</v>
      </c>
      <c r="H705" s="6">
        <v>30.85</v>
      </c>
      <c r="I705" t="s">
        <v>48</v>
      </c>
      <c r="J705" t="s">
        <v>49</v>
      </c>
      <c r="K705" t="s">
        <v>50</v>
      </c>
      <c r="L705" t="s">
        <v>18</v>
      </c>
      <c r="M705" s="7">
        <v>1204</v>
      </c>
      <c r="N705" t="s">
        <v>46</v>
      </c>
    </row>
    <row r="706" spans="1:14" x14ac:dyDescent="0.2">
      <c r="A706">
        <v>10952</v>
      </c>
      <c r="B706" t="s">
        <v>401</v>
      </c>
      <c r="C706">
        <v>1</v>
      </c>
      <c r="D706" s="5">
        <v>35870</v>
      </c>
      <c r="E706" s="5">
        <v>35912</v>
      </c>
      <c r="F706" s="5">
        <v>35878</v>
      </c>
      <c r="G706">
        <v>1</v>
      </c>
      <c r="H706" s="6">
        <v>40.42</v>
      </c>
      <c r="I706" t="s">
        <v>408</v>
      </c>
      <c r="J706" t="s">
        <v>403</v>
      </c>
      <c r="K706" t="s">
        <v>404</v>
      </c>
      <c r="L706" t="s">
        <v>18</v>
      </c>
      <c r="M706" s="7">
        <v>12209</v>
      </c>
      <c r="N706" t="s">
        <v>24</v>
      </c>
    </row>
    <row r="707" spans="1:14" x14ac:dyDescent="0.2">
      <c r="A707">
        <v>10953</v>
      </c>
      <c r="B707" t="s">
        <v>270</v>
      </c>
      <c r="C707">
        <v>9</v>
      </c>
      <c r="D707" s="5">
        <v>35870</v>
      </c>
      <c r="E707" s="5">
        <v>35884</v>
      </c>
      <c r="F707" s="5">
        <v>35879</v>
      </c>
      <c r="G707">
        <v>2</v>
      </c>
      <c r="H707" s="6">
        <v>23.72</v>
      </c>
      <c r="I707" t="s">
        <v>271</v>
      </c>
      <c r="J707" t="s">
        <v>272</v>
      </c>
      <c r="K707" t="s">
        <v>273</v>
      </c>
      <c r="L707" t="s">
        <v>274</v>
      </c>
      <c r="M707" s="7" t="s">
        <v>275</v>
      </c>
      <c r="N707" t="s">
        <v>169</v>
      </c>
    </row>
    <row r="708" spans="1:14" x14ac:dyDescent="0.2">
      <c r="A708">
        <v>10954</v>
      </c>
      <c r="B708" t="s">
        <v>324</v>
      </c>
      <c r="C708">
        <v>5</v>
      </c>
      <c r="D708" s="5">
        <v>35871</v>
      </c>
      <c r="E708" s="5">
        <v>35913</v>
      </c>
      <c r="F708" s="5">
        <v>35874</v>
      </c>
      <c r="G708">
        <v>1</v>
      </c>
      <c r="H708" s="6">
        <v>27.91</v>
      </c>
      <c r="I708" t="s">
        <v>325</v>
      </c>
      <c r="J708" t="s">
        <v>326</v>
      </c>
      <c r="K708" t="s">
        <v>327</v>
      </c>
      <c r="L708" t="s">
        <v>328</v>
      </c>
      <c r="M708" s="7">
        <v>4980</v>
      </c>
      <c r="N708" t="s">
        <v>62</v>
      </c>
    </row>
    <row r="709" spans="1:14" x14ac:dyDescent="0.2">
      <c r="A709">
        <v>10955</v>
      </c>
      <c r="B709" t="s">
        <v>87</v>
      </c>
      <c r="C709">
        <v>8</v>
      </c>
      <c r="D709" s="5">
        <v>35871</v>
      </c>
      <c r="E709" s="5">
        <v>35899</v>
      </c>
      <c r="F709" s="5">
        <v>35874</v>
      </c>
      <c r="G709">
        <v>2</v>
      </c>
      <c r="H709" s="6">
        <v>3.26</v>
      </c>
      <c r="I709" t="s">
        <v>88</v>
      </c>
      <c r="J709" t="s">
        <v>89</v>
      </c>
      <c r="K709" t="s">
        <v>90</v>
      </c>
      <c r="L709" t="s">
        <v>18</v>
      </c>
      <c r="M709" s="7" t="s">
        <v>91</v>
      </c>
      <c r="N709" t="s">
        <v>92</v>
      </c>
    </row>
    <row r="710" spans="1:14" x14ac:dyDescent="0.2">
      <c r="A710">
        <v>10956</v>
      </c>
      <c r="B710" t="s">
        <v>363</v>
      </c>
      <c r="C710">
        <v>6</v>
      </c>
      <c r="D710" s="5">
        <v>35871</v>
      </c>
      <c r="E710" s="5">
        <v>35913</v>
      </c>
      <c r="F710" s="5">
        <v>35874</v>
      </c>
      <c r="G710">
        <v>2</v>
      </c>
      <c r="H710" s="6">
        <v>44.65</v>
      </c>
      <c r="I710" t="s">
        <v>364</v>
      </c>
      <c r="J710" t="s">
        <v>365</v>
      </c>
      <c r="K710" t="s">
        <v>366</v>
      </c>
      <c r="L710" t="s">
        <v>18</v>
      </c>
      <c r="M710" s="7">
        <v>68306</v>
      </c>
      <c r="N710" t="s">
        <v>24</v>
      </c>
    </row>
    <row r="711" spans="1:14" x14ac:dyDescent="0.2">
      <c r="A711">
        <v>10957</v>
      </c>
      <c r="B711" t="s">
        <v>57</v>
      </c>
      <c r="C711">
        <v>8</v>
      </c>
      <c r="D711" s="5">
        <v>35872</v>
      </c>
      <c r="E711" s="5">
        <v>35900</v>
      </c>
      <c r="F711" s="5">
        <v>35881</v>
      </c>
      <c r="G711">
        <v>3</v>
      </c>
      <c r="H711" s="6">
        <v>105.36</v>
      </c>
      <c r="I711" t="s">
        <v>58</v>
      </c>
      <c r="J711" t="s">
        <v>59</v>
      </c>
      <c r="K711" t="s">
        <v>60</v>
      </c>
      <c r="L711" t="s">
        <v>61</v>
      </c>
      <c r="M711" s="7">
        <v>5022</v>
      </c>
      <c r="N711" t="s">
        <v>62</v>
      </c>
    </row>
    <row r="712" spans="1:14" x14ac:dyDescent="0.2">
      <c r="A712">
        <v>10958</v>
      </c>
      <c r="B712" t="s">
        <v>333</v>
      </c>
      <c r="C712">
        <v>7</v>
      </c>
      <c r="D712" s="5">
        <v>35872</v>
      </c>
      <c r="E712" s="5">
        <v>35900</v>
      </c>
      <c r="F712" s="5">
        <v>35881</v>
      </c>
      <c r="G712">
        <v>2</v>
      </c>
      <c r="H712" s="6">
        <v>49.56</v>
      </c>
      <c r="I712" t="s">
        <v>334</v>
      </c>
      <c r="J712" t="s">
        <v>335</v>
      </c>
      <c r="K712" t="s">
        <v>336</v>
      </c>
      <c r="L712" t="s">
        <v>18</v>
      </c>
      <c r="M712" s="7">
        <v>1010</v>
      </c>
      <c r="N712" t="s">
        <v>337</v>
      </c>
    </row>
    <row r="713" spans="1:14" x14ac:dyDescent="0.2">
      <c r="A713">
        <v>10959</v>
      </c>
      <c r="B713" t="s">
        <v>342</v>
      </c>
      <c r="C713">
        <v>6</v>
      </c>
      <c r="D713" s="5">
        <v>35872</v>
      </c>
      <c r="E713" s="5">
        <v>35914</v>
      </c>
      <c r="F713" s="5">
        <v>35877</v>
      </c>
      <c r="G713">
        <v>2</v>
      </c>
      <c r="H713" s="6">
        <v>4.9800000000000004</v>
      </c>
      <c r="I713" t="s">
        <v>343</v>
      </c>
      <c r="J713" t="s">
        <v>435</v>
      </c>
      <c r="K713" t="s">
        <v>345</v>
      </c>
      <c r="L713" t="s">
        <v>55</v>
      </c>
      <c r="M713" s="7" t="s">
        <v>346</v>
      </c>
      <c r="N713" t="s">
        <v>31</v>
      </c>
    </row>
    <row r="714" spans="1:14" x14ac:dyDescent="0.2">
      <c r="A714">
        <v>10960</v>
      </c>
      <c r="B714" t="s">
        <v>57</v>
      </c>
      <c r="C714">
        <v>3</v>
      </c>
      <c r="D714" s="5">
        <v>35873</v>
      </c>
      <c r="E714" s="5">
        <v>35887</v>
      </c>
      <c r="F714" s="5">
        <v>35893</v>
      </c>
      <c r="G714">
        <v>1</v>
      </c>
      <c r="H714" s="6">
        <v>2.08</v>
      </c>
      <c r="I714" t="s">
        <v>58</v>
      </c>
      <c r="J714" t="s">
        <v>59</v>
      </c>
      <c r="K714" t="s">
        <v>60</v>
      </c>
      <c r="L714" t="s">
        <v>61</v>
      </c>
      <c r="M714" s="7">
        <v>5022</v>
      </c>
      <c r="N714" t="s">
        <v>62</v>
      </c>
    </row>
    <row r="715" spans="1:14" x14ac:dyDescent="0.2">
      <c r="A715">
        <v>10961</v>
      </c>
      <c r="B715" t="s">
        <v>299</v>
      </c>
      <c r="C715">
        <v>8</v>
      </c>
      <c r="D715" s="5">
        <v>35873</v>
      </c>
      <c r="E715" s="5">
        <v>35901</v>
      </c>
      <c r="F715" s="5">
        <v>35884</v>
      </c>
      <c r="G715">
        <v>1</v>
      </c>
      <c r="H715" s="6">
        <v>104.47</v>
      </c>
      <c r="I715" t="s">
        <v>300</v>
      </c>
      <c r="J715" t="s">
        <v>433</v>
      </c>
      <c r="K715" t="s">
        <v>173</v>
      </c>
      <c r="L715" t="s">
        <v>55</v>
      </c>
      <c r="M715" s="7" t="s">
        <v>302</v>
      </c>
      <c r="N715" t="s">
        <v>31</v>
      </c>
    </row>
    <row r="716" spans="1:14" x14ac:dyDescent="0.2">
      <c r="A716">
        <v>10962</v>
      </c>
      <c r="B716" t="s">
        <v>121</v>
      </c>
      <c r="C716">
        <v>8</v>
      </c>
      <c r="D716" s="5">
        <v>35873</v>
      </c>
      <c r="E716" s="5">
        <v>35901</v>
      </c>
      <c r="F716" s="5">
        <v>35877</v>
      </c>
      <c r="G716">
        <v>2</v>
      </c>
      <c r="H716" s="6">
        <v>275.79000000000002</v>
      </c>
      <c r="I716" t="s">
        <v>122</v>
      </c>
      <c r="J716" t="s">
        <v>123</v>
      </c>
      <c r="K716" t="s">
        <v>124</v>
      </c>
      <c r="L716" t="s">
        <v>18</v>
      </c>
      <c r="M716" s="7">
        <v>1307</v>
      </c>
      <c r="N716" t="s">
        <v>24</v>
      </c>
    </row>
    <row r="717" spans="1:14" x14ac:dyDescent="0.2">
      <c r="A717">
        <v>10963</v>
      </c>
      <c r="B717" t="s">
        <v>234</v>
      </c>
      <c r="C717">
        <v>9</v>
      </c>
      <c r="D717" s="5">
        <v>35873</v>
      </c>
      <c r="E717" s="5">
        <v>35901</v>
      </c>
      <c r="F717" s="5">
        <v>35880</v>
      </c>
      <c r="G717">
        <v>3</v>
      </c>
      <c r="H717" s="6">
        <v>2.7</v>
      </c>
      <c r="I717" t="s">
        <v>235</v>
      </c>
      <c r="J717" t="s">
        <v>236</v>
      </c>
      <c r="K717" t="s">
        <v>237</v>
      </c>
      <c r="L717" t="s">
        <v>18</v>
      </c>
      <c r="M717" s="7">
        <v>1675</v>
      </c>
      <c r="N717" t="s">
        <v>238</v>
      </c>
    </row>
    <row r="718" spans="1:14" x14ac:dyDescent="0.2">
      <c r="A718">
        <v>10964</v>
      </c>
      <c r="B718" t="s">
        <v>409</v>
      </c>
      <c r="C718">
        <v>3</v>
      </c>
      <c r="D718" s="5">
        <v>35874</v>
      </c>
      <c r="E718" s="5">
        <v>35902</v>
      </c>
      <c r="F718" s="5">
        <v>35878</v>
      </c>
      <c r="G718">
        <v>2</v>
      </c>
      <c r="H718" s="6">
        <v>87.38</v>
      </c>
      <c r="I718" t="s">
        <v>410</v>
      </c>
      <c r="J718" t="s">
        <v>437</v>
      </c>
      <c r="K718" t="s">
        <v>412</v>
      </c>
      <c r="L718" t="s">
        <v>18</v>
      </c>
      <c r="M718" s="7">
        <v>75016</v>
      </c>
      <c r="N718" t="s">
        <v>19</v>
      </c>
    </row>
    <row r="719" spans="1:14" x14ac:dyDescent="0.2">
      <c r="A719">
        <v>10965</v>
      </c>
      <c r="B719" t="s">
        <v>193</v>
      </c>
      <c r="C719">
        <v>6</v>
      </c>
      <c r="D719" s="5">
        <v>35874</v>
      </c>
      <c r="E719" s="5">
        <v>35902</v>
      </c>
      <c r="F719" s="5">
        <v>35884</v>
      </c>
      <c r="G719">
        <v>3</v>
      </c>
      <c r="H719" s="6">
        <v>144.38</v>
      </c>
      <c r="I719" t="s">
        <v>194</v>
      </c>
      <c r="J719" t="s">
        <v>195</v>
      </c>
      <c r="K719" t="s">
        <v>196</v>
      </c>
      <c r="L719" t="s">
        <v>197</v>
      </c>
      <c r="M719" s="7">
        <v>99508</v>
      </c>
      <c r="N719" t="s">
        <v>86</v>
      </c>
    </row>
    <row r="720" spans="1:14" x14ac:dyDescent="0.2">
      <c r="A720">
        <v>10966</v>
      </c>
      <c r="B720" t="s">
        <v>42</v>
      </c>
      <c r="C720">
        <v>4</v>
      </c>
      <c r="D720" s="5">
        <v>35874</v>
      </c>
      <c r="E720" s="5">
        <v>35902</v>
      </c>
      <c r="F720" s="5">
        <v>35893</v>
      </c>
      <c r="G720">
        <v>1</v>
      </c>
      <c r="H720" s="6">
        <v>27.19</v>
      </c>
      <c r="I720" t="s">
        <v>43</v>
      </c>
      <c r="J720" t="s">
        <v>44</v>
      </c>
      <c r="K720" t="s">
        <v>45</v>
      </c>
      <c r="L720" t="s">
        <v>18</v>
      </c>
      <c r="M720" s="7">
        <v>3012</v>
      </c>
      <c r="N720" t="s">
        <v>46</v>
      </c>
    </row>
    <row r="721" spans="1:14" x14ac:dyDescent="0.2">
      <c r="A721">
        <v>10967</v>
      </c>
      <c r="B721" t="s">
        <v>20</v>
      </c>
      <c r="C721">
        <v>2</v>
      </c>
      <c r="D721" s="5">
        <v>35877</v>
      </c>
      <c r="E721" s="5">
        <v>35905</v>
      </c>
      <c r="F721" s="5">
        <v>35887</v>
      </c>
      <c r="G721">
        <v>2</v>
      </c>
      <c r="H721" s="6">
        <v>62.22</v>
      </c>
      <c r="I721" t="s">
        <v>21</v>
      </c>
      <c r="J721" t="s">
        <v>22</v>
      </c>
      <c r="K721" t="s">
        <v>23</v>
      </c>
      <c r="L721" t="s">
        <v>18</v>
      </c>
      <c r="M721" s="7">
        <v>44087</v>
      </c>
      <c r="N721" t="s">
        <v>24</v>
      </c>
    </row>
    <row r="722" spans="1:14" x14ac:dyDescent="0.2">
      <c r="A722">
        <v>10968</v>
      </c>
      <c r="B722" t="s">
        <v>63</v>
      </c>
      <c r="C722">
        <v>1</v>
      </c>
      <c r="D722" s="5">
        <v>35877</v>
      </c>
      <c r="E722" s="5">
        <v>35905</v>
      </c>
      <c r="F722" s="5">
        <v>35886</v>
      </c>
      <c r="G722">
        <v>3</v>
      </c>
      <c r="H722" s="6">
        <v>74.599999999999994</v>
      </c>
      <c r="I722" t="s">
        <v>64</v>
      </c>
      <c r="J722" t="s">
        <v>65</v>
      </c>
      <c r="K722" t="s">
        <v>66</v>
      </c>
      <c r="L722" t="s">
        <v>18</v>
      </c>
      <c r="M722" s="7">
        <v>8010</v>
      </c>
      <c r="N722" t="s">
        <v>67</v>
      </c>
    </row>
    <row r="723" spans="1:14" x14ac:dyDescent="0.2">
      <c r="A723">
        <v>10969</v>
      </c>
      <c r="B723" t="s">
        <v>170</v>
      </c>
      <c r="C723">
        <v>1</v>
      </c>
      <c r="D723" s="5">
        <v>35877</v>
      </c>
      <c r="E723" s="5">
        <v>35905</v>
      </c>
      <c r="F723" s="5">
        <v>35884</v>
      </c>
      <c r="G723">
        <v>2</v>
      </c>
      <c r="H723" s="6">
        <v>0.21</v>
      </c>
      <c r="I723" t="s">
        <v>171</v>
      </c>
      <c r="J723" t="s">
        <v>425</v>
      </c>
      <c r="K723" t="s">
        <v>173</v>
      </c>
      <c r="L723" t="s">
        <v>55</v>
      </c>
      <c r="M723" s="7" t="s">
        <v>174</v>
      </c>
      <c r="N723" t="s">
        <v>31</v>
      </c>
    </row>
    <row r="724" spans="1:14" x14ac:dyDescent="0.2">
      <c r="A724">
        <v>10970</v>
      </c>
      <c r="B724" t="s">
        <v>231</v>
      </c>
      <c r="C724">
        <v>9</v>
      </c>
      <c r="D724" s="5">
        <v>35878</v>
      </c>
      <c r="E724" s="5">
        <v>35892</v>
      </c>
      <c r="F724" s="5">
        <v>35909</v>
      </c>
      <c r="G724">
        <v>1</v>
      </c>
      <c r="H724" s="6">
        <v>16.16</v>
      </c>
      <c r="I724" t="s">
        <v>232</v>
      </c>
      <c r="J724" t="s">
        <v>429</v>
      </c>
      <c r="K724" t="s">
        <v>149</v>
      </c>
      <c r="L724" t="s">
        <v>18</v>
      </c>
      <c r="M724" s="7">
        <v>28023</v>
      </c>
      <c r="N724" t="s">
        <v>150</v>
      </c>
    </row>
    <row r="725" spans="1:14" x14ac:dyDescent="0.2">
      <c r="A725">
        <v>10971</v>
      </c>
      <c r="B725" t="s">
        <v>405</v>
      </c>
      <c r="C725">
        <v>2</v>
      </c>
      <c r="D725" s="5">
        <v>35878</v>
      </c>
      <c r="E725" s="5">
        <v>35906</v>
      </c>
      <c r="F725" s="5">
        <v>35887</v>
      </c>
      <c r="G725">
        <v>2</v>
      </c>
      <c r="H725" s="6">
        <v>121.82</v>
      </c>
      <c r="I725" t="s">
        <v>406</v>
      </c>
      <c r="J725" t="s">
        <v>436</v>
      </c>
      <c r="K725" t="s">
        <v>212</v>
      </c>
      <c r="L725" t="s">
        <v>18</v>
      </c>
      <c r="M725" s="7">
        <v>44000</v>
      </c>
      <c r="N725" t="s">
        <v>19</v>
      </c>
    </row>
    <row r="726" spans="1:14" x14ac:dyDescent="0.2">
      <c r="A726">
        <v>10972</v>
      </c>
      <c r="B726" t="s">
        <v>413</v>
      </c>
      <c r="C726">
        <v>4</v>
      </c>
      <c r="D726" s="5">
        <v>35878</v>
      </c>
      <c r="E726" s="5">
        <v>35906</v>
      </c>
      <c r="F726" s="5">
        <v>35880</v>
      </c>
      <c r="G726">
        <v>2</v>
      </c>
      <c r="H726" s="6">
        <v>0.02</v>
      </c>
      <c r="I726" t="s">
        <v>414</v>
      </c>
      <c r="J726" t="s">
        <v>438</v>
      </c>
      <c r="K726" t="s">
        <v>416</v>
      </c>
      <c r="L726" t="s">
        <v>18</v>
      </c>
      <c r="M726" s="7">
        <v>78000</v>
      </c>
      <c r="N726" t="s">
        <v>19</v>
      </c>
    </row>
    <row r="727" spans="1:14" x14ac:dyDescent="0.2">
      <c r="A727">
        <v>10973</v>
      </c>
      <c r="B727" t="s">
        <v>413</v>
      </c>
      <c r="C727">
        <v>6</v>
      </c>
      <c r="D727" s="5">
        <v>35878</v>
      </c>
      <c r="E727" s="5">
        <v>35906</v>
      </c>
      <c r="F727" s="5">
        <v>35881</v>
      </c>
      <c r="G727">
        <v>2</v>
      </c>
      <c r="H727" s="6">
        <v>15.17</v>
      </c>
      <c r="I727" t="s">
        <v>414</v>
      </c>
      <c r="J727" t="s">
        <v>438</v>
      </c>
      <c r="K727" t="s">
        <v>416</v>
      </c>
      <c r="L727" t="s">
        <v>18</v>
      </c>
      <c r="M727" s="7">
        <v>78000</v>
      </c>
      <c r="N727" t="s">
        <v>19</v>
      </c>
    </row>
    <row r="728" spans="1:14" x14ac:dyDescent="0.2">
      <c r="A728">
        <v>10974</v>
      </c>
      <c r="B728" t="s">
        <v>116</v>
      </c>
      <c r="C728">
        <v>3</v>
      </c>
      <c r="D728" s="5">
        <v>35879</v>
      </c>
      <c r="E728" s="5">
        <v>35893</v>
      </c>
      <c r="F728" s="5">
        <v>35888</v>
      </c>
      <c r="G728">
        <v>3</v>
      </c>
      <c r="H728" s="6">
        <v>12.96</v>
      </c>
      <c r="I728" t="s">
        <v>117</v>
      </c>
      <c r="J728" t="s">
        <v>118</v>
      </c>
      <c r="K728" t="s">
        <v>119</v>
      </c>
      <c r="L728" t="s">
        <v>120</v>
      </c>
      <c r="M728" s="7">
        <v>82520</v>
      </c>
      <c r="N728" t="s">
        <v>86</v>
      </c>
    </row>
    <row r="729" spans="1:14" x14ac:dyDescent="0.2">
      <c r="A729">
        <v>10975</v>
      </c>
      <c r="B729" t="s">
        <v>318</v>
      </c>
      <c r="C729">
        <v>1</v>
      </c>
      <c r="D729" s="5">
        <v>35879</v>
      </c>
      <c r="E729" s="5">
        <v>35907</v>
      </c>
      <c r="F729" s="5">
        <v>35881</v>
      </c>
      <c r="G729">
        <v>3</v>
      </c>
      <c r="H729" s="6">
        <v>32.270000000000003</v>
      </c>
      <c r="I729" t="s">
        <v>319</v>
      </c>
      <c r="J729" t="s">
        <v>320</v>
      </c>
      <c r="K729" t="s">
        <v>321</v>
      </c>
      <c r="L729" t="s">
        <v>322</v>
      </c>
      <c r="M729" s="7" t="s">
        <v>323</v>
      </c>
      <c r="N729" t="s">
        <v>249</v>
      </c>
    </row>
    <row r="730" spans="1:14" x14ac:dyDescent="0.2">
      <c r="A730">
        <v>10976</v>
      </c>
      <c r="B730" t="s">
        <v>57</v>
      </c>
      <c r="C730">
        <v>1</v>
      </c>
      <c r="D730" s="5">
        <v>35879</v>
      </c>
      <c r="E730" s="5">
        <v>35921</v>
      </c>
      <c r="F730" s="5">
        <v>35888</v>
      </c>
      <c r="G730">
        <v>1</v>
      </c>
      <c r="H730" s="6">
        <v>37.97</v>
      </c>
      <c r="I730" t="s">
        <v>58</v>
      </c>
      <c r="J730" t="s">
        <v>59</v>
      </c>
      <c r="K730" t="s">
        <v>60</v>
      </c>
      <c r="L730" t="s">
        <v>61</v>
      </c>
      <c r="M730" s="7">
        <v>5022</v>
      </c>
      <c r="N730" t="s">
        <v>62</v>
      </c>
    </row>
    <row r="731" spans="1:14" x14ac:dyDescent="0.2">
      <c r="A731">
        <v>10977</v>
      </c>
      <c r="B731" t="s">
        <v>87</v>
      </c>
      <c r="C731">
        <v>8</v>
      </c>
      <c r="D731" s="5">
        <v>35880</v>
      </c>
      <c r="E731" s="5">
        <v>35908</v>
      </c>
      <c r="F731" s="5">
        <v>35895</v>
      </c>
      <c r="G731">
        <v>3</v>
      </c>
      <c r="H731" s="6">
        <v>208.5</v>
      </c>
      <c r="I731" t="s">
        <v>88</v>
      </c>
      <c r="J731" t="s">
        <v>89</v>
      </c>
      <c r="K731" t="s">
        <v>90</v>
      </c>
      <c r="L731" t="s">
        <v>18</v>
      </c>
      <c r="M731" s="7" t="s">
        <v>91</v>
      </c>
      <c r="N731" t="s">
        <v>92</v>
      </c>
    </row>
    <row r="732" spans="1:14" x14ac:dyDescent="0.2">
      <c r="A732">
        <v>10978</v>
      </c>
      <c r="B732" t="s">
        <v>378</v>
      </c>
      <c r="C732">
        <v>9</v>
      </c>
      <c r="D732" s="5">
        <v>35880</v>
      </c>
      <c r="E732" s="5">
        <v>35908</v>
      </c>
      <c r="F732" s="5">
        <v>35908</v>
      </c>
      <c r="G732">
        <v>2</v>
      </c>
      <c r="H732" s="6">
        <v>32.82</v>
      </c>
      <c r="I732" t="s">
        <v>379</v>
      </c>
      <c r="J732" t="s">
        <v>380</v>
      </c>
      <c r="K732" t="s">
        <v>381</v>
      </c>
      <c r="L732" t="s">
        <v>18</v>
      </c>
      <c r="M732" s="7" t="s">
        <v>382</v>
      </c>
      <c r="N732" t="s">
        <v>41</v>
      </c>
    </row>
    <row r="733" spans="1:14" x14ac:dyDescent="0.2">
      <c r="A733">
        <v>10979</v>
      </c>
      <c r="B733" t="s">
        <v>63</v>
      </c>
      <c r="C733">
        <v>8</v>
      </c>
      <c r="D733" s="5">
        <v>35880</v>
      </c>
      <c r="E733" s="5">
        <v>35908</v>
      </c>
      <c r="F733" s="5">
        <v>35885</v>
      </c>
      <c r="G733">
        <v>2</v>
      </c>
      <c r="H733" s="6">
        <v>353.07</v>
      </c>
      <c r="I733" t="s">
        <v>64</v>
      </c>
      <c r="J733" t="s">
        <v>65</v>
      </c>
      <c r="K733" t="s">
        <v>66</v>
      </c>
      <c r="L733" t="s">
        <v>18</v>
      </c>
      <c r="M733" s="7">
        <v>8010</v>
      </c>
      <c r="N733" t="s">
        <v>67</v>
      </c>
    </row>
    <row r="734" spans="1:14" x14ac:dyDescent="0.2">
      <c r="A734">
        <v>10980</v>
      </c>
      <c r="B734" t="s">
        <v>87</v>
      </c>
      <c r="C734">
        <v>4</v>
      </c>
      <c r="D734" s="5">
        <v>35881</v>
      </c>
      <c r="E734" s="5">
        <v>35923</v>
      </c>
      <c r="F734" s="5">
        <v>35902</v>
      </c>
      <c r="G734">
        <v>1</v>
      </c>
      <c r="H734" s="6">
        <v>1.26</v>
      </c>
      <c r="I734" t="s">
        <v>88</v>
      </c>
      <c r="J734" t="s">
        <v>89</v>
      </c>
      <c r="K734" t="s">
        <v>90</v>
      </c>
      <c r="L734" t="s">
        <v>18</v>
      </c>
      <c r="M734" s="7" t="s">
        <v>91</v>
      </c>
      <c r="N734" t="s">
        <v>92</v>
      </c>
    </row>
    <row r="735" spans="1:14" x14ac:dyDescent="0.2">
      <c r="A735">
        <v>10981</v>
      </c>
      <c r="B735" t="s">
        <v>25</v>
      </c>
      <c r="C735">
        <v>1</v>
      </c>
      <c r="D735" s="5">
        <v>35881</v>
      </c>
      <c r="E735" s="5">
        <v>35909</v>
      </c>
      <c r="F735" s="5">
        <v>35887</v>
      </c>
      <c r="G735">
        <v>2</v>
      </c>
      <c r="H735" s="6">
        <v>193.37</v>
      </c>
      <c r="I735" t="s">
        <v>26</v>
      </c>
      <c r="J735" t="s">
        <v>417</v>
      </c>
      <c r="K735" t="s">
        <v>28</v>
      </c>
      <c r="L735" t="s">
        <v>29</v>
      </c>
      <c r="M735" s="7" t="s">
        <v>30</v>
      </c>
      <c r="N735" t="s">
        <v>31</v>
      </c>
    </row>
    <row r="736" spans="1:14" x14ac:dyDescent="0.2">
      <c r="A736">
        <v>10982</v>
      </c>
      <c r="B736" t="s">
        <v>318</v>
      </c>
      <c r="C736">
        <v>2</v>
      </c>
      <c r="D736" s="5">
        <v>35881</v>
      </c>
      <c r="E736" s="5">
        <v>35909</v>
      </c>
      <c r="F736" s="5">
        <v>35893</v>
      </c>
      <c r="G736">
        <v>1</v>
      </c>
      <c r="H736" s="6">
        <v>14.01</v>
      </c>
      <c r="I736" t="s">
        <v>319</v>
      </c>
      <c r="J736" t="s">
        <v>320</v>
      </c>
      <c r="K736" t="s">
        <v>321</v>
      </c>
      <c r="L736" t="s">
        <v>322</v>
      </c>
      <c r="M736" s="7" t="s">
        <v>323</v>
      </c>
      <c r="N736" t="s">
        <v>249</v>
      </c>
    </row>
    <row r="737" spans="1:14" x14ac:dyDescent="0.2">
      <c r="A737">
        <v>10983</v>
      </c>
      <c r="B737" t="s">
        <v>226</v>
      </c>
      <c r="C737">
        <v>2</v>
      </c>
      <c r="D737" s="5">
        <v>35881</v>
      </c>
      <c r="E737" s="5">
        <v>35909</v>
      </c>
      <c r="F737" s="5">
        <v>35891</v>
      </c>
      <c r="G737">
        <v>2</v>
      </c>
      <c r="H737" s="6">
        <v>657.54</v>
      </c>
      <c r="I737" t="s">
        <v>227</v>
      </c>
      <c r="J737" t="s">
        <v>228</v>
      </c>
      <c r="K737" t="s">
        <v>229</v>
      </c>
      <c r="L737" t="s">
        <v>230</v>
      </c>
      <c r="M737" s="7">
        <v>83720</v>
      </c>
      <c r="N737" t="s">
        <v>86</v>
      </c>
    </row>
    <row r="738" spans="1:14" x14ac:dyDescent="0.2">
      <c r="A738">
        <v>10984</v>
      </c>
      <c r="B738" t="s">
        <v>226</v>
      </c>
      <c r="C738">
        <v>1</v>
      </c>
      <c r="D738" s="5">
        <v>35884</v>
      </c>
      <c r="E738" s="5">
        <v>35912</v>
      </c>
      <c r="F738" s="5">
        <v>35888</v>
      </c>
      <c r="G738">
        <v>3</v>
      </c>
      <c r="H738" s="6">
        <v>211.22</v>
      </c>
      <c r="I738" t="s">
        <v>227</v>
      </c>
      <c r="J738" t="s">
        <v>228</v>
      </c>
      <c r="K738" t="s">
        <v>229</v>
      </c>
      <c r="L738" t="s">
        <v>230</v>
      </c>
      <c r="M738" s="7">
        <v>83720</v>
      </c>
      <c r="N738" t="s">
        <v>86</v>
      </c>
    </row>
    <row r="739" spans="1:14" x14ac:dyDescent="0.2">
      <c r="A739">
        <v>10985</v>
      </c>
      <c r="B739" t="s">
        <v>179</v>
      </c>
      <c r="C739">
        <v>2</v>
      </c>
      <c r="D739" s="5">
        <v>35884</v>
      </c>
      <c r="E739" s="5">
        <v>35912</v>
      </c>
      <c r="F739" s="5">
        <v>35887</v>
      </c>
      <c r="G739">
        <v>1</v>
      </c>
      <c r="H739" s="6">
        <v>91.51</v>
      </c>
      <c r="I739" t="s">
        <v>180</v>
      </c>
      <c r="J739" t="s">
        <v>181</v>
      </c>
      <c r="K739" t="s">
        <v>182</v>
      </c>
      <c r="L739" t="s">
        <v>183</v>
      </c>
      <c r="M739" s="7" t="s">
        <v>18</v>
      </c>
      <c r="N739" t="s">
        <v>184</v>
      </c>
    </row>
    <row r="740" spans="1:14" x14ac:dyDescent="0.2">
      <c r="A740">
        <v>10986</v>
      </c>
      <c r="B740" t="s">
        <v>333</v>
      </c>
      <c r="C740">
        <v>8</v>
      </c>
      <c r="D740" s="5">
        <v>35884</v>
      </c>
      <c r="E740" s="5">
        <v>35912</v>
      </c>
      <c r="F740" s="5">
        <v>35906</v>
      </c>
      <c r="G740">
        <v>2</v>
      </c>
      <c r="H740" s="6">
        <v>217.86</v>
      </c>
      <c r="I740" t="s">
        <v>334</v>
      </c>
      <c r="J740" t="s">
        <v>335</v>
      </c>
      <c r="K740" t="s">
        <v>336</v>
      </c>
      <c r="L740" t="s">
        <v>18</v>
      </c>
      <c r="M740" s="7">
        <v>1010</v>
      </c>
      <c r="N740" t="s">
        <v>337</v>
      </c>
    </row>
    <row r="741" spans="1:14" x14ac:dyDescent="0.2">
      <c r="A741">
        <v>10987</v>
      </c>
      <c r="B741" t="s">
        <v>284</v>
      </c>
      <c r="C741">
        <v>8</v>
      </c>
      <c r="D741" s="5">
        <v>35885</v>
      </c>
      <c r="E741" s="5">
        <v>35913</v>
      </c>
      <c r="F741" s="5">
        <v>35891</v>
      </c>
      <c r="G741">
        <v>1</v>
      </c>
      <c r="H741" s="6">
        <v>185.48</v>
      </c>
      <c r="I741" t="s">
        <v>285</v>
      </c>
      <c r="J741" t="s">
        <v>286</v>
      </c>
      <c r="K741" t="s">
        <v>167</v>
      </c>
      <c r="L741" t="s">
        <v>18</v>
      </c>
      <c r="M741" s="7" t="s">
        <v>287</v>
      </c>
      <c r="N741" t="s">
        <v>169</v>
      </c>
    </row>
    <row r="742" spans="1:14" x14ac:dyDescent="0.2">
      <c r="A742">
        <v>10988</v>
      </c>
      <c r="B742" t="s">
        <v>81</v>
      </c>
      <c r="C742">
        <v>3</v>
      </c>
      <c r="D742" s="5">
        <v>35885</v>
      </c>
      <c r="E742" s="5">
        <v>35913</v>
      </c>
      <c r="F742" s="5">
        <v>35895</v>
      </c>
      <c r="G742">
        <v>2</v>
      </c>
      <c r="H742" s="6">
        <v>61.14</v>
      </c>
      <c r="I742" t="s">
        <v>82</v>
      </c>
      <c r="J742" t="s">
        <v>83</v>
      </c>
      <c r="K742" t="s">
        <v>84</v>
      </c>
      <c r="L742" t="s">
        <v>85</v>
      </c>
      <c r="M742" s="7">
        <v>87110</v>
      </c>
      <c r="N742" t="s">
        <v>86</v>
      </c>
    </row>
    <row r="743" spans="1:14" x14ac:dyDescent="0.2">
      <c r="A743">
        <v>10989</v>
      </c>
      <c r="B743" t="s">
        <v>77</v>
      </c>
      <c r="C743">
        <v>2</v>
      </c>
      <c r="D743" s="5">
        <v>35885</v>
      </c>
      <c r="E743" s="5">
        <v>35913</v>
      </c>
      <c r="F743" s="5">
        <v>35887</v>
      </c>
      <c r="G743">
        <v>1</v>
      </c>
      <c r="H743" s="6">
        <v>34.76</v>
      </c>
      <c r="I743" t="s">
        <v>78</v>
      </c>
      <c r="J743" t="s">
        <v>421</v>
      </c>
      <c r="K743" t="s">
        <v>28</v>
      </c>
      <c r="L743" t="s">
        <v>29</v>
      </c>
      <c r="M743" s="7" t="s">
        <v>80</v>
      </c>
      <c r="N743" t="s">
        <v>31</v>
      </c>
    </row>
    <row r="744" spans="1:14" x14ac:dyDescent="0.2">
      <c r="A744">
        <v>10990</v>
      </c>
      <c r="B744" t="s">
        <v>63</v>
      </c>
      <c r="C744">
        <v>2</v>
      </c>
      <c r="D744" s="5">
        <v>35886</v>
      </c>
      <c r="E744" s="5">
        <v>35928</v>
      </c>
      <c r="F744" s="5">
        <v>35892</v>
      </c>
      <c r="G744">
        <v>3</v>
      </c>
      <c r="H744" s="6">
        <v>117.61</v>
      </c>
      <c r="I744" t="s">
        <v>64</v>
      </c>
      <c r="J744" t="s">
        <v>65</v>
      </c>
      <c r="K744" t="s">
        <v>66</v>
      </c>
      <c r="L744" t="s">
        <v>18</v>
      </c>
      <c r="M744" s="7">
        <v>8010</v>
      </c>
      <c r="N744" t="s">
        <v>67</v>
      </c>
    </row>
    <row r="745" spans="1:14" x14ac:dyDescent="0.2">
      <c r="A745">
        <v>10991</v>
      </c>
      <c r="B745" t="s">
        <v>121</v>
      </c>
      <c r="C745">
        <v>1</v>
      </c>
      <c r="D745" s="5">
        <v>35886</v>
      </c>
      <c r="E745" s="5">
        <v>35914</v>
      </c>
      <c r="F745" s="5">
        <v>35892</v>
      </c>
      <c r="G745">
        <v>1</v>
      </c>
      <c r="H745" s="6">
        <v>38.51</v>
      </c>
      <c r="I745" t="s">
        <v>122</v>
      </c>
      <c r="J745" t="s">
        <v>123</v>
      </c>
      <c r="K745" t="s">
        <v>124</v>
      </c>
      <c r="L745" t="s">
        <v>18</v>
      </c>
      <c r="M745" s="7">
        <v>1307</v>
      </c>
      <c r="N745" t="s">
        <v>24</v>
      </c>
    </row>
    <row r="746" spans="1:14" x14ac:dyDescent="0.2">
      <c r="A746">
        <v>10992</v>
      </c>
      <c r="B746" t="s">
        <v>206</v>
      </c>
      <c r="C746">
        <v>1</v>
      </c>
      <c r="D746" s="5">
        <v>35886</v>
      </c>
      <c r="E746" s="5">
        <v>35914</v>
      </c>
      <c r="F746" s="5">
        <v>35888</v>
      </c>
      <c r="G746">
        <v>3</v>
      </c>
      <c r="H746" s="6">
        <v>4.2699999999999996</v>
      </c>
      <c r="I746" t="s">
        <v>207</v>
      </c>
      <c r="J746" t="s">
        <v>208</v>
      </c>
      <c r="K746" t="s">
        <v>201</v>
      </c>
      <c r="L746" t="s">
        <v>202</v>
      </c>
      <c r="M746" s="7">
        <v>97201</v>
      </c>
      <c r="N746" t="s">
        <v>86</v>
      </c>
    </row>
    <row r="747" spans="1:14" x14ac:dyDescent="0.2">
      <c r="A747">
        <v>10993</v>
      </c>
      <c r="B747" t="s">
        <v>87</v>
      </c>
      <c r="C747">
        <v>7</v>
      </c>
      <c r="D747" s="5">
        <v>35886</v>
      </c>
      <c r="E747" s="5">
        <v>35914</v>
      </c>
      <c r="F747" s="5">
        <v>35895</v>
      </c>
      <c r="G747">
        <v>3</v>
      </c>
      <c r="H747" s="6">
        <v>8.81</v>
      </c>
      <c r="I747" t="s">
        <v>88</v>
      </c>
      <c r="J747" t="s">
        <v>89</v>
      </c>
      <c r="K747" t="s">
        <v>90</v>
      </c>
      <c r="L747" t="s">
        <v>18</v>
      </c>
      <c r="M747" s="7" t="s">
        <v>91</v>
      </c>
      <c r="N747" t="s">
        <v>92</v>
      </c>
    </row>
    <row r="748" spans="1:14" x14ac:dyDescent="0.2">
      <c r="A748">
        <v>10994</v>
      </c>
      <c r="B748" t="s">
        <v>295</v>
      </c>
      <c r="C748">
        <v>2</v>
      </c>
      <c r="D748" s="5">
        <v>35887</v>
      </c>
      <c r="E748" s="5">
        <v>35901</v>
      </c>
      <c r="F748" s="5">
        <v>35894</v>
      </c>
      <c r="G748">
        <v>3</v>
      </c>
      <c r="H748" s="6">
        <v>65.53</v>
      </c>
      <c r="I748" t="s">
        <v>296</v>
      </c>
      <c r="J748" t="s">
        <v>297</v>
      </c>
      <c r="K748" t="s">
        <v>298</v>
      </c>
      <c r="L748" t="s">
        <v>18</v>
      </c>
      <c r="M748" s="7">
        <v>8200</v>
      </c>
      <c r="N748" t="s">
        <v>257</v>
      </c>
    </row>
    <row r="749" spans="1:14" x14ac:dyDescent="0.2">
      <c r="A749">
        <v>10995</v>
      </c>
      <c r="B749" t="s">
        <v>219</v>
      </c>
      <c r="C749">
        <v>1</v>
      </c>
      <c r="D749" s="5">
        <v>35887</v>
      </c>
      <c r="E749" s="5">
        <v>35915</v>
      </c>
      <c r="F749" s="5">
        <v>35891</v>
      </c>
      <c r="G749">
        <v>3</v>
      </c>
      <c r="H749" s="6">
        <v>46</v>
      </c>
      <c r="I749" t="s">
        <v>220</v>
      </c>
      <c r="J749" t="s">
        <v>221</v>
      </c>
      <c r="K749" t="s">
        <v>71</v>
      </c>
      <c r="L749" t="s">
        <v>18</v>
      </c>
      <c r="M749" s="7">
        <v>5033</v>
      </c>
      <c r="N749" t="s">
        <v>72</v>
      </c>
    </row>
    <row r="750" spans="1:14" x14ac:dyDescent="0.2">
      <c r="A750">
        <v>10996</v>
      </c>
      <c r="B750" t="s">
        <v>121</v>
      </c>
      <c r="C750">
        <v>4</v>
      </c>
      <c r="D750" s="5">
        <v>35887</v>
      </c>
      <c r="E750" s="5">
        <v>35915</v>
      </c>
      <c r="F750" s="5">
        <v>35895</v>
      </c>
      <c r="G750">
        <v>2</v>
      </c>
      <c r="H750" s="6">
        <v>1.1200000000000001</v>
      </c>
      <c r="I750" t="s">
        <v>122</v>
      </c>
      <c r="J750" t="s">
        <v>123</v>
      </c>
      <c r="K750" t="s">
        <v>124</v>
      </c>
      <c r="L750" t="s">
        <v>18</v>
      </c>
      <c r="M750" s="7">
        <v>1307</v>
      </c>
      <c r="N750" t="s">
        <v>24</v>
      </c>
    </row>
    <row r="751" spans="1:14" x14ac:dyDescent="0.2">
      <c r="A751">
        <v>10997</v>
      </c>
      <c r="B751" t="s">
        <v>151</v>
      </c>
      <c r="C751">
        <v>8</v>
      </c>
      <c r="D751" s="5">
        <v>35888</v>
      </c>
      <c r="E751" s="5">
        <v>35930</v>
      </c>
      <c r="F751" s="5">
        <v>35898</v>
      </c>
      <c r="G751">
        <v>2</v>
      </c>
      <c r="H751" s="6">
        <v>73.91</v>
      </c>
      <c r="I751" t="s">
        <v>152</v>
      </c>
      <c r="J751" t="s">
        <v>153</v>
      </c>
      <c r="K751" t="s">
        <v>154</v>
      </c>
      <c r="L751" t="s">
        <v>155</v>
      </c>
      <c r="M751" s="7">
        <v>3508</v>
      </c>
      <c r="N751" t="s">
        <v>62</v>
      </c>
    </row>
    <row r="752" spans="1:14" x14ac:dyDescent="0.2">
      <c r="A752">
        <v>10998</v>
      </c>
      <c r="B752" t="s">
        <v>303</v>
      </c>
      <c r="C752">
        <v>8</v>
      </c>
      <c r="D752" s="5">
        <v>35888</v>
      </c>
      <c r="E752" s="5">
        <v>35902</v>
      </c>
      <c r="F752" s="5">
        <v>35902</v>
      </c>
      <c r="G752">
        <v>2</v>
      </c>
      <c r="H752" s="6">
        <v>20.309999999999999</v>
      </c>
      <c r="I752" t="s">
        <v>304</v>
      </c>
      <c r="J752" t="s">
        <v>305</v>
      </c>
      <c r="K752" t="s">
        <v>306</v>
      </c>
      <c r="L752" t="s">
        <v>18</v>
      </c>
      <c r="M752" s="7" t="s">
        <v>307</v>
      </c>
      <c r="N752" t="s">
        <v>308</v>
      </c>
    </row>
    <row r="753" spans="1:14" x14ac:dyDescent="0.2">
      <c r="A753">
        <v>10999</v>
      </c>
      <c r="B753" t="s">
        <v>73</v>
      </c>
      <c r="C753">
        <v>6</v>
      </c>
      <c r="D753" s="5">
        <v>35888</v>
      </c>
      <c r="E753" s="5">
        <v>35916</v>
      </c>
      <c r="F753" s="5">
        <v>35895</v>
      </c>
      <c r="G753">
        <v>2</v>
      </c>
      <c r="H753" s="6">
        <v>96.35</v>
      </c>
      <c r="I753" t="s">
        <v>74</v>
      </c>
      <c r="J753" t="s">
        <v>75</v>
      </c>
      <c r="K753" t="s">
        <v>76</v>
      </c>
      <c r="L753" t="s">
        <v>18</v>
      </c>
      <c r="M753" s="7">
        <v>50739</v>
      </c>
      <c r="N753" t="s">
        <v>24</v>
      </c>
    </row>
    <row r="754" spans="1:14" x14ac:dyDescent="0.2">
      <c r="A754">
        <v>11000</v>
      </c>
      <c r="B754" t="s">
        <v>81</v>
      </c>
      <c r="C754">
        <v>2</v>
      </c>
      <c r="D754" s="5">
        <v>35891</v>
      </c>
      <c r="E754" s="5">
        <v>35919</v>
      </c>
      <c r="F754" s="5">
        <v>35899</v>
      </c>
      <c r="G754">
        <v>3</v>
      </c>
      <c r="H754" s="6">
        <v>55.12</v>
      </c>
      <c r="I754" t="s">
        <v>82</v>
      </c>
      <c r="J754" t="s">
        <v>83</v>
      </c>
      <c r="K754" t="s">
        <v>84</v>
      </c>
      <c r="L754" t="s">
        <v>85</v>
      </c>
      <c r="M754" s="7">
        <v>87110</v>
      </c>
      <c r="N754" t="s">
        <v>86</v>
      </c>
    </row>
    <row r="755" spans="1:14" x14ac:dyDescent="0.2">
      <c r="A755">
        <v>11001</v>
      </c>
      <c r="B755" t="s">
        <v>87</v>
      </c>
      <c r="C755">
        <v>2</v>
      </c>
      <c r="D755" s="5">
        <v>35891</v>
      </c>
      <c r="E755" s="5">
        <v>35919</v>
      </c>
      <c r="F755" s="5">
        <v>35899</v>
      </c>
      <c r="G755">
        <v>2</v>
      </c>
      <c r="H755" s="6">
        <v>197.3</v>
      </c>
      <c r="I755" t="s">
        <v>88</v>
      </c>
      <c r="J755" t="s">
        <v>89</v>
      </c>
      <c r="K755" t="s">
        <v>90</v>
      </c>
      <c r="L755" t="s">
        <v>18</v>
      </c>
      <c r="M755" s="7" t="s">
        <v>91</v>
      </c>
      <c r="N755" t="s">
        <v>92</v>
      </c>
    </row>
    <row r="756" spans="1:14" x14ac:dyDescent="0.2">
      <c r="A756">
        <v>11002</v>
      </c>
      <c r="B756" t="s">
        <v>226</v>
      </c>
      <c r="C756">
        <v>4</v>
      </c>
      <c r="D756" s="5">
        <v>35891</v>
      </c>
      <c r="E756" s="5">
        <v>35919</v>
      </c>
      <c r="F756" s="5">
        <v>35901</v>
      </c>
      <c r="G756">
        <v>1</v>
      </c>
      <c r="H756" s="6">
        <v>141.16</v>
      </c>
      <c r="I756" t="s">
        <v>227</v>
      </c>
      <c r="J756" t="s">
        <v>228</v>
      </c>
      <c r="K756" t="s">
        <v>229</v>
      </c>
      <c r="L756" t="s">
        <v>230</v>
      </c>
      <c r="M756" s="7">
        <v>83720</v>
      </c>
      <c r="N756" t="s">
        <v>86</v>
      </c>
    </row>
    <row r="757" spans="1:14" x14ac:dyDescent="0.2">
      <c r="A757">
        <v>11003</v>
      </c>
      <c r="B757" t="s">
        <v>396</v>
      </c>
      <c r="C757">
        <v>3</v>
      </c>
      <c r="D757" s="5">
        <v>35891</v>
      </c>
      <c r="E757" s="5">
        <v>35919</v>
      </c>
      <c r="F757" s="5">
        <v>35893</v>
      </c>
      <c r="G757">
        <v>3</v>
      </c>
      <c r="H757" s="6">
        <v>14.91</v>
      </c>
      <c r="I757" t="s">
        <v>397</v>
      </c>
      <c r="J757" t="s">
        <v>398</v>
      </c>
      <c r="K757" t="s">
        <v>399</v>
      </c>
      <c r="L757" t="s">
        <v>400</v>
      </c>
      <c r="M757" s="7">
        <v>59801</v>
      </c>
      <c r="N757" t="s">
        <v>86</v>
      </c>
    </row>
    <row r="758" spans="1:14" x14ac:dyDescent="0.2">
      <c r="A758">
        <v>11004</v>
      </c>
      <c r="B758" t="s">
        <v>378</v>
      </c>
      <c r="C758">
        <v>3</v>
      </c>
      <c r="D758" s="5">
        <v>35892</v>
      </c>
      <c r="E758" s="5">
        <v>35920</v>
      </c>
      <c r="F758" s="5">
        <v>35905</v>
      </c>
      <c r="G758">
        <v>1</v>
      </c>
      <c r="H758" s="6">
        <v>44.84</v>
      </c>
      <c r="I758" t="s">
        <v>379</v>
      </c>
      <c r="J758" t="s">
        <v>380</v>
      </c>
      <c r="K758" t="s">
        <v>381</v>
      </c>
      <c r="L758" t="s">
        <v>18</v>
      </c>
      <c r="M758" s="7" t="s">
        <v>382</v>
      </c>
      <c r="N758" t="s">
        <v>41</v>
      </c>
    </row>
    <row r="759" spans="1:14" x14ac:dyDescent="0.2">
      <c r="A759">
        <v>11005</v>
      </c>
      <c r="B759" t="s">
        <v>392</v>
      </c>
      <c r="C759">
        <v>2</v>
      </c>
      <c r="D759" s="5">
        <v>35892</v>
      </c>
      <c r="E759" s="5">
        <v>35920</v>
      </c>
      <c r="F759" s="5">
        <v>35895</v>
      </c>
      <c r="G759">
        <v>1</v>
      </c>
      <c r="H759" s="6">
        <v>0.75</v>
      </c>
      <c r="I759" t="s">
        <v>393</v>
      </c>
      <c r="J759" t="s">
        <v>394</v>
      </c>
      <c r="K759" t="s">
        <v>395</v>
      </c>
      <c r="L759" t="s">
        <v>18</v>
      </c>
      <c r="M759" s="7">
        <v>21240</v>
      </c>
      <c r="N759" t="s">
        <v>101</v>
      </c>
    </row>
    <row r="760" spans="1:14" x14ac:dyDescent="0.2">
      <c r="A760">
        <v>11006</v>
      </c>
      <c r="B760" t="s">
        <v>374</v>
      </c>
      <c r="C760">
        <v>3</v>
      </c>
      <c r="D760" s="5">
        <v>35892</v>
      </c>
      <c r="E760" s="5">
        <v>35920</v>
      </c>
      <c r="F760" s="5">
        <v>35900</v>
      </c>
      <c r="G760">
        <v>2</v>
      </c>
      <c r="H760" s="6">
        <v>25.19</v>
      </c>
      <c r="I760" t="s">
        <v>375</v>
      </c>
      <c r="J760" t="s">
        <v>376</v>
      </c>
      <c r="K760" t="s">
        <v>377</v>
      </c>
      <c r="L760" t="s">
        <v>202</v>
      </c>
      <c r="M760" s="7">
        <v>97403</v>
      </c>
      <c r="N760" t="s">
        <v>86</v>
      </c>
    </row>
    <row r="761" spans="1:14" x14ac:dyDescent="0.2">
      <c r="A761">
        <v>11007</v>
      </c>
      <c r="B761" t="s">
        <v>250</v>
      </c>
      <c r="C761">
        <v>8</v>
      </c>
      <c r="D761" s="5">
        <v>35893</v>
      </c>
      <c r="E761" s="5">
        <v>35921</v>
      </c>
      <c r="F761" s="5">
        <v>35898</v>
      </c>
      <c r="G761">
        <v>2</v>
      </c>
      <c r="H761" s="6">
        <v>202.24</v>
      </c>
      <c r="I761" t="s">
        <v>251</v>
      </c>
      <c r="J761" t="s">
        <v>252</v>
      </c>
      <c r="K761" t="s">
        <v>237</v>
      </c>
      <c r="L761" t="s">
        <v>18</v>
      </c>
      <c r="M761" s="7">
        <v>1756</v>
      </c>
      <c r="N761" t="s">
        <v>238</v>
      </c>
    </row>
    <row r="762" spans="1:14" x14ac:dyDescent="0.2">
      <c r="A762">
        <v>11008</v>
      </c>
      <c r="B762" t="s">
        <v>63</v>
      </c>
      <c r="C762">
        <v>7</v>
      </c>
      <c r="D762" s="5">
        <v>35893</v>
      </c>
      <c r="E762" s="5">
        <v>35921</v>
      </c>
      <c r="F762" s="5" t="s">
        <v>18</v>
      </c>
      <c r="G762">
        <v>3</v>
      </c>
      <c r="H762" s="6">
        <v>79.459999999999994</v>
      </c>
      <c r="I762" t="s">
        <v>64</v>
      </c>
      <c r="J762" t="s">
        <v>65</v>
      </c>
      <c r="K762" t="s">
        <v>66</v>
      </c>
      <c r="L762" t="s">
        <v>18</v>
      </c>
      <c r="M762" s="7">
        <v>8010</v>
      </c>
      <c r="N762" t="s">
        <v>67</v>
      </c>
    </row>
    <row r="763" spans="1:14" x14ac:dyDescent="0.2">
      <c r="A763">
        <v>11009</v>
      </c>
      <c r="B763" t="s">
        <v>189</v>
      </c>
      <c r="C763">
        <v>2</v>
      </c>
      <c r="D763" s="5">
        <v>35893</v>
      </c>
      <c r="E763" s="5">
        <v>35921</v>
      </c>
      <c r="F763" s="5">
        <v>35895</v>
      </c>
      <c r="G763">
        <v>1</v>
      </c>
      <c r="H763" s="6">
        <v>59.11</v>
      </c>
      <c r="I763" t="s">
        <v>190</v>
      </c>
      <c r="J763" t="s">
        <v>427</v>
      </c>
      <c r="K763" t="s">
        <v>192</v>
      </c>
      <c r="L763" t="s">
        <v>18</v>
      </c>
      <c r="M763" s="7">
        <v>41101</v>
      </c>
      <c r="N763" t="s">
        <v>150</v>
      </c>
    </row>
    <row r="764" spans="1:14" x14ac:dyDescent="0.2">
      <c r="A764">
        <v>11010</v>
      </c>
      <c r="B764" t="s">
        <v>160</v>
      </c>
      <c r="C764">
        <v>2</v>
      </c>
      <c r="D764" s="5">
        <v>35894</v>
      </c>
      <c r="E764" s="5">
        <v>35922</v>
      </c>
      <c r="F764" s="5">
        <v>35906</v>
      </c>
      <c r="G764">
        <v>2</v>
      </c>
      <c r="H764" s="6">
        <v>28.71</v>
      </c>
      <c r="I764" t="s">
        <v>161</v>
      </c>
      <c r="J764" t="s">
        <v>162</v>
      </c>
      <c r="K764" t="s">
        <v>163</v>
      </c>
      <c r="L764" t="s">
        <v>18</v>
      </c>
      <c r="M764" s="7">
        <v>42100</v>
      </c>
      <c r="N764" t="s">
        <v>129</v>
      </c>
    </row>
    <row r="765" spans="1:14" x14ac:dyDescent="0.2">
      <c r="A765">
        <v>11011</v>
      </c>
      <c r="B765" t="s">
        <v>401</v>
      </c>
      <c r="C765">
        <v>3</v>
      </c>
      <c r="D765" s="5">
        <v>35894</v>
      </c>
      <c r="E765" s="5">
        <v>35922</v>
      </c>
      <c r="F765" s="5">
        <v>35898</v>
      </c>
      <c r="G765">
        <v>1</v>
      </c>
      <c r="H765" s="6">
        <v>1.21</v>
      </c>
      <c r="I765" t="s">
        <v>408</v>
      </c>
      <c r="J765" t="s">
        <v>403</v>
      </c>
      <c r="K765" t="s">
        <v>404</v>
      </c>
      <c r="L765" t="s">
        <v>18</v>
      </c>
      <c r="M765" s="7">
        <v>12209</v>
      </c>
      <c r="N765" t="s">
        <v>24</v>
      </c>
    </row>
    <row r="766" spans="1:14" x14ac:dyDescent="0.2">
      <c r="A766">
        <v>11012</v>
      </c>
      <c r="B766" t="s">
        <v>102</v>
      </c>
      <c r="C766">
        <v>1</v>
      </c>
      <c r="D766" s="5">
        <v>35894</v>
      </c>
      <c r="E766" s="5">
        <v>35908</v>
      </c>
      <c r="F766" s="5">
        <v>35902</v>
      </c>
      <c r="G766">
        <v>3</v>
      </c>
      <c r="H766" s="6">
        <v>242.95</v>
      </c>
      <c r="I766" t="s">
        <v>103</v>
      </c>
      <c r="J766" t="s">
        <v>104</v>
      </c>
      <c r="K766" t="s">
        <v>105</v>
      </c>
      <c r="L766" t="s">
        <v>18</v>
      </c>
      <c r="M766" s="7">
        <v>80805</v>
      </c>
      <c r="N766" t="s">
        <v>24</v>
      </c>
    </row>
    <row r="767" spans="1:14" x14ac:dyDescent="0.2">
      <c r="A767">
        <v>11013</v>
      </c>
      <c r="B767" t="s">
        <v>146</v>
      </c>
      <c r="C767">
        <v>2</v>
      </c>
      <c r="D767" s="5">
        <v>35894</v>
      </c>
      <c r="E767" s="5">
        <v>35922</v>
      </c>
      <c r="F767" s="5">
        <v>35895</v>
      </c>
      <c r="G767">
        <v>1</v>
      </c>
      <c r="H767" s="6">
        <v>32.99</v>
      </c>
      <c r="I767" t="s">
        <v>147</v>
      </c>
      <c r="J767" t="s">
        <v>423</v>
      </c>
      <c r="K767" t="s">
        <v>149</v>
      </c>
      <c r="L767" t="s">
        <v>18</v>
      </c>
      <c r="M767" s="7">
        <v>28001</v>
      </c>
      <c r="N767" t="s">
        <v>150</v>
      </c>
    </row>
    <row r="768" spans="1:14" x14ac:dyDescent="0.2">
      <c r="A768">
        <v>11014</v>
      </c>
      <c r="B768" t="s">
        <v>324</v>
      </c>
      <c r="C768">
        <v>2</v>
      </c>
      <c r="D768" s="5">
        <v>35895</v>
      </c>
      <c r="E768" s="5">
        <v>35923</v>
      </c>
      <c r="F768" s="5">
        <v>35900</v>
      </c>
      <c r="G768">
        <v>3</v>
      </c>
      <c r="H768" s="6">
        <v>23.6</v>
      </c>
      <c r="I768" t="s">
        <v>325</v>
      </c>
      <c r="J768" t="s">
        <v>326</v>
      </c>
      <c r="K768" t="s">
        <v>327</v>
      </c>
      <c r="L768" t="s">
        <v>328</v>
      </c>
      <c r="M768" s="7">
        <v>4980</v>
      </c>
      <c r="N768" t="s">
        <v>62</v>
      </c>
    </row>
    <row r="769" spans="1:14" x14ac:dyDescent="0.2">
      <c r="A769">
        <v>11015</v>
      </c>
      <c r="B769" t="s">
        <v>313</v>
      </c>
      <c r="C769">
        <v>2</v>
      </c>
      <c r="D769" s="5">
        <v>35895</v>
      </c>
      <c r="E769" s="5">
        <v>35909</v>
      </c>
      <c r="F769" s="5">
        <v>35905</v>
      </c>
      <c r="G769">
        <v>2</v>
      </c>
      <c r="H769" s="6">
        <v>4.62</v>
      </c>
      <c r="I769" t="s">
        <v>314</v>
      </c>
      <c r="J769" t="s">
        <v>315</v>
      </c>
      <c r="K769" t="s">
        <v>316</v>
      </c>
      <c r="L769" t="s">
        <v>18</v>
      </c>
      <c r="M769" s="7">
        <v>4110</v>
      </c>
      <c r="N769" t="s">
        <v>317</v>
      </c>
    </row>
    <row r="770" spans="1:14" x14ac:dyDescent="0.2">
      <c r="A770">
        <v>11016</v>
      </c>
      <c r="B770" t="s">
        <v>270</v>
      </c>
      <c r="C770">
        <v>9</v>
      </c>
      <c r="D770" s="5">
        <v>35895</v>
      </c>
      <c r="E770" s="5">
        <v>35923</v>
      </c>
      <c r="F770" s="5">
        <v>35898</v>
      </c>
      <c r="G770">
        <v>2</v>
      </c>
      <c r="H770" s="6">
        <v>33.799999999999997</v>
      </c>
      <c r="I770" t="s">
        <v>271</v>
      </c>
      <c r="J770" t="s">
        <v>272</v>
      </c>
      <c r="K770" t="s">
        <v>273</v>
      </c>
      <c r="L770" t="s">
        <v>274</v>
      </c>
      <c r="M770" s="7" t="s">
        <v>275</v>
      </c>
      <c r="N770" t="s">
        <v>169</v>
      </c>
    </row>
    <row r="771" spans="1:14" x14ac:dyDescent="0.2">
      <c r="A771">
        <v>11017</v>
      </c>
      <c r="B771" t="s">
        <v>63</v>
      </c>
      <c r="C771">
        <v>9</v>
      </c>
      <c r="D771" s="5">
        <v>35898</v>
      </c>
      <c r="E771" s="5">
        <v>35926</v>
      </c>
      <c r="F771" s="5">
        <v>35905</v>
      </c>
      <c r="G771">
        <v>2</v>
      </c>
      <c r="H771" s="6">
        <v>754.26</v>
      </c>
      <c r="I771" t="s">
        <v>64</v>
      </c>
      <c r="J771" t="s">
        <v>65</v>
      </c>
      <c r="K771" t="s">
        <v>66</v>
      </c>
      <c r="L771" t="s">
        <v>18</v>
      </c>
      <c r="M771" s="7">
        <v>8010</v>
      </c>
      <c r="N771" t="s">
        <v>67</v>
      </c>
    </row>
    <row r="772" spans="1:14" x14ac:dyDescent="0.2">
      <c r="A772">
        <v>11018</v>
      </c>
      <c r="B772" t="s">
        <v>198</v>
      </c>
      <c r="C772">
        <v>4</v>
      </c>
      <c r="D772" s="5">
        <v>35898</v>
      </c>
      <c r="E772" s="5">
        <v>35926</v>
      </c>
      <c r="F772" s="5">
        <v>35901</v>
      </c>
      <c r="G772">
        <v>2</v>
      </c>
      <c r="H772" s="6">
        <v>11.65</v>
      </c>
      <c r="I772" t="s">
        <v>199</v>
      </c>
      <c r="J772" t="s">
        <v>200</v>
      </c>
      <c r="K772" t="s">
        <v>201</v>
      </c>
      <c r="L772" t="s">
        <v>202</v>
      </c>
      <c r="M772" s="7">
        <v>97219</v>
      </c>
      <c r="N772" t="s">
        <v>86</v>
      </c>
    </row>
    <row r="773" spans="1:14" x14ac:dyDescent="0.2">
      <c r="A773">
        <v>11019</v>
      </c>
      <c r="B773" t="s">
        <v>351</v>
      </c>
      <c r="C773">
        <v>6</v>
      </c>
      <c r="D773" s="5">
        <v>35898</v>
      </c>
      <c r="E773" s="5">
        <v>35926</v>
      </c>
      <c r="F773" s="5" t="s">
        <v>18</v>
      </c>
      <c r="G773">
        <v>3</v>
      </c>
      <c r="H773" s="6">
        <v>3.17</v>
      </c>
      <c r="I773" t="s">
        <v>352</v>
      </c>
      <c r="J773" t="s">
        <v>353</v>
      </c>
      <c r="K773" t="s">
        <v>336</v>
      </c>
      <c r="L773" t="s">
        <v>18</v>
      </c>
      <c r="M773" s="7">
        <v>1010</v>
      </c>
      <c r="N773" t="s">
        <v>337</v>
      </c>
    </row>
    <row r="774" spans="1:14" x14ac:dyDescent="0.2">
      <c r="A774">
        <v>11020</v>
      </c>
      <c r="B774" t="s">
        <v>73</v>
      </c>
      <c r="C774">
        <v>2</v>
      </c>
      <c r="D774" s="5">
        <v>35899</v>
      </c>
      <c r="E774" s="5">
        <v>35927</v>
      </c>
      <c r="F774" s="5">
        <v>35901</v>
      </c>
      <c r="G774">
        <v>2</v>
      </c>
      <c r="H774" s="6">
        <v>43.3</v>
      </c>
      <c r="I774" t="s">
        <v>74</v>
      </c>
      <c r="J774" t="s">
        <v>75</v>
      </c>
      <c r="K774" t="s">
        <v>76</v>
      </c>
      <c r="L774" t="s">
        <v>18</v>
      </c>
      <c r="M774" s="7">
        <v>50739</v>
      </c>
      <c r="N774" t="s">
        <v>24</v>
      </c>
    </row>
    <row r="775" spans="1:14" x14ac:dyDescent="0.2">
      <c r="A775">
        <v>11021</v>
      </c>
      <c r="B775" t="s">
        <v>121</v>
      </c>
      <c r="C775">
        <v>3</v>
      </c>
      <c r="D775" s="5">
        <v>35899</v>
      </c>
      <c r="E775" s="5">
        <v>35927</v>
      </c>
      <c r="F775" s="5">
        <v>35906</v>
      </c>
      <c r="G775">
        <v>1</v>
      </c>
      <c r="H775" s="6">
        <v>297.18</v>
      </c>
      <c r="I775" t="s">
        <v>122</v>
      </c>
      <c r="J775" t="s">
        <v>123</v>
      </c>
      <c r="K775" t="s">
        <v>124</v>
      </c>
      <c r="L775" t="s">
        <v>18</v>
      </c>
      <c r="M775" s="7">
        <v>1307</v>
      </c>
      <c r="N775" t="s">
        <v>24</v>
      </c>
    </row>
    <row r="776" spans="1:14" x14ac:dyDescent="0.2">
      <c r="A776">
        <v>11022</v>
      </c>
      <c r="B776" t="s">
        <v>25</v>
      </c>
      <c r="C776">
        <v>9</v>
      </c>
      <c r="D776" s="5">
        <v>35899</v>
      </c>
      <c r="E776" s="5">
        <v>35927</v>
      </c>
      <c r="F776" s="5">
        <v>35919</v>
      </c>
      <c r="G776">
        <v>2</v>
      </c>
      <c r="H776" s="6">
        <v>6.27</v>
      </c>
      <c r="I776" t="s">
        <v>26</v>
      </c>
      <c r="J776" t="s">
        <v>417</v>
      </c>
      <c r="K776" t="s">
        <v>28</v>
      </c>
      <c r="L776" t="s">
        <v>29</v>
      </c>
      <c r="M776" s="7" t="s">
        <v>30</v>
      </c>
      <c r="N776" t="s">
        <v>31</v>
      </c>
    </row>
    <row r="777" spans="1:14" x14ac:dyDescent="0.2">
      <c r="A777">
        <v>11023</v>
      </c>
      <c r="B777" t="s">
        <v>164</v>
      </c>
      <c r="C777">
        <v>1</v>
      </c>
      <c r="D777" s="5">
        <v>35899</v>
      </c>
      <c r="E777" s="5">
        <v>35913</v>
      </c>
      <c r="F777" s="5">
        <v>35909</v>
      </c>
      <c r="G777">
        <v>2</v>
      </c>
      <c r="H777" s="6">
        <v>123.83</v>
      </c>
      <c r="I777" t="s">
        <v>165</v>
      </c>
      <c r="J777" t="s">
        <v>166</v>
      </c>
      <c r="K777" t="s">
        <v>167</v>
      </c>
      <c r="L777" t="s">
        <v>18</v>
      </c>
      <c r="M777" s="7" t="s">
        <v>168</v>
      </c>
      <c r="N777" t="s">
        <v>169</v>
      </c>
    </row>
    <row r="778" spans="1:14" x14ac:dyDescent="0.2">
      <c r="A778">
        <v>11024</v>
      </c>
      <c r="B778" t="s">
        <v>284</v>
      </c>
      <c r="C778">
        <v>4</v>
      </c>
      <c r="D778" s="5">
        <v>35900</v>
      </c>
      <c r="E778" s="5">
        <v>35928</v>
      </c>
      <c r="F778" s="5">
        <v>35905</v>
      </c>
      <c r="G778">
        <v>1</v>
      </c>
      <c r="H778" s="6">
        <v>74.36</v>
      </c>
      <c r="I778" t="s">
        <v>285</v>
      </c>
      <c r="J778" t="s">
        <v>286</v>
      </c>
      <c r="K778" t="s">
        <v>167</v>
      </c>
      <c r="L778" t="s">
        <v>18</v>
      </c>
      <c r="M778" s="7" t="s">
        <v>287</v>
      </c>
      <c r="N778" t="s">
        <v>169</v>
      </c>
    </row>
    <row r="779" spans="1:14" x14ac:dyDescent="0.2">
      <c r="A779">
        <v>11025</v>
      </c>
      <c r="B779" t="s">
        <v>97</v>
      </c>
      <c r="C779">
        <v>6</v>
      </c>
      <c r="D779" s="5">
        <v>35900</v>
      </c>
      <c r="E779" s="5">
        <v>35928</v>
      </c>
      <c r="F779" s="5">
        <v>35909</v>
      </c>
      <c r="G779">
        <v>3</v>
      </c>
      <c r="H779" s="6">
        <v>29.17</v>
      </c>
      <c r="I779" t="s">
        <v>98</v>
      </c>
      <c r="J779" t="s">
        <v>99</v>
      </c>
      <c r="K779" t="s">
        <v>100</v>
      </c>
      <c r="L779" t="s">
        <v>18</v>
      </c>
      <c r="M779" s="7">
        <v>90110</v>
      </c>
      <c r="N779" t="s">
        <v>101</v>
      </c>
    </row>
    <row r="780" spans="1:14" x14ac:dyDescent="0.2">
      <c r="A780">
        <v>11026</v>
      </c>
      <c r="B780" t="s">
        <v>338</v>
      </c>
      <c r="C780">
        <v>4</v>
      </c>
      <c r="D780" s="5">
        <v>35900</v>
      </c>
      <c r="E780" s="5">
        <v>35928</v>
      </c>
      <c r="F780" s="5">
        <v>35913</v>
      </c>
      <c r="G780">
        <v>1</v>
      </c>
      <c r="H780" s="6">
        <v>47.09</v>
      </c>
      <c r="I780" t="s">
        <v>339</v>
      </c>
      <c r="J780" t="s">
        <v>340</v>
      </c>
      <c r="K780" t="s">
        <v>341</v>
      </c>
      <c r="L780" t="s">
        <v>18</v>
      </c>
      <c r="M780" s="7">
        <v>10100</v>
      </c>
      <c r="N780" t="s">
        <v>129</v>
      </c>
    </row>
    <row r="781" spans="1:14" x14ac:dyDescent="0.2">
      <c r="A781">
        <v>11027</v>
      </c>
      <c r="B781" t="s">
        <v>318</v>
      </c>
      <c r="C781">
        <v>1</v>
      </c>
      <c r="D781" s="5">
        <v>35901</v>
      </c>
      <c r="E781" s="5">
        <v>35929</v>
      </c>
      <c r="F781" s="5">
        <v>35905</v>
      </c>
      <c r="G781">
        <v>1</v>
      </c>
      <c r="H781" s="6">
        <v>52.52</v>
      </c>
      <c r="I781" t="s">
        <v>319</v>
      </c>
      <c r="J781" t="s">
        <v>320</v>
      </c>
      <c r="K781" t="s">
        <v>321</v>
      </c>
      <c r="L781" t="s">
        <v>322</v>
      </c>
      <c r="M781" s="7" t="s">
        <v>323</v>
      </c>
      <c r="N781" t="s">
        <v>249</v>
      </c>
    </row>
    <row r="782" spans="1:14" x14ac:dyDescent="0.2">
      <c r="A782">
        <v>11028</v>
      </c>
      <c r="B782" t="s">
        <v>222</v>
      </c>
      <c r="C782">
        <v>2</v>
      </c>
      <c r="D782" s="5">
        <v>35901</v>
      </c>
      <c r="E782" s="5">
        <v>35929</v>
      </c>
      <c r="F782" s="5">
        <v>35907</v>
      </c>
      <c r="G782">
        <v>1</v>
      </c>
      <c r="H782" s="6">
        <v>29.59</v>
      </c>
      <c r="I782" t="s">
        <v>223</v>
      </c>
      <c r="J782" t="s">
        <v>224</v>
      </c>
      <c r="K782" t="s">
        <v>225</v>
      </c>
      <c r="L782" t="s">
        <v>18</v>
      </c>
      <c r="M782" s="7">
        <v>14776</v>
      </c>
      <c r="N782" t="s">
        <v>24</v>
      </c>
    </row>
    <row r="783" spans="1:14" x14ac:dyDescent="0.2">
      <c r="A783">
        <v>11029</v>
      </c>
      <c r="B783" t="s">
        <v>42</v>
      </c>
      <c r="C783">
        <v>4</v>
      </c>
      <c r="D783" s="5">
        <v>35901</v>
      </c>
      <c r="E783" s="5">
        <v>35929</v>
      </c>
      <c r="F783" s="5">
        <v>35912</v>
      </c>
      <c r="G783">
        <v>1</v>
      </c>
      <c r="H783" s="6">
        <v>47.84</v>
      </c>
      <c r="I783" t="s">
        <v>43</v>
      </c>
      <c r="J783" t="s">
        <v>44</v>
      </c>
      <c r="K783" t="s">
        <v>45</v>
      </c>
      <c r="L783" t="s">
        <v>18</v>
      </c>
      <c r="M783" s="7">
        <v>3012</v>
      </c>
      <c r="N783" t="s">
        <v>46</v>
      </c>
    </row>
    <row r="784" spans="1:14" x14ac:dyDescent="0.2">
      <c r="A784">
        <v>11030</v>
      </c>
      <c r="B784" t="s">
        <v>226</v>
      </c>
      <c r="C784">
        <v>7</v>
      </c>
      <c r="D784" s="5">
        <v>35902</v>
      </c>
      <c r="E784" s="5">
        <v>35930</v>
      </c>
      <c r="F784" s="5">
        <v>35912</v>
      </c>
      <c r="G784">
        <v>2</v>
      </c>
      <c r="H784" s="6">
        <v>830.75</v>
      </c>
      <c r="I784" t="s">
        <v>227</v>
      </c>
      <c r="J784" t="s">
        <v>228</v>
      </c>
      <c r="K784" t="s">
        <v>229</v>
      </c>
      <c r="L784" t="s">
        <v>230</v>
      </c>
      <c r="M784" s="7">
        <v>83720</v>
      </c>
      <c r="N784" t="s">
        <v>86</v>
      </c>
    </row>
    <row r="785" spans="1:14" x14ac:dyDescent="0.2">
      <c r="A785">
        <v>11031</v>
      </c>
      <c r="B785" t="s">
        <v>226</v>
      </c>
      <c r="C785">
        <v>6</v>
      </c>
      <c r="D785" s="5">
        <v>35902</v>
      </c>
      <c r="E785" s="5">
        <v>35930</v>
      </c>
      <c r="F785" s="5">
        <v>35909</v>
      </c>
      <c r="G785">
        <v>2</v>
      </c>
      <c r="H785" s="6">
        <v>227.22</v>
      </c>
      <c r="I785" t="s">
        <v>227</v>
      </c>
      <c r="J785" t="s">
        <v>228</v>
      </c>
      <c r="K785" t="s">
        <v>229</v>
      </c>
      <c r="L785" t="s">
        <v>230</v>
      </c>
      <c r="M785" s="7">
        <v>83720</v>
      </c>
      <c r="N785" t="s">
        <v>86</v>
      </c>
    </row>
    <row r="786" spans="1:14" x14ac:dyDescent="0.2">
      <c r="A786">
        <v>11032</v>
      </c>
      <c r="B786" t="s">
        <v>111</v>
      </c>
      <c r="C786">
        <v>2</v>
      </c>
      <c r="D786" s="5">
        <v>35902</v>
      </c>
      <c r="E786" s="5">
        <v>35930</v>
      </c>
      <c r="F786" s="5">
        <v>35908</v>
      </c>
      <c r="G786">
        <v>3</v>
      </c>
      <c r="H786" s="6">
        <v>606.19000000000005</v>
      </c>
      <c r="I786" t="s">
        <v>112</v>
      </c>
      <c r="J786" t="s">
        <v>113</v>
      </c>
      <c r="K786" t="s">
        <v>114</v>
      </c>
      <c r="L786" t="s">
        <v>115</v>
      </c>
      <c r="M786" s="7">
        <v>98124</v>
      </c>
      <c r="N786" t="s">
        <v>86</v>
      </c>
    </row>
    <row r="787" spans="1:14" x14ac:dyDescent="0.2">
      <c r="A787">
        <v>11033</v>
      </c>
      <c r="B787" t="s">
        <v>47</v>
      </c>
      <c r="C787">
        <v>7</v>
      </c>
      <c r="D787" s="5">
        <v>35902</v>
      </c>
      <c r="E787" s="5">
        <v>35930</v>
      </c>
      <c r="F787" s="5">
        <v>35908</v>
      </c>
      <c r="G787">
        <v>3</v>
      </c>
      <c r="H787" s="6">
        <v>84.74</v>
      </c>
      <c r="I787" t="s">
        <v>48</v>
      </c>
      <c r="J787" t="s">
        <v>49</v>
      </c>
      <c r="K787" t="s">
        <v>50</v>
      </c>
      <c r="L787" t="s">
        <v>18</v>
      </c>
      <c r="M787" s="7">
        <v>1204</v>
      </c>
      <c r="N787" t="s">
        <v>46</v>
      </c>
    </row>
    <row r="788" spans="1:14" x14ac:dyDescent="0.2">
      <c r="A788">
        <v>11034</v>
      </c>
      <c r="B788" t="s">
        <v>193</v>
      </c>
      <c r="C788">
        <v>8</v>
      </c>
      <c r="D788" s="5">
        <v>35905</v>
      </c>
      <c r="E788" s="5">
        <v>35947</v>
      </c>
      <c r="F788" s="5">
        <v>35912</v>
      </c>
      <c r="G788">
        <v>1</v>
      </c>
      <c r="H788" s="6">
        <v>40.32</v>
      </c>
      <c r="I788" t="s">
        <v>194</v>
      </c>
      <c r="J788" t="s">
        <v>195</v>
      </c>
      <c r="K788" t="s">
        <v>196</v>
      </c>
      <c r="L788" t="s">
        <v>197</v>
      </c>
      <c r="M788" s="7">
        <v>99508</v>
      </c>
      <c r="N788" t="s">
        <v>86</v>
      </c>
    </row>
    <row r="789" spans="1:14" x14ac:dyDescent="0.2">
      <c r="A789">
        <v>11035</v>
      </c>
      <c r="B789" t="s">
        <v>36</v>
      </c>
      <c r="C789">
        <v>2</v>
      </c>
      <c r="D789" s="5">
        <v>35905</v>
      </c>
      <c r="E789" s="5">
        <v>35933</v>
      </c>
      <c r="F789" s="5">
        <v>35909</v>
      </c>
      <c r="G789">
        <v>2</v>
      </c>
      <c r="H789" s="6">
        <v>0.17</v>
      </c>
      <c r="I789" t="s">
        <v>37</v>
      </c>
      <c r="J789" t="s">
        <v>419</v>
      </c>
      <c r="K789" t="s">
        <v>39</v>
      </c>
      <c r="L789" t="s">
        <v>18</v>
      </c>
      <c r="M789" s="7" t="s">
        <v>40</v>
      </c>
      <c r="N789" t="s">
        <v>41</v>
      </c>
    </row>
    <row r="790" spans="1:14" x14ac:dyDescent="0.2">
      <c r="A790">
        <v>11036</v>
      </c>
      <c r="B790" t="s">
        <v>280</v>
      </c>
      <c r="C790">
        <v>8</v>
      </c>
      <c r="D790" s="5">
        <v>35905</v>
      </c>
      <c r="E790" s="5">
        <v>35933</v>
      </c>
      <c r="F790" s="5">
        <v>35907</v>
      </c>
      <c r="G790">
        <v>3</v>
      </c>
      <c r="H790" s="6">
        <v>149.47</v>
      </c>
      <c r="I790" t="s">
        <v>281</v>
      </c>
      <c r="J790" t="s">
        <v>282</v>
      </c>
      <c r="K790" t="s">
        <v>283</v>
      </c>
      <c r="L790" t="s">
        <v>18</v>
      </c>
      <c r="M790" s="7">
        <v>52066</v>
      </c>
      <c r="N790" t="s">
        <v>24</v>
      </c>
    </row>
    <row r="791" spans="1:14" x14ac:dyDescent="0.2">
      <c r="A791">
        <v>11037</v>
      </c>
      <c r="B791" t="s">
        <v>189</v>
      </c>
      <c r="C791">
        <v>7</v>
      </c>
      <c r="D791" s="5">
        <v>35906</v>
      </c>
      <c r="E791" s="5">
        <v>35934</v>
      </c>
      <c r="F791" s="5">
        <v>35912</v>
      </c>
      <c r="G791">
        <v>1</v>
      </c>
      <c r="H791" s="6">
        <v>3.2</v>
      </c>
      <c r="I791" t="s">
        <v>190</v>
      </c>
      <c r="J791" t="s">
        <v>427</v>
      </c>
      <c r="K791" t="s">
        <v>192</v>
      </c>
      <c r="L791" t="s">
        <v>18</v>
      </c>
      <c r="M791" s="7">
        <v>41101</v>
      </c>
      <c r="N791" t="s">
        <v>150</v>
      </c>
    </row>
    <row r="792" spans="1:14" x14ac:dyDescent="0.2">
      <c r="A792">
        <v>11038</v>
      </c>
      <c r="B792" t="s">
        <v>36</v>
      </c>
      <c r="C792">
        <v>1</v>
      </c>
      <c r="D792" s="5">
        <v>35906</v>
      </c>
      <c r="E792" s="5">
        <v>35934</v>
      </c>
      <c r="F792" s="5">
        <v>35915</v>
      </c>
      <c r="G792">
        <v>2</v>
      </c>
      <c r="H792" s="6">
        <v>29.59</v>
      </c>
      <c r="I792" t="s">
        <v>37</v>
      </c>
      <c r="J792" t="s">
        <v>419</v>
      </c>
      <c r="K792" t="s">
        <v>39</v>
      </c>
      <c r="L792" t="s">
        <v>18</v>
      </c>
      <c r="M792" s="7" t="s">
        <v>40</v>
      </c>
      <c r="N792" t="s">
        <v>41</v>
      </c>
    </row>
    <row r="793" spans="1:14" x14ac:dyDescent="0.2">
      <c r="A793">
        <v>11039</v>
      </c>
      <c r="B793" t="s">
        <v>324</v>
      </c>
      <c r="C793">
        <v>1</v>
      </c>
      <c r="D793" s="5">
        <v>35906</v>
      </c>
      <c r="E793" s="5">
        <v>35934</v>
      </c>
      <c r="F793" s="5" t="s">
        <v>18</v>
      </c>
      <c r="G793">
        <v>2</v>
      </c>
      <c r="H793" s="6">
        <v>65</v>
      </c>
      <c r="I793" t="s">
        <v>325</v>
      </c>
      <c r="J793" t="s">
        <v>326</v>
      </c>
      <c r="K793" t="s">
        <v>327</v>
      </c>
      <c r="L793" t="s">
        <v>328</v>
      </c>
      <c r="M793" s="7">
        <v>4980</v>
      </c>
      <c r="N793" t="s">
        <v>62</v>
      </c>
    </row>
    <row r="794" spans="1:14" x14ac:dyDescent="0.2">
      <c r="A794">
        <v>11040</v>
      </c>
      <c r="B794" t="s">
        <v>374</v>
      </c>
      <c r="C794">
        <v>4</v>
      </c>
      <c r="D794" s="5">
        <v>35907</v>
      </c>
      <c r="E794" s="5">
        <v>35935</v>
      </c>
      <c r="F794" s="5" t="s">
        <v>18</v>
      </c>
      <c r="G794">
        <v>3</v>
      </c>
      <c r="H794" s="6">
        <v>18.84</v>
      </c>
      <c r="I794" t="s">
        <v>375</v>
      </c>
      <c r="J794" t="s">
        <v>376</v>
      </c>
      <c r="K794" t="s">
        <v>377</v>
      </c>
      <c r="L794" t="s">
        <v>202</v>
      </c>
      <c r="M794" s="7">
        <v>97403</v>
      </c>
      <c r="N794" t="s">
        <v>86</v>
      </c>
    </row>
    <row r="795" spans="1:14" x14ac:dyDescent="0.2">
      <c r="A795">
        <v>11041</v>
      </c>
      <c r="B795" t="s">
        <v>42</v>
      </c>
      <c r="C795">
        <v>3</v>
      </c>
      <c r="D795" s="5">
        <v>35907</v>
      </c>
      <c r="E795" s="5">
        <v>35935</v>
      </c>
      <c r="F795" s="5">
        <v>35913</v>
      </c>
      <c r="G795">
        <v>2</v>
      </c>
      <c r="H795" s="6">
        <v>48.22</v>
      </c>
      <c r="I795" t="s">
        <v>43</v>
      </c>
      <c r="J795" t="s">
        <v>44</v>
      </c>
      <c r="K795" t="s">
        <v>45</v>
      </c>
      <c r="L795" t="s">
        <v>18</v>
      </c>
      <c r="M795" s="7">
        <v>3012</v>
      </c>
      <c r="N795" t="s">
        <v>46</v>
      </c>
    </row>
    <row r="796" spans="1:14" x14ac:dyDescent="0.2">
      <c r="A796">
        <v>11042</v>
      </c>
      <c r="B796" t="s">
        <v>170</v>
      </c>
      <c r="C796">
        <v>2</v>
      </c>
      <c r="D796" s="5">
        <v>35907</v>
      </c>
      <c r="E796" s="5">
        <v>35921</v>
      </c>
      <c r="F796" s="5">
        <v>35916</v>
      </c>
      <c r="G796">
        <v>1</v>
      </c>
      <c r="H796" s="6">
        <v>29.99</v>
      </c>
      <c r="I796" t="s">
        <v>171</v>
      </c>
      <c r="J796" t="s">
        <v>425</v>
      </c>
      <c r="K796" t="s">
        <v>173</v>
      </c>
      <c r="L796" t="s">
        <v>55</v>
      </c>
      <c r="M796" s="7" t="s">
        <v>174</v>
      </c>
      <c r="N796" t="s">
        <v>31</v>
      </c>
    </row>
    <row r="797" spans="1:14" x14ac:dyDescent="0.2">
      <c r="A797">
        <v>11043</v>
      </c>
      <c r="B797" t="s">
        <v>409</v>
      </c>
      <c r="C797">
        <v>5</v>
      </c>
      <c r="D797" s="5">
        <v>35907</v>
      </c>
      <c r="E797" s="5">
        <v>35935</v>
      </c>
      <c r="F797" s="5">
        <v>35914</v>
      </c>
      <c r="G797">
        <v>2</v>
      </c>
      <c r="H797" s="6">
        <v>8.8000000000000007</v>
      </c>
      <c r="I797" t="s">
        <v>410</v>
      </c>
      <c r="J797" t="s">
        <v>437</v>
      </c>
      <c r="K797" t="s">
        <v>412</v>
      </c>
      <c r="L797" t="s">
        <v>18</v>
      </c>
      <c r="M797" s="7">
        <v>75016</v>
      </c>
      <c r="N797" t="s">
        <v>19</v>
      </c>
    </row>
    <row r="798" spans="1:14" x14ac:dyDescent="0.2">
      <c r="A798">
        <v>11044</v>
      </c>
      <c r="B798" t="s">
        <v>303</v>
      </c>
      <c r="C798">
        <v>4</v>
      </c>
      <c r="D798" s="5">
        <v>35908</v>
      </c>
      <c r="E798" s="5">
        <v>35936</v>
      </c>
      <c r="F798" s="5">
        <v>35916</v>
      </c>
      <c r="G798">
        <v>1</v>
      </c>
      <c r="H798" s="6">
        <v>8.7200000000000006</v>
      </c>
      <c r="I798" t="s">
        <v>304</v>
      </c>
      <c r="J798" t="s">
        <v>305</v>
      </c>
      <c r="K798" t="s">
        <v>306</v>
      </c>
      <c r="L798" t="s">
        <v>18</v>
      </c>
      <c r="M798" s="7" t="s">
        <v>307</v>
      </c>
      <c r="N798" t="s">
        <v>308</v>
      </c>
    </row>
    <row r="799" spans="1:14" x14ac:dyDescent="0.2">
      <c r="A799">
        <v>11045</v>
      </c>
      <c r="B799" t="s">
        <v>318</v>
      </c>
      <c r="C799">
        <v>6</v>
      </c>
      <c r="D799" s="5">
        <v>35908</v>
      </c>
      <c r="E799" s="5">
        <v>35936</v>
      </c>
      <c r="F799" s="5" t="s">
        <v>18</v>
      </c>
      <c r="G799">
        <v>2</v>
      </c>
      <c r="H799" s="6">
        <v>70.58</v>
      </c>
      <c r="I799" t="s">
        <v>319</v>
      </c>
      <c r="J799" t="s">
        <v>320</v>
      </c>
      <c r="K799" t="s">
        <v>321</v>
      </c>
      <c r="L799" t="s">
        <v>322</v>
      </c>
      <c r="M799" s="7" t="s">
        <v>323</v>
      </c>
      <c r="N799" t="s">
        <v>249</v>
      </c>
    </row>
    <row r="800" spans="1:14" x14ac:dyDescent="0.2">
      <c r="A800">
        <v>11046</v>
      </c>
      <c r="B800" t="s">
        <v>185</v>
      </c>
      <c r="C800">
        <v>8</v>
      </c>
      <c r="D800" s="5">
        <v>35908</v>
      </c>
      <c r="E800" s="5">
        <v>35936</v>
      </c>
      <c r="F800" s="5">
        <v>35909</v>
      </c>
      <c r="G800">
        <v>2</v>
      </c>
      <c r="H800" s="6">
        <v>71.64</v>
      </c>
      <c r="I800" t="s">
        <v>186</v>
      </c>
      <c r="J800" t="s">
        <v>187</v>
      </c>
      <c r="K800" t="s">
        <v>188</v>
      </c>
      <c r="L800" t="s">
        <v>18</v>
      </c>
      <c r="M800" s="7">
        <v>70563</v>
      </c>
      <c r="N800" t="s">
        <v>24</v>
      </c>
    </row>
    <row r="801" spans="1:14" x14ac:dyDescent="0.2">
      <c r="A801">
        <v>11047</v>
      </c>
      <c r="B801" t="s">
        <v>284</v>
      </c>
      <c r="C801">
        <v>7</v>
      </c>
      <c r="D801" s="5">
        <v>35909</v>
      </c>
      <c r="E801" s="5">
        <v>35937</v>
      </c>
      <c r="F801" s="5">
        <v>35916</v>
      </c>
      <c r="G801">
        <v>3</v>
      </c>
      <c r="H801" s="6">
        <v>46.62</v>
      </c>
      <c r="I801" t="s">
        <v>285</v>
      </c>
      <c r="J801" t="s">
        <v>286</v>
      </c>
      <c r="K801" t="s">
        <v>167</v>
      </c>
      <c r="L801" t="s">
        <v>18</v>
      </c>
      <c r="M801" s="7" t="s">
        <v>287</v>
      </c>
      <c r="N801" t="s">
        <v>169</v>
      </c>
    </row>
    <row r="802" spans="1:14" x14ac:dyDescent="0.2">
      <c r="A802">
        <v>11048</v>
      </c>
      <c r="B802" t="s">
        <v>318</v>
      </c>
      <c r="C802">
        <v>7</v>
      </c>
      <c r="D802" s="5">
        <v>35909</v>
      </c>
      <c r="E802" s="5">
        <v>35937</v>
      </c>
      <c r="F802" s="5">
        <v>35915</v>
      </c>
      <c r="G802">
        <v>3</v>
      </c>
      <c r="H802" s="6">
        <v>24.12</v>
      </c>
      <c r="I802" t="s">
        <v>319</v>
      </c>
      <c r="J802" t="s">
        <v>320</v>
      </c>
      <c r="K802" t="s">
        <v>321</v>
      </c>
      <c r="L802" t="s">
        <v>322</v>
      </c>
      <c r="M802" s="7" t="s">
        <v>323</v>
      </c>
      <c r="N802" t="s">
        <v>249</v>
      </c>
    </row>
    <row r="803" spans="1:14" x14ac:dyDescent="0.2">
      <c r="A803">
        <v>11049</v>
      </c>
      <c r="B803" t="s">
        <v>342</v>
      </c>
      <c r="C803">
        <v>3</v>
      </c>
      <c r="D803" s="5">
        <v>35909</v>
      </c>
      <c r="E803" s="5">
        <v>35937</v>
      </c>
      <c r="F803" s="5">
        <v>35919</v>
      </c>
      <c r="G803">
        <v>1</v>
      </c>
      <c r="H803" s="6">
        <v>8.34</v>
      </c>
      <c r="I803" t="s">
        <v>343</v>
      </c>
      <c r="J803" t="s">
        <v>435</v>
      </c>
      <c r="K803" t="s">
        <v>345</v>
      </c>
      <c r="L803" t="s">
        <v>55</v>
      </c>
      <c r="M803" s="7" t="s">
        <v>346</v>
      </c>
      <c r="N803" t="s">
        <v>31</v>
      </c>
    </row>
    <row r="804" spans="1:14" x14ac:dyDescent="0.2">
      <c r="A804">
        <v>11050</v>
      </c>
      <c r="B804" t="s">
        <v>87</v>
      </c>
      <c r="C804">
        <v>8</v>
      </c>
      <c r="D804" s="5">
        <v>35912</v>
      </c>
      <c r="E804" s="5">
        <v>35940</v>
      </c>
      <c r="F804" s="5">
        <v>35920</v>
      </c>
      <c r="G804">
        <v>2</v>
      </c>
      <c r="H804" s="6">
        <v>59.41</v>
      </c>
      <c r="I804" t="s">
        <v>88</v>
      </c>
      <c r="J804" t="s">
        <v>89</v>
      </c>
      <c r="K804" t="s">
        <v>90</v>
      </c>
      <c r="L804" t="s">
        <v>18</v>
      </c>
      <c r="M804" s="7" t="s">
        <v>91</v>
      </c>
      <c r="N804" t="s">
        <v>92</v>
      </c>
    </row>
    <row r="805" spans="1:14" x14ac:dyDescent="0.2">
      <c r="A805">
        <v>11051</v>
      </c>
      <c r="B805" t="s">
        <v>262</v>
      </c>
      <c r="C805">
        <v>7</v>
      </c>
      <c r="D805" s="5">
        <v>35912</v>
      </c>
      <c r="E805" s="5">
        <v>35940</v>
      </c>
      <c r="F805" s="5" t="s">
        <v>18</v>
      </c>
      <c r="G805">
        <v>3</v>
      </c>
      <c r="H805" s="6">
        <v>2.79</v>
      </c>
      <c r="I805" t="s">
        <v>263</v>
      </c>
      <c r="J805" t="s">
        <v>264</v>
      </c>
      <c r="K805" t="s">
        <v>265</v>
      </c>
      <c r="L805" t="s">
        <v>18</v>
      </c>
      <c r="M805" s="7">
        <v>31000</v>
      </c>
      <c r="N805" t="s">
        <v>19</v>
      </c>
    </row>
    <row r="806" spans="1:14" x14ac:dyDescent="0.2">
      <c r="A806">
        <v>11052</v>
      </c>
      <c r="B806" t="s">
        <v>25</v>
      </c>
      <c r="C806">
        <v>3</v>
      </c>
      <c r="D806" s="5">
        <v>35912</v>
      </c>
      <c r="E806" s="5">
        <v>35940</v>
      </c>
      <c r="F806" s="5">
        <v>35916</v>
      </c>
      <c r="G806">
        <v>1</v>
      </c>
      <c r="H806" s="6">
        <v>67.260000000000005</v>
      </c>
      <c r="I806" t="s">
        <v>26</v>
      </c>
      <c r="J806" t="s">
        <v>417</v>
      </c>
      <c r="K806" t="s">
        <v>28</v>
      </c>
      <c r="L806" t="s">
        <v>29</v>
      </c>
      <c r="M806" s="7" t="s">
        <v>30</v>
      </c>
      <c r="N806" t="s">
        <v>31</v>
      </c>
    </row>
    <row r="807" spans="1:14" x14ac:dyDescent="0.2">
      <c r="A807">
        <v>11053</v>
      </c>
      <c r="B807" t="s">
        <v>266</v>
      </c>
      <c r="C807">
        <v>2</v>
      </c>
      <c r="D807" s="5">
        <v>35912</v>
      </c>
      <c r="E807" s="5">
        <v>35940</v>
      </c>
      <c r="F807" s="5">
        <v>35914</v>
      </c>
      <c r="G807">
        <v>2</v>
      </c>
      <c r="H807" s="6">
        <v>53.05</v>
      </c>
      <c r="I807" t="s">
        <v>267</v>
      </c>
      <c r="J807" t="s">
        <v>268</v>
      </c>
      <c r="K807" t="s">
        <v>269</v>
      </c>
      <c r="L807" t="s">
        <v>18</v>
      </c>
      <c r="M807" s="7">
        <v>5020</v>
      </c>
      <c r="N807" t="s">
        <v>67</v>
      </c>
    </row>
    <row r="808" spans="1:14" x14ac:dyDescent="0.2">
      <c r="A808">
        <v>11054</v>
      </c>
      <c r="B808" t="s">
        <v>371</v>
      </c>
      <c r="C808">
        <v>8</v>
      </c>
      <c r="D808" s="5">
        <v>35913</v>
      </c>
      <c r="E808" s="5">
        <v>35941</v>
      </c>
      <c r="F808" s="5" t="s">
        <v>18</v>
      </c>
      <c r="G808">
        <v>1</v>
      </c>
      <c r="H808" s="6">
        <v>0.33</v>
      </c>
      <c r="I808" t="s">
        <v>372</v>
      </c>
      <c r="J808" t="s">
        <v>373</v>
      </c>
      <c r="K808" t="s">
        <v>336</v>
      </c>
      <c r="L808" t="s">
        <v>18</v>
      </c>
      <c r="M808" s="7">
        <v>1010</v>
      </c>
      <c r="N808" t="s">
        <v>337</v>
      </c>
    </row>
    <row r="809" spans="1:14" x14ac:dyDescent="0.2">
      <c r="A809">
        <v>11055</v>
      </c>
      <c r="B809" t="s">
        <v>57</v>
      </c>
      <c r="C809">
        <v>7</v>
      </c>
      <c r="D809" s="5">
        <v>35913</v>
      </c>
      <c r="E809" s="5">
        <v>35941</v>
      </c>
      <c r="F809" s="5">
        <v>35920</v>
      </c>
      <c r="G809">
        <v>2</v>
      </c>
      <c r="H809" s="6">
        <v>120.92</v>
      </c>
      <c r="I809" t="s">
        <v>58</v>
      </c>
      <c r="J809" t="s">
        <v>59</v>
      </c>
      <c r="K809" t="s">
        <v>60</v>
      </c>
      <c r="L809" t="s">
        <v>61</v>
      </c>
      <c r="M809" s="7">
        <v>5022</v>
      </c>
      <c r="N809" t="s">
        <v>62</v>
      </c>
    </row>
    <row r="810" spans="1:14" x14ac:dyDescent="0.2">
      <c r="A810">
        <v>11056</v>
      </c>
      <c r="B810" t="s">
        <v>284</v>
      </c>
      <c r="C810">
        <v>8</v>
      </c>
      <c r="D810" s="5">
        <v>35913</v>
      </c>
      <c r="E810" s="5">
        <v>35927</v>
      </c>
      <c r="F810" s="5">
        <v>35916</v>
      </c>
      <c r="G810">
        <v>2</v>
      </c>
      <c r="H810" s="6">
        <v>278.95999999999998</v>
      </c>
      <c r="I810" t="s">
        <v>285</v>
      </c>
      <c r="J810" t="s">
        <v>286</v>
      </c>
      <c r="K810" t="s">
        <v>167</v>
      </c>
      <c r="L810" t="s">
        <v>18</v>
      </c>
      <c r="M810" s="7" t="s">
        <v>287</v>
      </c>
      <c r="N810" t="s">
        <v>169</v>
      </c>
    </row>
    <row r="811" spans="1:14" x14ac:dyDescent="0.2">
      <c r="A811">
        <v>11057</v>
      </c>
      <c r="B811" t="s">
        <v>367</v>
      </c>
      <c r="C811">
        <v>3</v>
      </c>
      <c r="D811" s="5">
        <v>35914</v>
      </c>
      <c r="E811" s="5">
        <v>35942</v>
      </c>
      <c r="F811" s="5">
        <v>35916</v>
      </c>
      <c r="G811">
        <v>3</v>
      </c>
      <c r="H811" s="6">
        <v>4.13</v>
      </c>
      <c r="I811" t="s">
        <v>368</v>
      </c>
      <c r="J811" t="s">
        <v>369</v>
      </c>
      <c r="K811" t="s">
        <v>167</v>
      </c>
      <c r="L811" t="s">
        <v>18</v>
      </c>
      <c r="M811" s="7" t="s">
        <v>370</v>
      </c>
      <c r="N811" t="s">
        <v>169</v>
      </c>
    </row>
    <row r="812" spans="1:14" x14ac:dyDescent="0.2">
      <c r="A812">
        <v>11058</v>
      </c>
      <c r="B812" t="s">
        <v>363</v>
      </c>
      <c r="C812">
        <v>9</v>
      </c>
      <c r="D812" s="5">
        <v>35914</v>
      </c>
      <c r="E812" s="5">
        <v>35942</v>
      </c>
      <c r="F812" s="5" t="s">
        <v>18</v>
      </c>
      <c r="G812">
        <v>3</v>
      </c>
      <c r="H812" s="6">
        <v>31.14</v>
      </c>
      <c r="I812" t="s">
        <v>364</v>
      </c>
      <c r="J812" t="s">
        <v>365</v>
      </c>
      <c r="K812" t="s">
        <v>366</v>
      </c>
      <c r="L812" t="s">
        <v>18</v>
      </c>
      <c r="M812" s="7">
        <v>68306</v>
      </c>
      <c r="N812" t="s">
        <v>24</v>
      </c>
    </row>
    <row r="813" spans="1:14" x14ac:dyDescent="0.2">
      <c r="A813">
        <v>11059</v>
      </c>
      <c r="B813" t="s">
        <v>156</v>
      </c>
      <c r="C813">
        <v>2</v>
      </c>
      <c r="D813" s="5">
        <v>35914</v>
      </c>
      <c r="E813" s="5">
        <v>35956</v>
      </c>
      <c r="F813" s="5" t="s">
        <v>18</v>
      </c>
      <c r="G813">
        <v>2</v>
      </c>
      <c r="H813" s="6">
        <v>85.8</v>
      </c>
      <c r="I813" t="s">
        <v>157</v>
      </c>
      <c r="J813" t="s">
        <v>424</v>
      </c>
      <c r="K813" t="s">
        <v>28</v>
      </c>
      <c r="L813" t="s">
        <v>29</v>
      </c>
      <c r="M813" s="7" t="s">
        <v>159</v>
      </c>
      <c r="N813" t="s">
        <v>31</v>
      </c>
    </row>
    <row r="814" spans="1:14" x14ac:dyDescent="0.2">
      <c r="A814">
        <v>11060</v>
      </c>
      <c r="B814" t="s">
        <v>338</v>
      </c>
      <c r="C814">
        <v>2</v>
      </c>
      <c r="D814" s="5">
        <v>35915</v>
      </c>
      <c r="E814" s="5">
        <v>35943</v>
      </c>
      <c r="F814" s="5">
        <v>35919</v>
      </c>
      <c r="G814">
        <v>2</v>
      </c>
      <c r="H814" s="6">
        <v>10.98</v>
      </c>
      <c r="I814" t="s">
        <v>339</v>
      </c>
      <c r="J814" t="s">
        <v>340</v>
      </c>
      <c r="K814" t="s">
        <v>341</v>
      </c>
      <c r="L814" t="s">
        <v>18</v>
      </c>
      <c r="M814" s="7">
        <v>10100</v>
      </c>
      <c r="N814" t="s">
        <v>129</v>
      </c>
    </row>
    <row r="815" spans="1:14" x14ac:dyDescent="0.2">
      <c r="A815">
        <v>11061</v>
      </c>
      <c r="B815" t="s">
        <v>374</v>
      </c>
      <c r="C815">
        <v>4</v>
      </c>
      <c r="D815" s="5">
        <v>35915</v>
      </c>
      <c r="E815" s="5">
        <v>35957</v>
      </c>
      <c r="F815" s="5" t="s">
        <v>18</v>
      </c>
      <c r="G815">
        <v>3</v>
      </c>
      <c r="H815" s="6">
        <v>14.01</v>
      </c>
      <c r="I815" t="s">
        <v>375</v>
      </c>
      <c r="J815" t="s">
        <v>376</v>
      </c>
      <c r="K815" t="s">
        <v>377</v>
      </c>
      <c r="L815" t="s">
        <v>202</v>
      </c>
      <c r="M815" s="7">
        <v>97403</v>
      </c>
      <c r="N815" t="s">
        <v>86</v>
      </c>
    </row>
    <row r="816" spans="1:14" x14ac:dyDescent="0.2">
      <c r="A816">
        <v>11062</v>
      </c>
      <c r="B816" t="s">
        <v>160</v>
      </c>
      <c r="C816">
        <v>4</v>
      </c>
      <c r="D816" s="5">
        <v>35915</v>
      </c>
      <c r="E816" s="5">
        <v>35943</v>
      </c>
      <c r="F816" s="5" t="s">
        <v>18</v>
      </c>
      <c r="G816">
        <v>2</v>
      </c>
      <c r="H816" s="6">
        <v>29.93</v>
      </c>
      <c r="I816" t="s">
        <v>161</v>
      </c>
      <c r="J816" t="s">
        <v>162</v>
      </c>
      <c r="K816" t="s">
        <v>163</v>
      </c>
      <c r="L816" t="s">
        <v>18</v>
      </c>
      <c r="M816" s="7">
        <v>42100</v>
      </c>
      <c r="N816" t="s">
        <v>129</v>
      </c>
    </row>
    <row r="817" spans="1:14" x14ac:dyDescent="0.2">
      <c r="A817">
        <v>11063</v>
      </c>
      <c r="B817" t="s">
        <v>179</v>
      </c>
      <c r="C817">
        <v>3</v>
      </c>
      <c r="D817" s="5">
        <v>35915</v>
      </c>
      <c r="E817" s="5">
        <v>35943</v>
      </c>
      <c r="F817" s="5">
        <v>35921</v>
      </c>
      <c r="G817">
        <v>2</v>
      </c>
      <c r="H817" s="6">
        <v>81.73</v>
      </c>
      <c r="I817" t="s">
        <v>180</v>
      </c>
      <c r="J817" t="s">
        <v>181</v>
      </c>
      <c r="K817" t="s">
        <v>182</v>
      </c>
      <c r="L817" t="s">
        <v>183</v>
      </c>
      <c r="M817" s="7" t="s">
        <v>18</v>
      </c>
      <c r="N817" t="s">
        <v>184</v>
      </c>
    </row>
    <row r="818" spans="1:14" x14ac:dyDescent="0.2">
      <c r="A818">
        <v>11064</v>
      </c>
      <c r="B818" t="s">
        <v>226</v>
      </c>
      <c r="C818">
        <v>1</v>
      </c>
      <c r="D818" s="5">
        <v>35916</v>
      </c>
      <c r="E818" s="5">
        <v>35944</v>
      </c>
      <c r="F818" s="5">
        <v>35919</v>
      </c>
      <c r="G818">
        <v>1</v>
      </c>
      <c r="H818" s="6">
        <v>30.09</v>
      </c>
      <c r="I818" t="s">
        <v>227</v>
      </c>
      <c r="J818" t="s">
        <v>228</v>
      </c>
      <c r="K818" t="s">
        <v>229</v>
      </c>
      <c r="L818" t="s">
        <v>230</v>
      </c>
      <c r="M818" s="7">
        <v>83720</v>
      </c>
      <c r="N818" t="s">
        <v>86</v>
      </c>
    </row>
    <row r="819" spans="1:14" x14ac:dyDescent="0.2">
      <c r="A819">
        <v>11065</v>
      </c>
      <c r="B819" t="s">
        <v>151</v>
      </c>
      <c r="C819">
        <v>8</v>
      </c>
      <c r="D819" s="5">
        <v>35916</v>
      </c>
      <c r="E819" s="5">
        <v>35944</v>
      </c>
      <c r="F819" s="5" t="s">
        <v>18</v>
      </c>
      <c r="G819">
        <v>1</v>
      </c>
      <c r="H819" s="6">
        <v>12.91</v>
      </c>
      <c r="I819" t="s">
        <v>152</v>
      </c>
      <c r="J819" t="s">
        <v>153</v>
      </c>
      <c r="K819" t="s">
        <v>154</v>
      </c>
      <c r="L819" t="s">
        <v>155</v>
      </c>
      <c r="M819" s="7">
        <v>3508</v>
      </c>
      <c r="N819" t="s">
        <v>62</v>
      </c>
    </row>
    <row r="820" spans="1:14" x14ac:dyDescent="0.2">
      <c r="A820">
        <v>11066</v>
      </c>
      <c r="B820" t="s">
        <v>111</v>
      </c>
      <c r="C820">
        <v>7</v>
      </c>
      <c r="D820" s="5">
        <v>35916</v>
      </c>
      <c r="E820" s="5">
        <v>35944</v>
      </c>
      <c r="F820" s="5">
        <v>35919</v>
      </c>
      <c r="G820">
        <v>2</v>
      </c>
      <c r="H820" s="6">
        <v>44.72</v>
      </c>
      <c r="I820" t="s">
        <v>112</v>
      </c>
      <c r="J820" t="s">
        <v>113</v>
      </c>
      <c r="K820" t="s">
        <v>114</v>
      </c>
      <c r="L820" t="s">
        <v>115</v>
      </c>
      <c r="M820" s="7">
        <v>98124</v>
      </c>
      <c r="N820" t="s">
        <v>86</v>
      </c>
    </row>
    <row r="821" spans="1:14" x14ac:dyDescent="0.2">
      <c r="A821">
        <v>11067</v>
      </c>
      <c r="B821" t="s">
        <v>280</v>
      </c>
      <c r="C821">
        <v>1</v>
      </c>
      <c r="D821" s="5">
        <v>35919</v>
      </c>
      <c r="E821" s="5">
        <v>35933</v>
      </c>
      <c r="F821" s="5">
        <v>35921</v>
      </c>
      <c r="G821">
        <v>2</v>
      </c>
      <c r="H821" s="6">
        <v>7.98</v>
      </c>
      <c r="I821" t="s">
        <v>281</v>
      </c>
      <c r="J821" t="s">
        <v>282</v>
      </c>
      <c r="K821" t="s">
        <v>283</v>
      </c>
      <c r="L821" t="s">
        <v>18</v>
      </c>
      <c r="M821" s="7">
        <v>52066</v>
      </c>
      <c r="N821" t="s">
        <v>24</v>
      </c>
    </row>
    <row r="822" spans="1:14" x14ac:dyDescent="0.2">
      <c r="A822">
        <v>11068</v>
      </c>
      <c r="B822" t="s">
        <v>299</v>
      </c>
      <c r="C822">
        <v>8</v>
      </c>
      <c r="D822" s="5">
        <v>35919</v>
      </c>
      <c r="E822" s="5">
        <v>35947</v>
      </c>
      <c r="F822" s="5" t="s">
        <v>18</v>
      </c>
      <c r="G822">
        <v>2</v>
      </c>
      <c r="H822" s="6">
        <v>81.75</v>
      </c>
      <c r="I822" t="s">
        <v>300</v>
      </c>
      <c r="J822" t="s">
        <v>433</v>
      </c>
      <c r="K822" t="s">
        <v>173</v>
      </c>
      <c r="L822" t="s">
        <v>55</v>
      </c>
      <c r="M822" s="7" t="s">
        <v>302</v>
      </c>
      <c r="N822" t="s">
        <v>31</v>
      </c>
    </row>
    <row r="823" spans="1:14" x14ac:dyDescent="0.2">
      <c r="A823">
        <v>11069</v>
      </c>
      <c r="B823" t="s">
        <v>130</v>
      </c>
      <c r="C823">
        <v>1</v>
      </c>
      <c r="D823" s="5">
        <v>35919</v>
      </c>
      <c r="E823" s="5">
        <v>35947</v>
      </c>
      <c r="F823" s="5">
        <v>35921</v>
      </c>
      <c r="G823">
        <v>2</v>
      </c>
      <c r="H823" s="6">
        <v>15.67</v>
      </c>
      <c r="I823" t="s">
        <v>131</v>
      </c>
      <c r="J823" t="s">
        <v>132</v>
      </c>
      <c r="K823" t="s">
        <v>71</v>
      </c>
      <c r="L823" t="s">
        <v>18</v>
      </c>
      <c r="M823" s="7">
        <v>5033</v>
      </c>
      <c r="N823" t="s">
        <v>72</v>
      </c>
    </row>
    <row r="824" spans="1:14" x14ac:dyDescent="0.2">
      <c r="A824">
        <v>11070</v>
      </c>
      <c r="B824" t="s">
        <v>142</v>
      </c>
      <c r="C824">
        <v>2</v>
      </c>
      <c r="D824" s="5">
        <v>35920</v>
      </c>
      <c r="E824" s="5">
        <v>35948</v>
      </c>
      <c r="F824" s="5" t="s">
        <v>18</v>
      </c>
      <c r="G824">
        <v>1</v>
      </c>
      <c r="H824" s="6">
        <v>136</v>
      </c>
      <c r="I824" t="s">
        <v>143</v>
      </c>
      <c r="J824" t="s">
        <v>144</v>
      </c>
      <c r="K824" t="s">
        <v>145</v>
      </c>
      <c r="L824" t="s">
        <v>18</v>
      </c>
      <c r="M824" s="7">
        <v>60528</v>
      </c>
      <c r="N824" t="s">
        <v>24</v>
      </c>
    </row>
    <row r="825" spans="1:14" x14ac:dyDescent="0.2">
      <c r="A825">
        <v>11071</v>
      </c>
      <c r="B825" t="s">
        <v>151</v>
      </c>
      <c r="C825">
        <v>1</v>
      </c>
      <c r="D825" s="5">
        <v>35920</v>
      </c>
      <c r="E825" s="5">
        <v>35948</v>
      </c>
      <c r="F825" s="5" t="s">
        <v>18</v>
      </c>
      <c r="G825">
        <v>1</v>
      </c>
      <c r="H825" s="6">
        <v>0.93</v>
      </c>
      <c r="I825" t="s">
        <v>152</v>
      </c>
      <c r="J825" t="s">
        <v>153</v>
      </c>
      <c r="K825" t="s">
        <v>154</v>
      </c>
      <c r="L825" t="s">
        <v>155</v>
      </c>
      <c r="M825" s="7">
        <v>3508</v>
      </c>
      <c r="N825" t="s">
        <v>62</v>
      </c>
    </row>
    <row r="826" spans="1:14" x14ac:dyDescent="0.2">
      <c r="A826">
        <v>11072</v>
      </c>
      <c r="B826" t="s">
        <v>63</v>
      </c>
      <c r="C826">
        <v>4</v>
      </c>
      <c r="D826" s="5">
        <v>35920</v>
      </c>
      <c r="E826" s="5">
        <v>35948</v>
      </c>
      <c r="F826" s="5" t="s">
        <v>18</v>
      </c>
      <c r="G826">
        <v>2</v>
      </c>
      <c r="H826" s="6">
        <v>258.64</v>
      </c>
      <c r="I826" t="s">
        <v>64</v>
      </c>
      <c r="J826" t="s">
        <v>65</v>
      </c>
      <c r="K826" t="s">
        <v>66</v>
      </c>
      <c r="L826" t="s">
        <v>18</v>
      </c>
      <c r="M826" s="7">
        <v>8010</v>
      </c>
      <c r="N826" t="s">
        <v>67</v>
      </c>
    </row>
    <row r="827" spans="1:14" x14ac:dyDescent="0.2">
      <c r="A827">
        <v>11073</v>
      </c>
      <c r="B827" t="s">
        <v>219</v>
      </c>
      <c r="C827">
        <v>2</v>
      </c>
      <c r="D827" s="5">
        <v>35920</v>
      </c>
      <c r="E827" s="5">
        <v>35948</v>
      </c>
      <c r="F827" s="5" t="s">
        <v>18</v>
      </c>
      <c r="G827">
        <v>2</v>
      </c>
      <c r="H827" s="6">
        <v>24.95</v>
      </c>
      <c r="I827" t="s">
        <v>220</v>
      </c>
      <c r="J827" t="s">
        <v>221</v>
      </c>
      <c r="K827" t="s">
        <v>71</v>
      </c>
      <c r="L827" t="s">
        <v>18</v>
      </c>
      <c r="M827" s="7">
        <v>5033</v>
      </c>
      <c r="N827" t="s">
        <v>72</v>
      </c>
    </row>
    <row r="828" spans="1:14" x14ac:dyDescent="0.2">
      <c r="A828">
        <v>11074</v>
      </c>
      <c r="B828" t="s">
        <v>253</v>
      </c>
      <c r="C828">
        <v>7</v>
      </c>
      <c r="D828" s="5">
        <v>35921</v>
      </c>
      <c r="E828" s="5">
        <v>35949</v>
      </c>
      <c r="F828" s="5" t="s">
        <v>18</v>
      </c>
      <c r="G828">
        <v>2</v>
      </c>
      <c r="H828" s="6">
        <v>18.440000000000001</v>
      </c>
      <c r="I828" t="s">
        <v>254</v>
      </c>
      <c r="J828" t="s">
        <v>255</v>
      </c>
      <c r="K828" t="s">
        <v>256</v>
      </c>
      <c r="L828" t="s">
        <v>18</v>
      </c>
      <c r="M828" s="7">
        <v>1734</v>
      </c>
      <c r="N828" t="s">
        <v>257</v>
      </c>
    </row>
    <row r="829" spans="1:14" x14ac:dyDescent="0.2">
      <c r="A829">
        <v>11075</v>
      </c>
      <c r="B829" t="s">
        <v>47</v>
      </c>
      <c r="C829">
        <v>8</v>
      </c>
      <c r="D829" s="5">
        <v>35921</v>
      </c>
      <c r="E829" s="5">
        <v>35949</v>
      </c>
      <c r="F829" s="5" t="s">
        <v>18</v>
      </c>
      <c r="G829">
        <v>2</v>
      </c>
      <c r="H829" s="6">
        <v>6.19</v>
      </c>
      <c r="I829" t="s">
        <v>48</v>
      </c>
      <c r="J829" t="s">
        <v>49</v>
      </c>
      <c r="K829" t="s">
        <v>50</v>
      </c>
      <c r="L829" t="s">
        <v>18</v>
      </c>
      <c r="M829" s="7">
        <v>1204</v>
      </c>
      <c r="N829" t="s">
        <v>46</v>
      </c>
    </row>
    <row r="830" spans="1:14" x14ac:dyDescent="0.2">
      <c r="A830">
        <v>11076</v>
      </c>
      <c r="B830" t="s">
        <v>239</v>
      </c>
      <c r="C830">
        <v>4</v>
      </c>
      <c r="D830" s="5">
        <v>35921</v>
      </c>
      <c r="E830" s="5">
        <v>35949</v>
      </c>
      <c r="F830" s="5" t="s">
        <v>18</v>
      </c>
      <c r="G830">
        <v>2</v>
      </c>
      <c r="H830" s="6">
        <v>38.28</v>
      </c>
      <c r="I830" t="s">
        <v>240</v>
      </c>
      <c r="J830" t="s">
        <v>430</v>
      </c>
      <c r="K830" t="s">
        <v>242</v>
      </c>
      <c r="L830" t="s">
        <v>18</v>
      </c>
      <c r="M830" s="7">
        <v>13008</v>
      </c>
      <c r="N830" t="s">
        <v>19</v>
      </c>
    </row>
    <row r="831" spans="1:14" x14ac:dyDescent="0.2">
      <c r="A831">
        <v>11077</v>
      </c>
      <c r="B831" t="s">
        <v>81</v>
      </c>
      <c r="C831">
        <v>1</v>
      </c>
      <c r="D831" s="5">
        <v>35921</v>
      </c>
      <c r="E831" s="5">
        <v>35949</v>
      </c>
      <c r="F831" s="5" t="s">
        <v>18</v>
      </c>
      <c r="G831">
        <v>2</v>
      </c>
      <c r="H831" s="6">
        <v>8.5299999999999994</v>
      </c>
      <c r="I831" t="s">
        <v>82</v>
      </c>
      <c r="J831" t="s">
        <v>83</v>
      </c>
      <c r="K831" t="s">
        <v>84</v>
      </c>
      <c r="L831" t="s">
        <v>85</v>
      </c>
      <c r="M831" s="7">
        <v>87110</v>
      </c>
      <c r="N831" t="s">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8541B-A08C-D44B-AB62-E67C1B3D5B90}">
  <dimension ref="A1:E2156"/>
  <sheetViews>
    <sheetView zoomScale="82" zoomScaleNormal="100" workbookViewId="0">
      <selection activeCell="F1" sqref="F1"/>
    </sheetView>
  </sheetViews>
  <sheetFormatPr baseColWidth="10" defaultRowHeight="16" x14ac:dyDescent="0.2"/>
  <cols>
    <col min="1" max="1" width="7.33203125" bestFit="1" customWidth="1"/>
    <col min="2" max="2" width="9.33203125" bestFit="1" customWidth="1"/>
    <col min="3" max="3" width="9.83203125" style="6" bestFit="1" customWidth="1"/>
    <col min="4" max="4" width="9.1640625" style="6" bestFit="1" customWidth="1"/>
    <col min="5" max="5" width="8.1640625" style="8" bestFit="1" customWidth="1"/>
  </cols>
  <sheetData>
    <row r="1" spans="1:5" x14ac:dyDescent="0.2">
      <c r="A1" t="s">
        <v>0</v>
      </c>
      <c r="B1" t="s">
        <v>439</v>
      </c>
      <c r="C1" s="6" t="s">
        <v>440</v>
      </c>
      <c r="D1" s="6" t="s">
        <v>441</v>
      </c>
      <c r="E1" s="8" t="s">
        <v>442</v>
      </c>
    </row>
    <row r="2" spans="1:5" x14ac:dyDescent="0.2">
      <c r="A2">
        <v>10248</v>
      </c>
      <c r="B2">
        <v>11</v>
      </c>
      <c r="C2" s="6">
        <v>14</v>
      </c>
      <c r="D2" s="6">
        <v>12</v>
      </c>
      <c r="E2" s="8">
        <v>0</v>
      </c>
    </row>
    <row r="3" spans="1:5" x14ac:dyDescent="0.2">
      <c r="A3">
        <v>10248</v>
      </c>
      <c r="B3">
        <v>42</v>
      </c>
      <c r="C3" s="6">
        <v>9.8000000000000007</v>
      </c>
      <c r="D3" s="6">
        <v>10</v>
      </c>
      <c r="E3" s="8">
        <v>0</v>
      </c>
    </row>
    <row r="4" spans="1:5" x14ac:dyDescent="0.2">
      <c r="A4">
        <v>10248</v>
      </c>
      <c r="B4">
        <v>72</v>
      </c>
      <c r="C4" s="6">
        <v>34.799999999999997</v>
      </c>
      <c r="D4" s="6">
        <v>5</v>
      </c>
      <c r="E4" s="8">
        <v>0</v>
      </c>
    </row>
    <row r="5" spans="1:5" x14ac:dyDescent="0.2">
      <c r="A5">
        <v>10249</v>
      </c>
      <c r="B5">
        <v>14</v>
      </c>
      <c r="C5" s="6">
        <v>18.600000000000001</v>
      </c>
      <c r="D5" s="6">
        <v>9</v>
      </c>
      <c r="E5" s="8">
        <v>0</v>
      </c>
    </row>
    <row r="6" spans="1:5" x14ac:dyDescent="0.2">
      <c r="A6">
        <v>10249</v>
      </c>
      <c r="B6">
        <v>51</v>
      </c>
      <c r="C6" s="6">
        <v>42.4</v>
      </c>
      <c r="D6" s="6">
        <v>40</v>
      </c>
      <c r="E6" s="8">
        <v>0</v>
      </c>
    </row>
    <row r="7" spans="1:5" x14ac:dyDescent="0.2">
      <c r="A7">
        <v>10250</v>
      </c>
      <c r="B7">
        <v>41</v>
      </c>
      <c r="C7" s="6">
        <v>7.7</v>
      </c>
      <c r="D7" s="6">
        <v>10</v>
      </c>
      <c r="E7" s="8">
        <v>0</v>
      </c>
    </row>
    <row r="8" spans="1:5" x14ac:dyDescent="0.2">
      <c r="A8">
        <v>10250</v>
      </c>
      <c r="B8">
        <v>51</v>
      </c>
      <c r="C8" s="6">
        <v>42.4</v>
      </c>
      <c r="D8" s="6">
        <v>35</v>
      </c>
      <c r="E8" s="8">
        <v>0.15</v>
      </c>
    </row>
    <row r="9" spans="1:5" x14ac:dyDescent="0.2">
      <c r="A9">
        <v>10250</v>
      </c>
      <c r="B9">
        <v>65</v>
      </c>
      <c r="C9" s="6">
        <v>16.8</v>
      </c>
      <c r="D9" s="6">
        <v>15</v>
      </c>
      <c r="E9" s="8">
        <v>0.15</v>
      </c>
    </row>
    <row r="10" spans="1:5" x14ac:dyDescent="0.2">
      <c r="A10">
        <v>10251</v>
      </c>
      <c r="B10">
        <v>22</v>
      </c>
      <c r="C10" s="6">
        <v>16.8</v>
      </c>
      <c r="D10" s="6">
        <v>6</v>
      </c>
      <c r="E10" s="8">
        <v>0.05</v>
      </c>
    </row>
    <row r="11" spans="1:5" x14ac:dyDescent="0.2">
      <c r="A11">
        <v>10251</v>
      </c>
      <c r="B11">
        <v>57</v>
      </c>
      <c r="C11" s="6">
        <v>15.6</v>
      </c>
      <c r="D11" s="6">
        <v>15</v>
      </c>
      <c r="E11" s="8">
        <v>0.05</v>
      </c>
    </row>
    <row r="12" spans="1:5" x14ac:dyDescent="0.2">
      <c r="A12">
        <v>10251</v>
      </c>
      <c r="B12">
        <v>65</v>
      </c>
      <c r="C12" s="6">
        <v>16.8</v>
      </c>
      <c r="D12" s="6">
        <v>20</v>
      </c>
      <c r="E12" s="8">
        <v>0</v>
      </c>
    </row>
    <row r="13" spans="1:5" x14ac:dyDescent="0.2">
      <c r="A13">
        <v>10252</v>
      </c>
      <c r="B13">
        <v>20</v>
      </c>
      <c r="C13" s="6">
        <v>64.8</v>
      </c>
      <c r="D13" s="6">
        <v>40</v>
      </c>
      <c r="E13" s="8">
        <v>0.05</v>
      </c>
    </row>
    <row r="14" spans="1:5" x14ac:dyDescent="0.2">
      <c r="A14">
        <v>10252</v>
      </c>
      <c r="B14">
        <v>33</v>
      </c>
      <c r="C14" s="6">
        <v>2</v>
      </c>
      <c r="D14" s="6">
        <v>25</v>
      </c>
      <c r="E14" s="8">
        <v>0.05</v>
      </c>
    </row>
    <row r="15" spans="1:5" x14ac:dyDescent="0.2">
      <c r="A15">
        <v>10252</v>
      </c>
      <c r="B15">
        <v>60</v>
      </c>
      <c r="C15" s="6">
        <v>27.2</v>
      </c>
      <c r="D15" s="6">
        <v>40</v>
      </c>
      <c r="E15" s="8">
        <v>0</v>
      </c>
    </row>
    <row r="16" spans="1:5" x14ac:dyDescent="0.2">
      <c r="A16">
        <v>10253</v>
      </c>
      <c r="B16">
        <v>31</v>
      </c>
      <c r="C16" s="6">
        <v>10</v>
      </c>
      <c r="D16" s="6">
        <v>20</v>
      </c>
      <c r="E16" s="8">
        <v>0</v>
      </c>
    </row>
    <row r="17" spans="1:5" x14ac:dyDescent="0.2">
      <c r="A17">
        <v>10253</v>
      </c>
      <c r="B17">
        <v>39</v>
      </c>
      <c r="C17" s="6">
        <v>14.4</v>
      </c>
      <c r="D17" s="6">
        <v>42</v>
      </c>
      <c r="E17" s="8">
        <v>0</v>
      </c>
    </row>
    <row r="18" spans="1:5" x14ac:dyDescent="0.2">
      <c r="A18">
        <v>10253</v>
      </c>
      <c r="B18">
        <v>49</v>
      </c>
      <c r="C18" s="6">
        <v>16</v>
      </c>
      <c r="D18" s="6">
        <v>40</v>
      </c>
      <c r="E18" s="8">
        <v>0</v>
      </c>
    </row>
    <row r="19" spans="1:5" x14ac:dyDescent="0.2">
      <c r="A19">
        <v>10254</v>
      </c>
      <c r="B19">
        <v>24</v>
      </c>
      <c r="C19" s="6">
        <v>3.6</v>
      </c>
      <c r="D19" s="6">
        <v>15</v>
      </c>
      <c r="E19" s="8">
        <v>0.15</v>
      </c>
    </row>
    <row r="20" spans="1:5" x14ac:dyDescent="0.2">
      <c r="A20">
        <v>10254</v>
      </c>
      <c r="B20">
        <v>55</v>
      </c>
      <c r="C20" s="6">
        <v>19.2</v>
      </c>
      <c r="D20" s="6">
        <v>21</v>
      </c>
      <c r="E20" s="8">
        <v>0.15</v>
      </c>
    </row>
    <row r="21" spans="1:5" x14ac:dyDescent="0.2">
      <c r="A21">
        <v>10254</v>
      </c>
      <c r="B21">
        <v>74</v>
      </c>
      <c r="C21" s="6">
        <v>8</v>
      </c>
      <c r="D21" s="6">
        <v>21</v>
      </c>
      <c r="E21" s="8">
        <v>0</v>
      </c>
    </row>
    <row r="22" spans="1:5" x14ac:dyDescent="0.2">
      <c r="A22">
        <v>10255</v>
      </c>
      <c r="B22">
        <v>2</v>
      </c>
      <c r="C22" s="6">
        <v>15.2</v>
      </c>
      <c r="D22" s="6">
        <v>20</v>
      </c>
      <c r="E22" s="8">
        <v>0</v>
      </c>
    </row>
    <row r="23" spans="1:5" x14ac:dyDescent="0.2">
      <c r="A23">
        <v>10255</v>
      </c>
      <c r="B23">
        <v>16</v>
      </c>
      <c r="C23" s="6">
        <v>13.9</v>
      </c>
      <c r="D23" s="6">
        <v>35</v>
      </c>
      <c r="E23" s="8">
        <v>0</v>
      </c>
    </row>
    <row r="24" spans="1:5" x14ac:dyDescent="0.2">
      <c r="A24">
        <v>10255</v>
      </c>
      <c r="B24">
        <v>36</v>
      </c>
      <c r="C24" s="6">
        <v>15.2</v>
      </c>
      <c r="D24" s="6">
        <v>25</v>
      </c>
      <c r="E24" s="8">
        <v>0</v>
      </c>
    </row>
    <row r="25" spans="1:5" x14ac:dyDescent="0.2">
      <c r="A25">
        <v>10255</v>
      </c>
      <c r="B25">
        <v>59</v>
      </c>
      <c r="C25" s="6">
        <v>44</v>
      </c>
      <c r="D25" s="6">
        <v>30</v>
      </c>
      <c r="E25" s="8">
        <v>0</v>
      </c>
    </row>
    <row r="26" spans="1:5" x14ac:dyDescent="0.2">
      <c r="A26">
        <v>10256</v>
      </c>
      <c r="B26">
        <v>53</v>
      </c>
      <c r="C26" s="6">
        <v>26.2</v>
      </c>
      <c r="D26" s="6">
        <v>15</v>
      </c>
      <c r="E26" s="8">
        <v>0</v>
      </c>
    </row>
    <row r="27" spans="1:5" x14ac:dyDescent="0.2">
      <c r="A27">
        <v>10256</v>
      </c>
      <c r="B27">
        <v>77</v>
      </c>
      <c r="C27" s="6">
        <v>10.4</v>
      </c>
      <c r="D27" s="6">
        <v>12</v>
      </c>
      <c r="E27" s="8">
        <v>0</v>
      </c>
    </row>
    <row r="28" spans="1:5" x14ac:dyDescent="0.2">
      <c r="A28">
        <v>10257</v>
      </c>
      <c r="B28">
        <v>27</v>
      </c>
      <c r="C28" s="6">
        <v>35.1</v>
      </c>
      <c r="D28" s="6">
        <v>25</v>
      </c>
      <c r="E28" s="8">
        <v>0</v>
      </c>
    </row>
    <row r="29" spans="1:5" x14ac:dyDescent="0.2">
      <c r="A29">
        <v>10257</v>
      </c>
      <c r="B29">
        <v>39</v>
      </c>
      <c r="C29" s="6">
        <v>14.4</v>
      </c>
      <c r="D29" s="6">
        <v>6</v>
      </c>
      <c r="E29" s="8">
        <v>0</v>
      </c>
    </row>
    <row r="30" spans="1:5" x14ac:dyDescent="0.2">
      <c r="A30">
        <v>10257</v>
      </c>
      <c r="B30">
        <v>77</v>
      </c>
      <c r="C30" s="6">
        <v>10.4</v>
      </c>
      <c r="D30" s="6">
        <v>15</v>
      </c>
      <c r="E30" s="8">
        <v>0</v>
      </c>
    </row>
    <row r="31" spans="1:5" x14ac:dyDescent="0.2">
      <c r="A31">
        <v>10258</v>
      </c>
      <c r="B31">
        <v>2</v>
      </c>
      <c r="C31" s="6">
        <v>15.2</v>
      </c>
      <c r="D31" s="6">
        <v>50</v>
      </c>
      <c r="E31" s="8">
        <v>0.2</v>
      </c>
    </row>
    <row r="32" spans="1:5" x14ac:dyDescent="0.2">
      <c r="A32">
        <v>10258</v>
      </c>
      <c r="B32">
        <v>5</v>
      </c>
      <c r="C32" s="6">
        <v>17</v>
      </c>
      <c r="D32" s="6">
        <v>65</v>
      </c>
      <c r="E32" s="8">
        <v>0.2</v>
      </c>
    </row>
    <row r="33" spans="1:5" x14ac:dyDescent="0.2">
      <c r="A33">
        <v>10258</v>
      </c>
      <c r="B33">
        <v>32</v>
      </c>
      <c r="C33" s="6">
        <v>25.6</v>
      </c>
      <c r="D33" s="6">
        <v>6</v>
      </c>
      <c r="E33" s="8">
        <v>0.2</v>
      </c>
    </row>
    <row r="34" spans="1:5" x14ac:dyDescent="0.2">
      <c r="A34">
        <v>10259</v>
      </c>
      <c r="B34">
        <v>21</v>
      </c>
      <c r="C34" s="6">
        <v>8</v>
      </c>
      <c r="D34" s="6">
        <v>10</v>
      </c>
      <c r="E34" s="8">
        <v>0</v>
      </c>
    </row>
    <row r="35" spans="1:5" x14ac:dyDescent="0.2">
      <c r="A35">
        <v>10259</v>
      </c>
      <c r="B35">
        <v>37</v>
      </c>
      <c r="C35" s="6">
        <v>20.8</v>
      </c>
      <c r="D35" s="6">
        <v>1</v>
      </c>
      <c r="E35" s="8">
        <v>0</v>
      </c>
    </row>
    <row r="36" spans="1:5" x14ac:dyDescent="0.2">
      <c r="A36">
        <v>10260</v>
      </c>
      <c r="B36">
        <v>41</v>
      </c>
      <c r="C36" s="6">
        <v>7.7</v>
      </c>
      <c r="D36" s="6">
        <v>16</v>
      </c>
      <c r="E36" s="8">
        <v>0.25</v>
      </c>
    </row>
    <row r="37" spans="1:5" x14ac:dyDescent="0.2">
      <c r="A37">
        <v>10260</v>
      </c>
      <c r="B37">
        <v>57</v>
      </c>
      <c r="C37" s="6">
        <v>15.6</v>
      </c>
      <c r="D37" s="6">
        <v>50</v>
      </c>
      <c r="E37" s="8">
        <v>0</v>
      </c>
    </row>
    <row r="38" spans="1:5" x14ac:dyDescent="0.2">
      <c r="A38">
        <v>10260</v>
      </c>
      <c r="B38">
        <v>62</v>
      </c>
      <c r="C38" s="6">
        <v>39.4</v>
      </c>
      <c r="D38" s="6">
        <v>15</v>
      </c>
      <c r="E38" s="8">
        <v>0.25</v>
      </c>
    </row>
    <row r="39" spans="1:5" x14ac:dyDescent="0.2">
      <c r="A39">
        <v>10260</v>
      </c>
      <c r="B39">
        <v>70</v>
      </c>
      <c r="C39" s="6">
        <v>12</v>
      </c>
      <c r="D39" s="6">
        <v>21</v>
      </c>
      <c r="E39" s="8">
        <v>0.25</v>
      </c>
    </row>
    <row r="40" spans="1:5" x14ac:dyDescent="0.2">
      <c r="A40">
        <v>10261</v>
      </c>
      <c r="B40">
        <v>21</v>
      </c>
      <c r="C40" s="6">
        <v>8</v>
      </c>
      <c r="D40" s="6">
        <v>20</v>
      </c>
      <c r="E40" s="8">
        <v>0</v>
      </c>
    </row>
    <row r="41" spans="1:5" x14ac:dyDescent="0.2">
      <c r="A41">
        <v>10261</v>
      </c>
      <c r="B41">
        <v>35</v>
      </c>
      <c r="C41" s="6">
        <v>14.4</v>
      </c>
      <c r="D41" s="6">
        <v>20</v>
      </c>
      <c r="E41" s="8">
        <v>0</v>
      </c>
    </row>
    <row r="42" spans="1:5" x14ac:dyDescent="0.2">
      <c r="A42">
        <v>10262</v>
      </c>
      <c r="B42">
        <v>5</v>
      </c>
      <c r="C42" s="6">
        <v>17</v>
      </c>
      <c r="D42" s="6">
        <v>12</v>
      </c>
      <c r="E42" s="8">
        <v>0.2</v>
      </c>
    </row>
    <row r="43" spans="1:5" x14ac:dyDescent="0.2">
      <c r="A43">
        <v>10262</v>
      </c>
      <c r="B43">
        <v>7</v>
      </c>
      <c r="C43" s="6">
        <v>24</v>
      </c>
      <c r="D43" s="6">
        <v>15</v>
      </c>
      <c r="E43" s="8">
        <v>0</v>
      </c>
    </row>
    <row r="44" spans="1:5" x14ac:dyDescent="0.2">
      <c r="A44">
        <v>10262</v>
      </c>
      <c r="B44">
        <v>56</v>
      </c>
      <c r="C44" s="6">
        <v>30.4</v>
      </c>
      <c r="D44" s="6">
        <v>2</v>
      </c>
      <c r="E44" s="8">
        <v>0</v>
      </c>
    </row>
    <row r="45" spans="1:5" x14ac:dyDescent="0.2">
      <c r="A45">
        <v>10263</v>
      </c>
      <c r="B45">
        <v>16</v>
      </c>
      <c r="C45" s="6">
        <v>13.9</v>
      </c>
      <c r="D45" s="6">
        <v>60</v>
      </c>
      <c r="E45" s="8">
        <v>0.25</v>
      </c>
    </row>
    <row r="46" spans="1:5" x14ac:dyDescent="0.2">
      <c r="A46">
        <v>10263</v>
      </c>
      <c r="B46">
        <v>24</v>
      </c>
      <c r="C46" s="6">
        <v>3.6</v>
      </c>
      <c r="D46" s="6">
        <v>28</v>
      </c>
      <c r="E46" s="8">
        <v>0</v>
      </c>
    </row>
    <row r="47" spans="1:5" x14ac:dyDescent="0.2">
      <c r="A47">
        <v>10263</v>
      </c>
      <c r="B47">
        <v>30</v>
      </c>
      <c r="C47" s="6">
        <v>20.7</v>
      </c>
      <c r="D47" s="6">
        <v>60</v>
      </c>
      <c r="E47" s="8">
        <v>0.25</v>
      </c>
    </row>
    <row r="48" spans="1:5" x14ac:dyDescent="0.2">
      <c r="A48">
        <v>10263</v>
      </c>
      <c r="B48">
        <v>74</v>
      </c>
      <c r="C48" s="6">
        <v>8</v>
      </c>
      <c r="D48" s="6">
        <v>36</v>
      </c>
      <c r="E48" s="8">
        <v>0.25</v>
      </c>
    </row>
    <row r="49" spans="1:5" x14ac:dyDescent="0.2">
      <c r="A49">
        <v>10264</v>
      </c>
      <c r="B49">
        <v>2</v>
      </c>
      <c r="C49" s="6">
        <v>15.2</v>
      </c>
      <c r="D49" s="6">
        <v>35</v>
      </c>
      <c r="E49" s="8">
        <v>0</v>
      </c>
    </row>
    <row r="50" spans="1:5" x14ac:dyDescent="0.2">
      <c r="A50">
        <v>10264</v>
      </c>
      <c r="B50">
        <v>41</v>
      </c>
      <c r="C50" s="6">
        <v>7.7</v>
      </c>
      <c r="D50" s="6">
        <v>25</v>
      </c>
      <c r="E50" s="8">
        <v>0.15</v>
      </c>
    </row>
    <row r="51" spans="1:5" x14ac:dyDescent="0.2">
      <c r="A51">
        <v>10265</v>
      </c>
      <c r="B51">
        <v>17</v>
      </c>
      <c r="C51" s="6">
        <v>31.2</v>
      </c>
      <c r="D51" s="6">
        <v>30</v>
      </c>
      <c r="E51" s="8">
        <v>0</v>
      </c>
    </row>
    <row r="52" spans="1:5" x14ac:dyDescent="0.2">
      <c r="A52">
        <v>10265</v>
      </c>
      <c r="B52">
        <v>70</v>
      </c>
      <c r="C52" s="6">
        <v>12</v>
      </c>
      <c r="D52" s="6">
        <v>20</v>
      </c>
      <c r="E52" s="8">
        <v>0</v>
      </c>
    </row>
    <row r="53" spans="1:5" x14ac:dyDescent="0.2">
      <c r="A53">
        <v>10266</v>
      </c>
      <c r="B53">
        <v>12</v>
      </c>
      <c r="C53" s="6">
        <v>30.4</v>
      </c>
      <c r="D53" s="6">
        <v>12</v>
      </c>
      <c r="E53" s="8">
        <v>0.05</v>
      </c>
    </row>
    <row r="54" spans="1:5" x14ac:dyDescent="0.2">
      <c r="A54">
        <v>10267</v>
      </c>
      <c r="B54">
        <v>40</v>
      </c>
      <c r="C54" s="6">
        <v>14.7</v>
      </c>
      <c r="D54" s="6">
        <v>50</v>
      </c>
      <c r="E54" s="8">
        <v>0</v>
      </c>
    </row>
    <row r="55" spans="1:5" x14ac:dyDescent="0.2">
      <c r="A55">
        <v>10267</v>
      </c>
      <c r="B55">
        <v>59</v>
      </c>
      <c r="C55" s="6">
        <v>44</v>
      </c>
      <c r="D55" s="6">
        <v>70</v>
      </c>
      <c r="E55" s="8">
        <v>0.15</v>
      </c>
    </row>
    <row r="56" spans="1:5" x14ac:dyDescent="0.2">
      <c r="A56">
        <v>10267</v>
      </c>
      <c r="B56">
        <v>76</v>
      </c>
      <c r="C56" s="6">
        <v>14.4</v>
      </c>
      <c r="D56" s="6">
        <v>15</v>
      </c>
      <c r="E56" s="8">
        <v>0.15</v>
      </c>
    </row>
    <row r="57" spans="1:5" x14ac:dyDescent="0.2">
      <c r="A57">
        <v>10268</v>
      </c>
      <c r="B57">
        <v>29</v>
      </c>
      <c r="C57" s="6">
        <v>99</v>
      </c>
      <c r="D57" s="6">
        <v>10</v>
      </c>
      <c r="E57" s="8">
        <v>0</v>
      </c>
    </row>
    <row r="58" spans="1:5" x14ac:dyDescent="0.2">
      <c r="A58">
        <v>10268</v>
      </c>
      <c r="B58">
        <v>72</v>
      </c>
      <c r="C58" s="6">
        <v>27.8</v>
      </c>
      <c r="D58" s="6">
        <v>4</v>
      </c>
      <c r="E58" s="8">
        <v>0</v>
      </c>
    </row>
    <row r="59" spans="1:5" x14ac:dyDescent="0.2">
      <c r="A59">
        <v>10269</v>
      </c>
      <c r="B59">
        <v>33</v>
      </c>
      <c r="C59" s="6">
        <v>2</v>
      </c>
      <c r="D59" s="6">
        <v>60</v>
      </c>
      <c r="E59" s="8">
        <v>0.05</v>
      </c>
    </row>
    <row r="60" spans="1:5" x14ac:dyDescent="0.2">
      <c r="A60">
        <v>10269</v>
      </c>
      <c r="B60">
        <v>72</v>
      </c>
      <c r="C60" s="6">
        <v>27.8</v>
      </c>
      <c r="D60" s="6">
        <v>20</v>
      </c>
      <c r="E60" s="8">
        <v>0.05</v>
      </c>
    </row>
    <row r="61" spans="1:5" x14ac:dyDescent="0.2">
      <c r="A61">
        <v>10270</v>
      </c>
      <c r="B61">
        <v>36</v>
      </c>
      <c r="C61" s="6">
        <v>15.2</v>
      </c>
      <c r="D61" s="6">
        <v>30</v>
      </c>
      <c r="E61" s="8">
        <v>0</v>
      </c>
    </row>
    <row r="62" spans="1:5" x14ac:dyDescent="0.2">
      <c r="A62">
        <v>10270</v>
      </c>
      <c r="B62">
        <v>43</v>
      </c>
      <c r="C62" s="6">
        <v>36.799999999999997</v>
      </c>
      <c r="D62" s="6">
        <v>25</v>
      </c>
      <c r="E62" s="8">
        <v>0</v>
      </c>
    </row>
    <row r="63" spans="1:5" x14ac:dyDescent="0.2">
      <c r="A63">
        <v>10271</v>
      </c>
      <c r="B63">
        <v>33</v>
      </c>
      <c r="C63" s="6">
        <v>2</v>
      </c>
      <c r="D63" s="6">
        <v>24</v>
      </c>
      <c r="E63" s="8">
        <v>0</v>
      </c>
    </row>
    <row r="64" spans="1:5" x14ac:dyDescent="0.2">
      <c r="A64">
        <v>10272</v>
      </c>
      <c r="B64">
        <v>20</v>
      </c>
      <c r="C64" s="6">
        <v>64.8</v>
      </c>
      <c r="D64" s="6">
        <v>6</v>
      </c>
      <c r="E64" s="8">
        <v>0</v>
      </c>
    </row>
    <row r="65" spans="1:5" x14ac:dyDescent="0.2">
      <c r="A65">
        <v>10272</v>
      </c>
      <c r="B65">
        <v>31</v>
      </c>
      <c r="C65" s="6">
        <v>10</v>
      </c>
      <c r="D65" s="6">
        <v>40</v>
      </c>
      <c r="E65" s="8">
        <v>0</v>
      </c>
    </row>
    <row r="66" spans="1:5" x14ac:dyDescent="0.2">
      <c r="A66">
        <v>10272</v>
      </c>
      <c r="B66">
        <v>72</v>
      </c>
      <c r="C66" s="6">
        <v>27.8</v>
      </c>
      <c r="D66" s="6">
        <v>24</v>
      </c>
      <c r="E66" s="8">
        <v>0</v>
      </c>
    </row>
    <row r="67" spans="1:5" x14ac:dyDescent="0.2">
      <c r="A67">
        <v>10273</v>
      </c>
      <c r="B67">
        <v>10</v>
      </c>
      <c r="C67" s="6">
        <v>24.8</v>
      </c>
      <c r="D67" s="6">
        <v>24</v>
      </c>
      <c r="E67" s="8">
        <v>0.05</v>
      </c>
    </row>
    <row r="68" spans="1:5" x14ac:dyDescent="0.2">
      <c r="A68">
        <v>10273</v>
      </c>
      <c r="B68">
        <v>31</v>
      </c>
      <c r="C68" s="6">
        <v>10</v>
      </c>
      <c r="D68" s="6">
        <v>15</v>
      </c>
      <c r="E68" s="8">
        <v>0.05</v>
      </c>
    </row>
    <row r="69" spans="1:5" x14ac:dyDescent="0.2">
      <c r="A69">
        <v>10273</v>
      </c>
      <c r="B69">
        <v>33</v>
      </c>
      <c r="C69" s="6">
        <v>2</v>
      </c>
      <c r="D69" s="6">
        <v>20</v>
      </c>
      <c r="E69" s="8">
        <v>0</v>
      </c>
    </row>
    <row r="70" spans="1:5" x14ac:dyDescent="0.2">
      <c r="A70">
        <v>10273</v>
      </c>
      <c r="B70">
        <v>40</v>
      </c>
      <c r="C70" s="6">
        <v>14.7</v>
      </c>
      <c r="D70" s="6">
        <v>60</v>
      </c>
      <c r="E70" s="8">
        <v>0.05</v>
      </c>
    </row>
    <row r="71" spans="1:5" x14ac:dyDescent="0.2">
      <c r="A71">
        <v>10273</v>
      </c>
      <c r="B71">
        <v>76</v>
      </c>
      <c r="C71" s="6">
        <v>14.4</v>
      </c>
      <c r="D71" s="6">
        <v>33</v>
      </c>
      <c r="E71" s="8">
        <v>0.05</v>
      </c>
    </row>
    <row r="72" spans="1:5" x14ac:dyDescent="0.2">
      <c r="A72">
        <v>10274</v>
      </c>
      <c r="B72">
        <v>71</v>
      </c>
      <c r="C72" s="6">
        <v>17.2</v>
      </c>
      <c r="D72" s="6">
        <v>20</v>
      </c>
      <c r="E72" s="8">
        <v>0</v>
      </c>
    </row>
    <row r="73" spans="1:5" x14ac:dyDescent="0.2">
      <c r="A73">
        <v>10274</v>
      </c>
      <c r="B73">
        <v>72</v>
      </c>
      <c r="C73" s="6">
        <v>27.8</v>
      </c>
      <c r="D73" s="6">
        <v>7</v>
      </c>
      <c r="E73" s="8">
        <v>0</v>
      </c>
    </row>
    <row r="74" spans="1:5" x14ac:dyDescent="0.2">
      <c r="A74">
        <v>10275</v>
      </c>
      <c r="B74">
        <v>24</v>
      </c>
      <c r="C74" s="6">
        <v>3.6</v>
      </c>
      <c r="D74" s="6">
        <v>12</v>
      </c>
      <c r="E74" s="8">
        <v>0.05</v>
      </c>
    </row>
    <row r="75" spans="1:5" x14ac:dyDescent="0.2">
      <c r="A75">
        <v>10275</v>
      </c>
      <c r="B75">
        <v>59</v>
      </c>
      <c r="C75" s="6">
        <v>44</v>
      </c>
      <c r="D75" s="6">
        <v>6</v>
      </c>
      <c r="E75" s="8">
        <v>0.05</v>
      </c>
    </row>
    <row r="76" spans="1:5" x14ac:dyDescent="0.2">
      <c r="A76">
        <v>10276</v>
      </c>
      <c r="B76">
        <v>10</v>
      </c>
      <c r="C76" s="6">
        <v>24.8</v>
      </c>
      <c r="D76" s="6">
        <v>15</v>
      </c>
      <c r="E76" s="8">
        <v>0</v>
      </c>
    </row>
    <row r="77" spans="1:5" x14ac:dyDescent="0.2">
      <c r="A77">
        <v>10276</v>
      </c>
      <c r="B77">
        <v>13</v>
      </c>
      <c r="C77" s="6">
        <v>4.8</v>
      </c>
      <c r="D77" s="6">
        <v>10</v>
      </c>
      <c r="E77" s="8">
        <v>0</v>
      </c>
    </row>
    <row r="78" spans="1:5" x14ac:dyDescent="0.2">
      <c r="A78">
        <v>10277</v>
      </c>
      <c r="B78">
        <v>28</v>
      </c>
      <c r="C78" s="6">
        <v>36.4</v>
      </c>
      <c r="D78" s="6">
        <v>20</v>
      </c>
      <c r="E78" s="8">
        <v>0</v>
      </c>
    </row>
    <row r="79" spans="1:5" x14ac:dyDescent="0.2">
      <c r="A79">
        <v>10277</v>
      </c>
      <c r="B79">
        <v>62</v>
      </c>
      <c r="C79" s="6">
        <v>39.4</v>
      </c>
      <c r="D79" s="6">
        <v>12</v>
      </c>
      <c r="E79" s="8">
        <v>0</v>
      </c>
    </row>
    <row r="80" spans="1:5" x14ac:dyDescent="0.2">
      <c r="A80">
        <v>10278</v>
      </c>
      <c r="B80">
        <v>44</v>
      </c>
      <c r="C80" s="6">
        <v>15.5</v>
      </c>
      <c r="D80" s="6">
        <v>16</v>
      </c>
      <c r="E80" s="8">
        <v>0</v>
      </c>
    </row>
    <row r="81" spans="1:5" x14ac:dyDescent="0.2">
      <c r="A81">
        <v>10278</v>
      </c>
      <c r="B81">
        <v>59</v>
      </c>
      <c r="C81" s="6">
        <v>44</v>
      </c>
      <c r="D81" s="6">
        <v>15</v>
      </c>
      <c r="E81" s="8">
        <v>0</v>
      </c>
    </row>
    <row r="82" spans="1:5" x14ac:dyDescent="0.2">
      <c r="A82">
        <v>10278</v>
      </c>
      <c r="B82">
        <v>63</v>
      </c>
      <c r="C82" s="6">
        <v>35.1</v>
      </c>
      <c r="D82" s="6">
        <v>8</v>
      </c>
      <c r="E82" s="8">
        <v>0</v>
      </c>
    </row>
    <row r="83" spans="1:5" x14ac:dyDescent="0.2">
      <c r="A83">
        <v>10278</v>
      </c>
      <c r="B83">
        <v>73</v>
      </c>
      <c r="C83" s="6">
        <v>12</v>
      </c>
      <c r="D83" s="6">
        <v>25</v>
      </c>
      <c r="E83" s="8">
        <v>0</v>
      </c>
    </row>
    <row r="84" spans="1:5" x14ac:dyDescent="0.2">
      <c r="A84">
        <v>10279</v>
      </c>
      <c r="B84">
        <v>17</v>
      </c>
      <c r="C84" s="6">
        <v>31.2</v>
      </c>
      <c r="D84" s="6">
        <v>15</v>
      </c>
      <c r="E84" s="8">
        <v>0.25</v>
      </c>
    </row>
    <row r="85" spans="1:5" x14ac:dyDescent="0.2">
      <c r="A85">
        <v>10280</v>
      </c>
      <c r="B85">
        <v>24</v>
      </c>
      <c r="C85" s="6">
        <v>3.6</v>
      </c>
      <c r="D85" s="6">
        <v>12</v>
      </c>
      <c r="E85" s="8">
        <v>0</v>
      </c>
    </row>
    <row r="86" spans="1:5" x14ac:dyDescent="0.2">
      <c r="A86">
        <v>10280</v>
      </c>
      <c r="B86">
        <v>55</v>
      </c>
      <c r="C86" s="6">
        <v>19.2</v>
      </c>
      <c r="D86" s="6">
        <v>20</v>
      </c>
      <c r="E86" s="8">
        <v>0</v>
      </c>
    </row>
    <row r="87" spans="1:5" x14ac:dyDescent="0.2">
      <c r="A87">
        <v>10280</v>
      </c>
      <c r="B87">
        <v>75</v>
      </c>
      <c r="C87" s="6">
        <v>6.2</v>
      </c>
      <c r="D87" s="6">
        <v>30</v>
      </c>
      <c r="E87" s="8">
        <v>0</v>
      </c>
    </row>
    <row r="88" spans="1:5" x14ac:dyDescent="0.2">
      <c r="A88">
        <v>10281</v>
      </c>
      <c r="B88">
        <v>19</v>
      </c>
      <c r="C88" s="6">
        <v>7.3</v>
      </c>
      <c r="D88" s="6">
        <v>1</v>
      </c>
      <c r="E88" s="8">
        <v>0</v>
      </c>
    </row>
    <row r="89" spans="1:5" x14ac:dyDescent="0.2">
      <c r="A89">
        <v>10281</v>
      </c>
      <c r="B89">
        <v>24</v>
      </c>
      <c r="C89" s="6">
        <v>3.6</v>
      </c>
      <c r="D89" s="6">
        <v>6</v>
      </c>
      <c r="E89" s="8">
        <v>0</v>
      </c>
    </row>
    <row r="90" spans="1:5" x14ac:dyDescent="0.2">
      <c r="A90">
        <v>10281</v>
      </c>
      <c r="B90">
        <v>35</v>
      </c>
      <c r="C90" s="6">
        <v>14.4</v>
      </c>
      <c r="D90" s="6">
        <v>4</v>
      </c>
      <c r="E90" s="8">
        <v>0</v>
      </c>
    </row>
    <row r="91" spans="1:5" x14ac:dyDescent="0.2">
      <c r="A91">
        <v>10282</v>
      </c>
      <c r="B91">
        <v>30</v>
      </c>
      <c r="C91" s="6">
        <v>20.7</v>
      </c>
      <c r="D91" s="6">
        <v>6</v>
      </c>
      <c r="E91" s="8">
        <v>0</v>
      </c>
    </row>
    <row r="92" spans="1:5" x14ac:dyDescent="0.2">
      <c r="A92">
        <v>10282</v>
      </c>
      <c r="B92">
        <v>57</v>
      </c>
      <c r="C92" s="6">
        <v>15.6</v>
      </c>
      <c r="D92" s="6">
        <v>2</v>
      </c>
      <c r="E92" s="8">
        <v>0</v>
      </c>
    </row>
    <row r="93" spans="1:5" x14ac:dyDescent="0.2">
      <c r="A93">
        <v>10283</v>
      </c>
      <c r="B93">
        <v>15</v>
      </c>
      <c r="C93" s="6">
        <v>12.4</v>
      </c>
      <c r="D93" s="6">
        <v>20</v>
      </c>
      <c r="E93" s="8">
        <v>0</v>
      </c>
    </row>
    <row r="94" spans="1:5" x14ac:dyDescent="0.2">
      <c r="A94">
        <v>10283</v>
      </c>
      <c r="B94">
        <v>19</v>
      </c>
      <c r="C94" s="6">
        <v>7.3</v>
      </c>
      <c r="D94" s="6">
        <v>18</v>
      </c>
      <c r="E94" s="8">
        <v>0</v>
      </c>
    </row>
    <row r="95" spans="1:5" x14ac:dyDescent="0.2">
      <c r="A95">
        <v>10283</v>
      </c>
      <c r="B95">
        <v>60</v>
      </c>
      <c r="C95" s="6">
        <v>27.2</v>
      </c>
      <c r="D95" s="6">
        <v>35</v>
      </c>
      <c r="E95" s="8">
        <v>0</v>
      </c>
    </row>
    <row r="96" spans="1:5" x14ac:dyDescent="0.2">
      <c r="A96">
        <v>10283</v>
      </c>
      <c r="B96">
        <v>72</v>
      </c>
      <c r="C96" s="6">
        <v>27.8</v>
      </c>
      <c r="D96" s="6">
        <v>3</v>
      </c>
      <c r="E96" s="8">
        <v>0</v>
      </c>
    </row>
    <row r="97" spans="1:5" x14ac:dyDescent="0.2">
      <c r="A97">
        <v>10284</v>
      </c>
      <c r="B97">
        <v>27</v>
      </c>
      <c r="C97" s="6">
        <v>35.1</v>
      </c>
      <c r="D97" s="6">
        <v>15</v>
      </c>
      <c r="E97" s="8">
        <v>0.25</v>
      </c>
    </row>
    <row r="98" spans="1:5" x14ac:dyDescent="0.2">
      <c r="A98">
        <v>10284</v>
      </c>
      <c r="B98">
        <v>44</v>
      </c>
      <c r="C98" s="6">
        <v>15.5</v>
      </c>
      <c r="D98" s="6">
        <v>21</v>
      </c>
      <c r="E98" s="8">
        <v>0</v>
      </c>
    </row>
    <row r="99" spans="1:5" x14ac:dyDescent="0.2">
      <c r="A99">
        <v>10284</v>
      </c>
      <c r="B99">
        <v>60</v>
      </c>
      <c r="C99" s="6">
        <v>27.2</v>
      </c>
      <c r="D99" s="6">
        <v>20</v>
      </c>
      <c r="E99" s="8">
        <v>0.25</v>
      </c>
    </row>
    <row r="100" spans="1:5" x14ac:dyDescent="0.2">
      <c r="A100">
        <v>10284</v>
      </c>
      <c r="B100">
        <v>67</v>
      </c>
      <c r="C100" s="6">
        <v>11.2</v>
      </c>
      <c r="D100" s="6">
        <v>5</v>
      </c>
      <c r="E100" s="8">
        <v>0.25</v>
      </c>
    </row>
    <row r="101" spans="1:5" x14ac:dyDescent="0.2">
      <c r="A101">
        <v>10285</v>
      </c>
      <c r="B101">
        <v>1</v>
      </c>
      <c r="C101" s="6">
        <v>14.4</v>
      </c>
      <c r="D101" s="6">
        <v>45</v>
      </c>
      <c r="E101" s="8">
        <v>0.2</v>
      </c>
    </row>
    <row r="102" spans="1:5" x14ac:dyDescent="0.2">
      <c r="A102">
        <v>10285</v>
      </c>
      <c r="B102">
        <v>40</v>
      </c>
      <c r="C102" s="6">
        <v>14.7</v>
      </c>
      <c r="D102" s="6">
        <v>40</v>
      </c>
      <c r="E102" s="8">
        <v>0.2</v>
      </c>
    </row>
    <row r="103" spans="1:5" x14ac:dyDescent="0.2">
      <c r="A103">
        <v>10285</v>
      </c>
      <c r="B103">
        <v>53</v>
      </c>
      <c r="C103" s="6">
        <v>26.2</v>
      </c>
      <c r="D103" s="6">
        <v>36</v>
      </c>
      <c r="E103" s="8">
        <v>0.2</v>
      </c>
    </row>
    <row r="104" spans="1:5" x14ac:dyDescent="0.2">
      <c r="A104">
        <v>10286</v>
      </c>
      <c r="B104">
        <v>35</v>
      </c>
      <c r="C104" s="6">
        <v>14.4</v>
      </c>
      <c r="D104" s="6">
        <v>100</v>
      </c>
      <c r="E104" s="8">
        <v>0</v>
      </c>
    </row>
    <row r="105" spans="1:5" x14ac:dyDescent="0.2">
      <c r="A105">
        <v>10286</v>
      </c>
      <c r="B105">
        <v>62</v>
      </c>
      <c r="C105" s="6">
        <v>39.4</v>
      </c>
      <c r="D105" s="6">
        <v>40</v>
      </c>
      <c r="E105" s="8">
        <v>0</v>
      </c>
    </row>
    <row r="106" spans="1:5" x14ac:dyDescent="0.2">
      <c r="A106">
        <v>10287</v>
      </c>
      <c r="B106">
        <v>16</v>
      </c>
      <c r="C106" s="6">
        <v>13.9</v>
      </c>
      <c r="D106" s="6">
        <v>40</v>
      </c>
      <c r="E106" s="8">
        <v>0.15</v>
      </c>
    </row>
    <row r="107" spans="1:5" x14ac:dyDescent="0.2">
      <c r="A107">
        <v>10287</v>
      </c>
      <c r="B107">
        <v>34</v>
      </c>
      <c r="C107" s="6">
        <v>11.2</v>
      </c>
      <c r="D107" s="6">
        <v>20</v>
      </c>
      <c r="E107" s="8">
        <v>0</v>
      </c>
    </row>
    <row r="108" spans="1:5" x14ac:dyDescent="0.2">
      <c r="A108">
        <v>10287</v>
      </c>
      <c r="B108">
        <v>46</v>
      </c>
      <c r="C108" s="6">
        <v>9.6</v>
      </c>
      <c r="D108" s="6">
        <v>15</v>
      </c>
      <c r="E108" s="8">
        <v>0.15</v>
      </c>
    </row>
    <row r="109" spans="1:5" x14ac:dyDescent="0.2">
      <c r="A109">
        <v>10288</v>
      </c>
      <c r="B109">
        <v>54</v>
      </c>
      <c r="C109" s="6">
        <v>5.9</v>
      </c>
      <c r="D109" s="6">
        <v>10</v>
      </c>
      <c r="E109" s="8">
        <v>0.1</v>
      </c>
    </row>
    <row r="110" spans="1:5" x14ac:dyDescent="0.2">
      <c r="A110">
        <v>10288</v>
      </c>
      <c r="B110">
        <v>68</v>
      </c>
      <c r="C110" s="6">
        <v>10</v>
      </c>
      <c r="D110" s="6">
        <v>3</v>
      </c>
      <c r="E110" s="8">
        <v>0.1</v>
      </c>
    </row>
    <row r="111" spans="1:5" x14ac:dyDescent="0.2">
      <c r="A111">
        <v>10289</v>
      </c>
      <c r="B111">
        <v>3</v>
      </c>
      <c r="C111" s="6">
        <v>8</v>
      </c>
      <c r="D111" s="6">
        <v>30</v>
      </c>
      <c r="E111" s="8">
        <v>0</v>
      </c>
    </row>
    <row r="112" spans="1:5" x14ac:dyDescent="0.2">
      <c r="A112">
        <v>10289</v>
      </c>
      <c r="B112">
        <v>64</v>
      </c>
      <c r="C112" s="6">
        <v>26.6</v>
      </c>
      <c r="D112" s="6">
        <v>9</v>
      </c>
      <c r="E112" s="8">
        <v>0</v>
      </c>
    </row>
    <row r="113" spans="1:5" x14ac:dyDescent="0.2">
      <c r="A113">
        <v>10290</v>
      </c>
      <c r="B113">
        <v>5</v>
      </c>
      <c r="C113" s="6">
        <v>17</v>
      </c>
      <c r="D113" s="6">
        <v>20</v>
      </c>
      <c r="E113" s="8">
        <v>0</v>
      </c>
    </row>
    <row r="114" spans="1:5" x14ac:dyDescent="0.2">
      <c r="A114">
        <v>10290</v>
      </c>
      <c r="B114">
        <v>29</v>
      </c>
      <c r="C114" s="6">
        <v>99</v>
      </c>
      <c r="D114" s="6">
        <v>15</v>
      </c>
      <c r="E114" s="8">
        <v>0</v>
      </c>
    </row>
    <row r="115" spans="1:5" x14ac:dyDescent="0.2">
      <c r="A115">
        <v>10290</v>
      </c>
      <c r="B115">
        <v>49</v>
      </c>
      <c r="C115" s="6">
        <v>16</v>
      </c>
      <c r="D115" s="6">
        <v>15</v>
      </c>
      <c r="E115" s="8">
        <v>0</v>
      </c>
    </row>
    <row r="116" spans="1:5" x14ac:dyDescent="0.2">
      <c r="A116">
        <v>10290</v>
      </c>
      <c r="B116">
        <v>77</v>
      </c>
      <c r="C116" s="6">
        <v>10.4</v>
      </c>
      <c r="D116" s="6">
        <v>10</v>
      </c>
      <c r="E116" s="8">
        <v>0</v>
      </c>
    </row>
    <row r="117" spans="1:5" x14ac:dyDescent="0.2">
      <c r="A117">
        <v>10291</v>
      </c>
      <c r="B117">
        <v>13</v>
      </c>
      <c r="C117" s="6">
        <v>4.8</v>
      </c>
      <c r="D117" s="6">
        <v>20</v>
      </c>
      <c r="E117" s="8">
        <v>0.1</v>
      </c>
    </row>
    <row r="118" spans="1:5" x14ac:dyDescent="0.2">
      <c r="A118">
        <v>10291</v>
      </c>
      <c r="B118">
        <v>44</v>
      </c>
      <c r="C118" s="6">
        <v>15.5</v>
      </c>
      <c r="D118" s="6">
        <v>24</v>
      </c>
      <c r="E118" s="8">
        <v>0.1</v>
      </c>
    </row>
    <row r="119" spans="1:5" x14ac:dyDescent="0.2">
      <c r="A119">
        <v>10291</v>
      </c>
      <c r="B119">
        <v>51</v>
      </c>
      <c r="C119" s="6">
        <v>42.4</v>
      </c>
      <c r="D119" s="6">
        <v>2</v>
      </c>
      <c r="E119" s="8">
        <v>0.1</v>
      </c>
    </row>
    <row r="120" spans="1:5" x14ac:dyDescent="0.2">
      <c r="A120">
        <v>10292</v>
      </c>
      <c r="B120">
        <v>20</v>
      </c>
      <c r="C120" s="6">
        <v>64.8</v>
      </c>
      <c r="D120" s="6">
        <v>20</v>
      </c>
      <c r="E120" s="8">
        <v>0</v>
      </c>
    </row>
    <row r="121" spans="1:5" x14ac:dyDescent="0.2">
      <c r="A121">
        <v>10293</v>
      </c>
      <c r="B121">
        <v>18</v>
      </c>
      <c r="C121" s="6">
        <v>50</v>
      </c>
      <c r="D121" s="6">
        <v>12</v>
      </c>
      <c r="E121" s="8">
        <v>0</v>
      </c>
    </row>
    <row r="122" spans="1:5" x14ac:dyDescent="0.2">
      <c r="A122">
        <v>10293</v>
      </c>
      <c r="B122">
        <v>24</v>
      </c>
      <c r="C122" s="6">
        <v>3.6</v>
      </c>
      <c r="D122" s="6">
        <v>10</v>
      </c>
      <c r="E122" s="8">
        <v>0</v>
      </c>
    </row>
    <row r="123" spans="1:5" x14ac:dyDescent="0.2">
      <c r="A123">
        <v>10293</v>
      </c>
      <c r="B123">
        <v>63</v>
      </c>
      <c r="C123" s="6">
        <v>35.1</v>
      </c>
      <c r="D123" s="6">
        <v>5</v>
      </c>
      <c r="E123" s="8">
        <v>0</v>
      </c>
    </row>
    <row r="124" spans="1:5" x14ac:dyDescent="0.2">
      <c r="A124">
        <v>10293</v>
      </c>
      <c r="B124">
        <v>75</v>
      </c>
      <c r="C124" s="6">
        <v>6.2</v>
      </c>
      <c r="D124" s="6">
        <v>6</v>
      </c>
      <c r="E124" s="8">
        <v>0</v>
      </c>
    </row>
    <row r="125" spans="1:5" x14ac:dyDescent="0.2">
      <c r="A125">
        <v>10294</v>
      </c>
      <c r="B125">
        <v>1</v>
      </c>
      <c r="C125" s="6">
        <v>14.4</v>
      </c>
      <c r="D125" s="6">
        <v>18</v>
      </c>
      <c r="E125" s="8">
        <v>0</v>
      </c>
    </row>
    <row r="126" spans="1:5" x14ac:dyDescent="0.2">
      <c r="A126">
        <v>10294</v>
      </c>
      <c r="B126">
        <v>17</v>
      </c>
      <c r="C126" s="6">
        <v>31.2</v>
      </c>
      <c r="D126" s="6">
        <v>15</v>
      </c>
      <c r="E126" s="8">
        <v>0</v>
      </c>
    </row>
    <row r="127" spans="1:5" x14ac:dyDescent="0.2">
      <c r="A127">
        <v>10294</v>
      </c>
      <c r="B127">
        <v>43</v>
      </c>
      <c r="C127" s="6">
        <v>36.799999999999997</v>
      </c>
      <c r="D127" s="6">
        <v>15</v>
      </c>
      <c r="E127" s="8">
        <v>0</v>
      </c>
    </row>
    <row r="128" spans="1:5" x14ac:dyDescent="0.2">
      <c r="A128">
        <v>10294</v>
      </c>
      <c r="B128">
        <v>60</v>
      </c>
      <c r="C128" s="6">
        <v>27.2</v>
      </c>
      <c r="D128" s="6">
        <v>21</v>
      </c>
      <c r="E128" s="8">
        <v>0</v>
      </c>
    </row>
    <row r="129" spans="1:5" x14ac:dyDescent="0.2">
      <c r="A129">
        <v>10294</v>
      </c>
      <c r="B129">
        <v>75</v>
      </c>
      <c r="C129" s="6">
        <v>6.2</v>
      </c>
      <c r="D129" s="6">
        <v>6</v>
      </c>
      <c r="E129" s="8">
        <v>0</v>
      </c>
    </row>
    <row r="130" spans="1:5" x14ac:dyDescent="0.2">
      <c r="A130">
        <v>10295</v>
      </c>
      <c r="B130">
        <v>56</v>
      </c>
      <c r="C130" s="6">
        <v>30.4</v>
      </c>
      <c r="D130" s="6">
        <v>4</v>
      </c>
      <c r="E130" s="8">
        <v>0</v>
      </c>
    </row>
    <row r="131" spans="1:5" x14ac:dyDescent="0.2">
      <c r="A131">
        <v>10296</v>
      </c>
      <c r="B131">
        <v>11</v>
      </c>
      <c r="C131" s="6">
        <v>16.8</v>
      </c>
      <c r="D131" s="6">
        <v>12</v>
      </c>
      <c r="E131" s="8">
        <v>0</v>
      </c>
    </row>
    <row r="132" spans="1:5" x14ac:dyDescent="0.2">
      <c r="A132">
        <v>10296</v>
      </c>
      <c r="B132">
        <v>16</v>
      </c>
      <c r="C132" s="6">
        <v>13.9</v>
      </c>
      <c r="D132" s="6">
        <v>30</v>
      </c>
      <c r="E132" s="8">
        <v>0</v>
      </c>
    </row>
    <row r="133" spans="1:5" x14ac:dyDescent="0.2">
      <c r="A133">
        <v>10296</v>
      </c>
      <c r="B133">
        <v>69</v>
      </c>
      <c r="C133" s="6">
        <v>28.8</v>
      </c>
      <c r="D133" s="6">
        <v>15</v>
      </c>
      <c r="E133" s="8">
        <v>0</v>
      </c>
    </row>
    <row r="134" spans="1:5" x14ac:dyDescent="0.2">
      <c r="A134">
        <v>10297</v>
      </c>
      <c r="B134">
        <v>39</v>
      </c>
      <c r="C134" s="6">
        <v>14.4</v>
      </c>
      <c r="D134" s="6">
        <v>60</v>
      </c>
      <c r="E134" s="8">
        <v>0</v>
      </c>
    </row>
    <row r="135" spans="1:5" x14ac:dyDescent="0.2">
      <c r="A135">
        <v>10297</v>
      </c>
      <c r="B135">
        <v>72</v>
      </c>
      <c r="C135" s="6">
        <v>27.8</v>
      </c>
      <c r="D135" s="6">
        <v>20</v>
      </c>
      <c r="E135" s="8">
        <v>0</v>
      </c>
    </row>
    <row r="136" spans="1:5" x14ac:dyDescent="0.2">
      <c r="A136">
        <v>10298</v>
      </c>
      <c r="B136">
        <v>2</v>
      </c>
      <c r="C136" s="6">
        <v>15.2</v>
      </c>
      <c r="D136" s="6">
        <v>40</v>
      </c>
      <c r="E136" s="8">
        <v>0</v>
      </c>
    </row>
    <row r="137" spans="1:5" x14ac:dyDescent="0.2">
      <c r="A137">
        <v>10298</v>
      </c>
      <c r="B137">
        <v>36</v>
      </c>
      <c r="C137" s="6">
        <v>15.2</v>
      </c>
      <c r="D137" s="6">
        <v>40</v>
      </c>
      <c r="E137" s="8">
        <v>0.25</v>
      </c>
    </row>
    <row r="138" spans="1:5" x14ac:dyDescent="0.2">
      <c r="A138">
        <v>10298</v>
      </c>
      <c r="B138">
        <v>59</v>
      </c>
      <c r="C138" s="6">
        <v>44</v>
      </c>
      <c r="D138" s="6">
        <v>30</v>
      </c>
      <c r="E138" s="8">
        <v>0.25</v>
      </c>
    </row>
    <row r="139" spans="1:5" x14ac:dyDescent="0.2">
      <c r="A139">
        <v>10298</v>
      </c>
      <c r="B139">
        <v>62</v>
      </c>
      <c r="C139" s="6">
        <v>39.4</v>
      </c>
      <c r="D139" s="6">
        <v>15</v>
      </c>
      <c r="E139" s="8">
        <v>0</v>
      </c>
    </row>
    <row r="140" spans="1:5" x14ac:dyDescent="0.2">
      <c r="A140">
        <v>10299</v>
      </c>
      <c r="B140">
        <v>19</v>
      </c>
      <c r="C140" s="6">
        <v>7.3</v>
      </c>
      <c r="D140" s="6">
        <v>15</v>
      </c>
      <c r="E140" s="8">
        <v>0</v>
      </c>
    </row>
    <row r="141" spans="1:5" x14ac:dyDescent="0.2">
      <c r="A141">
        <v>10299</v>
      </c>
      <c r="B141">
        <v>70</v>
      </c>
      <c r="C141" s="6">
        <v>12</v>
      </c>
      <c r="D141" s="6">
        <v>20</v>
      </c>
      <c r="E141" s="8">
        <v>0</v>
      </c>
    </row>
    <row r="142" spans="1:5" x14ac:dyDescent="0.2">
      <c r="A142">
        <v>10300</v>
      </c>
      <c r="B142">
        <v>66</v>
      </c>
      <c r="C142" s="6">
        <v>13.6</v>
      </c>
      <c r="D142" s="6">
        <v>30</v>
      </c>
      <c r="E142" s="8">
        <v>0</v>
      </c>
    </row>
    <row r="143" spans="1:5" x14ac:dyDescent="0.2">
      <c r="A143">
        <v>10300</v>
      </c>
      <c r="B143">
        <v>68</v>
      </c>
      <c r="C143" s="6">
        <v>10</v>
      </c>
      <c r="D143" s="6">
        <v>20</v>
      </c>
      <c r="E143" s="8">
        <v>0</v>
      </c>
    </row>
    <row r="144" spans="1:5" x14ac:dyDescent="0.2">
      <c r="A144">
        <v>10301</v>
      </c>
      <c r="B144">
        <v>40</v>
      </c>
      <c r="C144" s="6">
        <v>14.7</v>
      </c>
      <c r="D144" s="6">
        <v>10</v>
      </c>
      <c r="E144" s="8">
        <v>0</v>
      </c>
    </row>
    <row r="145" spans="1:5" x14ac:dyDescent="0.2">
      <c r="A145">
        <v>10301</v>
      </c>
      <c r="B145">
        <v>56</v>
      </c>
      <c r="C145" s="6">
        <v>30.4</v>
      </c>
      <c r="D145" s="6">
        <v>20</v>
      </c>
      <c r="E145" s="8">
        <v>0</v>
      </c>
    </row>
    <row r="146" spans="1:5" x14ac:dyDescent="0.2">
      <c r="A146">
        <v>10302</v>
      </c>
      <c r="B146">
        <v>17</v>
      </c>
      <c r="C146" s="6">
        <v>31.2</v>
      </c>
      <c r="D146" s="6">
        <v>40</v>
      </c>
      <c r="E146" s="8">
        <v>0</v>
      </c>
    </row>
    <row r="147" spans="1:5" x14ac:dyDescent="0.2">
      <c r="A147">
        <v>10302</v>
      </c>
      <c r="B147">
        <v>28</v>
      </c>
      <c r="C147" s="6">
        <v>36.4</v>
      </c>
      <c r="D147" s="6">
        <v>28</v>
      </c>
      <c r="E147" s="8">
        <v>0</v>
      </c>
    </row>
    <row r="148" spans="1:5" x14ac:dyDescent="0.2">
      <c r="A148">
        <v>10302</v>
      </c>
      <c r="B148">
        <v>43</v>
      </c>
      <c r="C148" s="6">
        <v>36.799999999999997</v>
      </c>
      <c r="D148" s="6">
        <v>12</v>
      </c>
      <c r="E148" s="8">
        <v>0</v>
      </c>
    </row>
    <row r="149" spans="1:5" x14ac:dyDescent="0.2">
      <c r="A149">
        <v>10303</v>
      </c>
      <c r="B149">
        <v>40</v>
      </c>
      <c r="C149" s="6">
        <v>14.7</v>
      </c>
      <c r="D149" s="6">
        <v>40</v>
      </c>
      <c r="E149" s="8">
        <v>0.1</v>
      </c>
    </row>
    <row r="150" spans="1:5" x14ac:dyDescent="0.2">
      <c r="A150">
        <v>10303</v>
      </c>
      <c r="B150">
        <v>65</v>
      </c>
      <c r="C150" s="6">
        <v>16.8</v>
      </c>
      <c r="D150" s="6">
        <v>30</v>
      </c>
      <c r="E150" s="8">
        <v>0.1</v>
      </c>
    </row>
    <row r="151" spans="1:5" x14ac:dyDescent="0.2">
      <c r="A151">
        <v>10303</v>
      </c>
      <c r="B151">
        <v>68</v>
      </c>
      <c r="C151" s="6">
        <v>10</v>
      </c>
      <c r="D151" s="6">
        <v>15</v>
      </c>
      <c r="E151" s="8">
        <v>0.1</v>
      </c>
    </row>
    <row r="152" spans="1:5" x14ac:dyDescent="0.2">
      <c r="A152">
        <v>10304</v>
      </c>
      <c r="B152">
        <v>49</v>
      </c>
      <c r="C152" s="6">
        <v>16</v>
      </c>
      <c r="D152" s="6">
        <v>30</v>
      </c>
      <c r="E152" s="8">
        <v>0</v>
      </c>
    </row>
    <row r="153" spans="1:5" x14ac:dyDescent="0.2">
      <c r="A153">
        <v>10304</v>
      </c>
      <c r="B153">
        <v>59</v>
      </c>
      <c r="C153" s="6">
        <v>44</v>
      </c>
      <c r="D153" s="6">
        <v>10</v>
      </c>
      <c r="E153" s="8">
        <v>0</v>
      </c>
    </row>
    <row r="154" spans="1:5" x14ac:dyDescent="0.2">
      <c r="A154">
        <v>10304</v>
      </c>
      <c r="B154">
        <v>71</v>
      </c>
      <c r="C154" s="6">
        <v>17.2</v>
      </c>
      <c r="D154" s="6">
        <v>2</v>
      </c>
      <c r="E154" s="8">
        <v>0</v>
      </c>
    </row>
    <row r="155" spans="1:5" x14ac:dyDescent="0.2">
      <c r="A155">
        <v>10305</v>
      </c>
      <c r="B155">
        <v>18</v>
      </c>
      <c r="C155" s="6">
        <v>50</v>
      </c>
      <c r="D155" s="6">
        <v>25</v>
      </c>
      <c r="E155" s="8">
        <v>0.1</v>
      </c>
    </row>
    <row r="156" spans="1:5" x14ac:dyDescent="0.2">
      <c r="A156">
        <v>10305</v>
      </c>
      <c r="B156">
        <v>29</v>
      </c>
      <c r="C156" s="6">
        <v>99</v>
      </c>
      <c r="D156" s="6">
        <v>25</v>
      </c>
      <c r="E156" s="8">
        <v>0.1</v>
      </c>
    </row>
    <row r="157" spans="1:5" x14ac:dyDescent="0.2">
      <c r="A157">
        <v>10305</v>
      </c>
      <c r="B157">
        <v>39</v>
      </c>
      <c r="C157" s="6">
        <v>14.4</v>
      </c>
      <c r="D157" s="6">
        <v>30</v>
      </c>
      <c r="E157" s="8">
        <v>0.1</v>
      </c>
    </row>
    <row r="158" spans="1:5" x14ac:dyDescent="0.2">
      <c r="A158">
        <v>10306</v>
      </c>
      <c r="B158">
        <v>30</v>
      </c>
      <c r="C158" s="6">
        <v>20.7</v>
      </c>
      <c r="D158" s="6">
        <v>10</v>
      </c>
      <c r="E158" s="8">
        <v>0</v>
      </c>
    </row>
    <row r="159" spans="1:5" x14ac:dyDescent="0.2">
      <c r="A159">
        <v>10306</v>
      </c>
      <c r="B159">
        <v>53</v>
      </c>
      <c r="C159" s="6">
        <v>26.2</v>
      </c>
      <c r="D159" s="6">
        <v>10</v>
      </c>
      <c r="E159" s="8">
        <v>0</v>
      </c>
    </row>
    <row r="160" spans="1:5" x14ac:dyDescent="0.2">
      <c r="A160">
        <v>10306</v>
      </c>
      <c r="B160">
        <v>54</v>
      </c>
      <c r="C160" s="6">
        <v>5.9</v>
      </c>
      <c r="D160" s="6">
        <v>5</v>
      </c>
      <c r="E160" s="8">
        <v>0</v>
      </c>
    </row>
    <row r="161" spans="1:5" x14ac:dyDescent="0.2">
      <c r="A161">
        <v>10307</v>
      </c>
      <c r="B161">
        <v>62</v>
      </c>
      <c r="C161" s="6">
        <v>39.4</v>
      </c>
      <c r="D161" s="6">
        <v>10</v>
      </c>
      <c r="E161" s="8">
        <v>0</v>
      </c>
    </row>
    <row r="162" spans="1:5" x14ac:dyDescent="0.2">
      <c r="A162">
        <v>10307</v>
      </c>
      <c r="B162">
        <v>68</v>
      </c>
      <c r="C162" s="6">
        <v>10</v>
      </c>
      <c r="D162" s="6">
        <v>3</v>
      </c>
      <c r="E162" s="8">
        <v>0</v>
      </c>
    </row>
    <row r="163" spans="1:5" x14ac:dyDescent="0.2">
      <c r="A163">
        <v>10308</v>
      </c>
      <c r="B163">
        <v>69</v>
      </c>
      <c r="C163" s="6">
        <v>28.8</v>
      </c>
      <c r="D163" s="6">
        <v>1</v>
      </c>
      <c r="E163" s="8">
        <v>0</v>
      </c>
    </row>
    <row r="164" spans="1:5" x14ac:dyDescent="0.2">
      <c r="A164">
        <v>10308</v>
      </c>
      <c r="B164">
        <v>70</v>
      </c>
      <c r="C164" s="6">
        <v>12</v>
      </c>
      <c r="D164" s="6">
        <v>5</v>
      </c>
      <c r="E164" s="8">
        <v>0</v>
      </c>
    </row>
    <row r="165" spans="1:5" x14ac:dyDescent="0.2">
      <c r="A165">
        <v>10309</v>
      </c>
      <c r="B165">
        <v>4</v>
      </c>
      <c r="C165" s="6">
        <v>17.600000000000001</v>
      </c>
      <c r="D165" s="6">
        <v>20</v>
      </c>
      <c r="E165" s="8">
        <v>0</v>
      </c>
    </row>
    <row r="166" spans="1:5" x14ac:dyDescent="0.2">
      <c r="A166">
        <v>10309</v>
      </c>
      <c r="B166">
        <v>6</v>
      </c>
      <c r="C166" s="6">
        <v>20</v>
      </c>
      <c r="D166" s="6">
        <v>30</v>
      </c>
      <c r="E166" s="8">
        <v>0</v>
      </c>
    </row>
    <row r="167" spans="1:5" x14ac:dyDescent="0.2">
      <c r="A167">
        <v>10309</v>
      </c>
      <c r="B167">
        <v>42</v>
      </c>
      <c r="C167" s="6">
        <v>11.2</v>
      </c>
      <c r="D167" s="6">
        <v>2</v>
      </c>
      <c r="E167" s="8">
        <v>0</v>
      </c>
    </row>
    <row r="168" spans="1:5" x14ac:dyDescent="0.2">
      <c r="A168">
        <v>10309</v>
      </c>
      <c r="B168">
        <v>43</v>
      </c>
      <c r="C168" s="6">
        <v>36.799999999999997</v>
      </c>
      <c r="D168" s="6">
        <v>20</v>
      </c>
      <c r="E168" s="8">
        <v>0</v>
      </c>
    </row>
    <row r="169" spans="1:5" x14ac:dyDescent="0.2">
      <c r="A169">
        <v>10309</v>
      </c>
      <c r="B169">
        <v>71</v>
      </c>
      <c r="C169" s="6">
        <v>17.2</v>
      </c>
      <c r="D169" s="6">
        <v>3</v>
      </c>
      <c r="E169" s="8">
        <v>0</v>
      </c>
    </row>
    <row r="170" spans="1:5" x14ac:dyDescent="0.2">
      <c r="A170">
        <v>10310</v>
      </c>
      <c r="B170">
        <v>16</v>
      </c>
      <c r="C170" s="6">
        <v>13.9</v>
      </c>
      <c r="D170" s="6">
        <v>10</v>
      </c>
      <c r="E170" s="8">
        <v>0</v>
      </c>
    </row>
    <row r="171" spans="1:5" x14ac:dyDescent="0.2">
      <c r="A171">
        <v>10310</v>
      </c>
      <c r="B171">
        <v>62</v>
      </c>
      <c r="C171" s="6">
        <v>39.4</v>
      </c>
      <c r="D171" s="6">
        <v>5</v>
      </c>
      <c r="E171" s="8">
        <v>0</v>
      </c>
    </row>
    <row r="172" spans="1:5" x14ac:dyDescent="0.2">
      <c r="A172">
        <v>10311</v>
      </c>
      <c r="B172">
        <v>42</v>
      </c>
      <c r="C172" s="6">
        <v>11.2</v>
      </c>
      <c r="D172" s="6">
        <v>6</v>
      </c>
      <c r="E172" s="8">
        <v>0</v>
      </c>
    </row>
    <row r="173" spans="1:5" x14ac:dyDescent="0.2">
      <c r="A173">
        <v>10311</v>
      </c>
      <c r="B173">
        <v>69</v>
      </c>
      <c r="C173" s="6">
        <v>28.8</v>
      </c>
      <c r="D173" s="6">
        <v>7</v>
      </c>
      <c r="E173" s="8">
        <v>0</v>
      </c>
    </row>
    <row r="174" spans="1:5" x14ac:dyDescent="0.2">
      <c r="A174">
        <v>10312</v>
      </c>
      <c r="B174">
        <v>28</v>
      </c>
      <c r="C174" s="6">
        <v>36.4</v>
      </c>
      <c r="D174" s="6">
        <v>4</v>
      </c>
      <c r="E174" s="8">
        <v>0</v>
      </c>
    </row>
    <row r="175" spans="1:5" x14ac:dyDescent="0.2">
      <c r="A175">
        <v>10312</v>
      </c>
      <c r="B175">
        <v>43</v>
      </c>
      <c r="C175" s="6">
        <v>36.799999999999997</v>
      </c>
      <c r="D175" s="6">
        <v>24</v>
      </c>
      <c r="E175" s="8">
        <v>0</v>
      </c>
    </row>
    <row r="176" spans="1:5" x14ac:dyDescent="0.2">
      <c r="A176">
        <v>10312</v>
      </c>
      <c r="B176">
        <v>53</v>
      </c>
      <c r="C176" s="6">
        <v>26.2</v>
      </c>
      <c r="D176" s="6">
        <v>20</v>
      </c>
      <c r="E176" s="8">
        <v>0</v>
      </c>
    </row>
    <row r="177" spans="1:5" x14ac:dyDescent="0.2">
      <c r="A177">
        <v>10312</v>
      </c>
      <c r="B177">
        <v>75</v>
      </c>
      <c r="C177" s="6">
        <v>6.2</v>
      </c>
      <c r="D177" s="6">
        <v>10</v>
      </c>
      <c r="E177" s="8">
        <v>0</v>
      </c>
    </row>
    <row r="178" spans="1:5" x14ac:dyDescent="0.2">
      <c r="A178">
        <v>10313</v>
      </c>
      <c r="B178">
        <v>36</v>
      </c>
      <c r="C178" s="6">
        <v>15.2</v>
      </c>
      <c r="D178" s="6">
        <v>12</v>
      </c>
      <c r="E178" s="8">
        <v>0</v>
      </c>
    </row>
    <row r="179" spans="1:5" x14ac:dyDescent="0.2">
      <c r="A179">
        <v>10314</v>
      </c>
      <c r="B179">
        <v>32</v>
      </c>
      <c r="C179" s="6">
        <v>25.6</v>
      </c>
      <c r="D179" s="6">
        <v>40</v>
      </c>
      <c r="E179" s="8">
        <v>0.1</v>
      </c>
    </row>
    <row r="180" spans="1:5" x14ac:dyDescent="0.2">
      <c r="A180">
        <v>10314</v>
      </c>
      <c r="B180">
        <v>58</v>
      </c>
      <c r="C180" s="6">
        <v>10.6</v>
      </c>
      <c r="D180" s="6">
        <v>30</v>
      </c>
      <c r="E180" s="8">
        <v>0.1</v>
      </c>
    </row>
    <row r="181" spans="1:5" x14ac:dyDescent="0.2">
      <c r="A181">
        <v>10314</v>
      </c>
      <c r="B181">
        <v>62</v>
      </c>
      <c r="C181" s="6">
        <v>39.4</v>
      </c>
      <c r="D181" s="6">
        <v>25</v>
      </c>
      <c r="E181" s="8">
        <v>0.1</v>
      </c>
    </row>
    <row r="182" spans="1:5" x14ac:dyDescent="0.2">
      <c r="A182">
        <v>10315</v>
      </c>
      <c r="B182">
        <v>34</v>
      </c>
      <c r="C182" s="6">
        <v>11.2</v>
      </c>
      <c r="D182" s="6">
        <v>14</v>
      </c>
      <c r="E182" s="8">
        <v>0</v>
      </c>
    </row>
    <row r="183" spans="1:5" x14ac:dyDescent="0.2">
      <c r="A183">
        <v>10315</v>
      </c>
      <c r="B183">
        <v>70</v>
      </c>
      <c r="C183" s="6">
        <v>12</v>
      </c>
      <c r="D183" s="6">
        <v>30</v>
      </c>
      <c r="E183" s="8">
        <v>0</v>
      </c>
    </row>
    <row r="184" spans="1:5" x14ac:dyDescent="0.2">
      <c r="A184">
        <v>10316</v>
      </c>
      <c r="B184">
        <v>41</v>
      </c>
      <c r="C184" s="6">
        <v>7.7</v>
      </c>
      <c r="D184" s="6">
        <v>10</v>
      </c>
      <c r="E184" s="8">
        <v>0</v>
      </c>
    </row>
    <row r="185" spans="1:5" x14ac:dyDescent="0.2">
      <c r="A185">
        <v>10316</v>
      </c>
      <c r="B185">
        <v>62</v>
      </c>
      <c r="C185" s="6">
        <v>39.4</v>
      </c>
      <c r="D185" s="6">
        <v>70</v>
      </c>
      <c r="E185" s="8">
        <v>0</v>
      </c>
    </row>
    <row r="186" spans="1:5" x14ac:dyDescent="0.2">
      <c r="A186">
        <v>10317</v>
      </c>
      <c r="B186">
        <v>1</v>
      </c>
      <c r="C186" s="6">
        <v>14.4</v>
      </c>
      <c r="D186" s="6">
        <v>20</v>
      </c>
      <c r="E186" s="8">
        <v>0</v>
      </c>
    </row>
    <row r="187" spans="1:5" x14ac:dyDescent="0.2">
      <c r="A187">
        <v>10318</v>
      </c>
      <c r="B187">
        <v>41</v>
      </c>
      <c r="C187" s="6">
        <v>7.7</v>
      </c>
      <c r="D187" s="6">
        <v>20</v>
      </c>
      <c r="E187" s="8">
        <v>0</v>
      </c>
    </row>
    <row r="188" spans="1:5" x14ac:dyDescent="0.2">
      <c r="A188">
        <v>10318</v>
      </c>
      <c r="B188">
        <v>76</v>
      </c>
      <c r="C188" s="6">
        <v>14.4</v>
      </c>
      <c r="D188" s="6">
        <v>6</v>
      </c>
      <c r="E188" s="8">
        <v>0</v>
      </c>
    </row>
    <row r="189" spans="1:5" x14ac:dyDescent="0.2">
      <c r="A189">
        <v>10319</v>
      </c>
      <c r="B189">
        <v>17</v>
      </c>
      <c r="C189" s="6">
        <v>31.2</v>
      </c>
      <c r="D189" s="6">
        <v>8</v>
      </c>
      <c r="E189" s="8">
        <v>0</v>
      </c>
    </row>
    <row r="190" spans="1:5" x14ac:dyDescent="0.2">
      <c r="A190">
        <v>10319</v>
      </c>
      <c r="B190">
        <v>28</v>
      </c>
      <c r="C190" s="6">
        <v>36.4</v>
      </c>
      <c r="D190" s="6">
        <v>14</v>
      </c>
      <c r="E190" s="8">
        <v>0</v>
      </c>
    </row>
    <row r="191" spans="1:5" x14ac:dyDescent="0.2">
      <c r="A191">
        <v>10319</v>
      </c>
      <c r="B191">
        <v>76</v>
      </c>
      <c r="C191" s="6">
        <v>14.4</v>
      </c>
      <c r="D191" s="6">
        <v>30</v>
      </c>
      <c r="E191" s="8">
        <v>0</v>
      </c>
    </row>
    <row r="192" spans="1:5" x14ac:dyDescent="0.2">
      <c r="A192">
        <v>10320</v>
      </c>
      <c r="B192">
        <v>71</v>
      </c>
      <c r="C192" s="6">
        <v>17.2</v>
      </c>
      <c r="D192" s="6">
        <v>30</v>
      </c>
      <c r="E192" s="8">
        <v>0</v>
      </c>
    </row>
    <row r="193" spans="1:5" x14ac:dyDescent="0.2">
      <c r="A193">
        <v>10321</v>
      </c>
      <c r="B193">
        <v>35</v>
      </c>
      <c r="C193" s="6">
        <v>14.4</v>
      </c>
      <c r="D193" s="6">
        <v>10</v>
      </c>
      <c r="E193" s="8">
        <v>0</v>
      </c>
    </row>
    <row r="194" spans="1:5" x14ac:dyDescent="0.2">
      <c r="A194">
        <v>10322</v>
      </c>
      <c r="B194">
        <v>52</v>
      </c>
      <c r="C194" s="6">
        <v>5.6</v>
      </c>
      <c r="D194" s="6">
        <v>20</v>
      </c>
      <c r="E194" s="8">
        <v>0</v>
      </c>
    </row>
    <row r="195" spans="1:5" x14ac:dyDescent="0.2">
      <c r="A195">
        <v>10323</v>
      </c>
      <c r="B195">
        <v>15</v>
      </c>
      <c r="C195" s="6">
        <v>12.4</v>
      </c>
      <c r="D195" s="6">
        <v>5</v>
      </c>
      <c r="E195" s="8">
        <v>0</v>
      </c>
    </row>
    <row r="196" spans="1:5" x14ac:dyDescent="0.2">
      <c r="A196">
        <v>10323</v>
      </c>
      <c r="B196">
        <v>25</v>
      </c>
      <c r="C196" s="6">
        <v>11.2</v>
      </c>
      <c r="D196" s="6">
        <v>4</v>
      </c>
      <c r="E196" s="8">
        <v>0</v>
      </c>
    </row>
    <row r="197" spans="1:5" x14ac:dyDescent="0.2">
      <c r="A197">
        <v>10323</v>
      </c>
      <c r="B197">
        <v>39</v>
      </c>
      <c r="C197" s="6">
        <v>14.4</v>
      </c>
      <c r="D197" s="6">
        <v>4</v>
      </c>
      <c r="E197" s="8">
        <v>0</v>
      </c>
    </row>
    <row r="198" spans="1:5" x14ac:dyDescent="0.2">
      <c r="A198">
        <v>10324</v>
      </c>
      <c r="B198">
        <v>16</v>
      </c>
      <c r="C198" s="6">
        <v>13.9</v>
      </c>
      <c r="D198" s="6">
        <v>21</v>
      </c>
      <c r="E198" s="8">
        <v>0.15</v>
      </c>
    </row>
    <row r="199" spans="1:5" x14ac:dyDescent="0.2">
      <c r="A199">
        <v>10324</v>
      </c>
      <c r="B199">
        <v>35</v>
      </c>
      <c r="C199" s="6">
        <v>14.4</v>
      </c>
      <c r="D199" s="6">
        <v>70</v>
      </c>
      <c r="E199" s="8">
        <v>0.15</v>
      </c>
    </row>
    <row r="200" spans="1:5" x14ac:dyDescent="0.2">
      <c r="A200">
        <v>10324</v>
      </c>
      <c r="B200">
        <v>46</v>
      </c>
      <c r="C200" s="6">
        <v>9.6</v>
      </c>
      <c r="D200" s="6">
        <v>30</v>
      </c>
      <c r="E200" s="8">
        <v>0</v>
      </c>
    </row>
    <row r="201" spans="1:5" x14ac:dyDescent="0.2">
      <c r="A201">
        <v>10324</v>
      </c>
      <c r="B201">
        <v>59</v>
      </c>
      <c r="C201" s="6">
        <v>44</v>
      </c>
      <c r="D201" s="6">
        <v>40</v>
      </c>
      <c r="E201" s="8">
        <v>0.15</v>
      </c>
    </row>
    <row r="202" spans="1:5" x14ac:dyDescent="0.2">
      <c r="A202">
        <v>10324</v>
      </c>
      <c r="B202">
        <v>63</v>
      </c>
      <c r="C202" s="6">
        <v>35.1</v>
      </c>
      <c r="D202" s="6">
        <v>80</v>
      </c>
      <c r="E202" s="8">
        <v>0.15</v>
      </c>
    </row>
    <row r="203" spans="1:5" x14ac:dyDescent="0.2">
      <c r="A203">
        <v>10325</v>
      </c>
      <c r="B203">
        <v>6</v>
      </c>
      <c r="C203" s="6">
        <v>20</v>
      </c>
      <c r="D203" s="6">
        <v>6</v>
      </c>
      <c r="E203" s="8">
        <v>0</v>
      </c>
    </row>
    <row r="204" spans="1:5" x14ac:dyDescent="0.2">
      <c r="A204">
        <v>10325</v>
      </c>
      <c r="B204">
        <v>13</v>
      </c>
      <c r="C204" s="6">
        <v>4.8</v>
      </c>
      <c r="D204" s="6">
        <v>12</v>
      </c>
      <c r="E204" s="8">
        <v>0</v>
      </c>
    </row>
    <row r="205" spans="1:5" x14ac:dyDescent="0.2">
      <c r="A205">
        <v>10325</v>
      </c>
      <c r="B205">
        <v>14</v>
      </c>
      <c r="C205" s="6">
        <v>18.600000000000001</v>
      </c>
      <c r="D205" s="6">
        <v>9</v>
      </c>
      <c r="E205" s="8">
        <v>0</v>
      </c>
    </row>
    <row r="206" spans="1:5" x14ac:dyDescent="0.2">
      <c r="A206">
        <v>10325</v>
      </c>
      <c r="B206">
        <v>31</v>
      </c>
      <c r="C206" s="6">
        <v>10</v>
      </c>
      <c r="D206" s="6">
        <v>4</v>
      </c>
      <c r="E206" s="8">
        <v>0</v>
      </c>
    </row>
    <row r="207" spans="1:5" x14ac:dyDescent="0.2">
      <c r="A207">
        <v>10325</v>
      </c>
      <c r="B207">
        <v>72</v>
      </c>
      <c r="C207" s="6">
        <v>27.8</v>
      </c>
      <c r="D207" s="6">
        <v>40</v>
      </c>
      <c r="E207" s="8">
        <v>0</v>
      </c>
    </row>
    <row r="208" spans="1:5" x14ac:dyDescent="0.2">
      <c r="A208">
        <v>10326</v>
      </c>
      <c r="B208">
        <v>4</v>
      </c>
      <c r="C208" s="6">
        <v>17.600000000000001</v>
      </c>
      <c r="D208" s="6">
        <v>24</v>
      </c>
      <c r="E208" s="8">
        <v>0</v>
      </c>
    </row>
    <row r="209" spans="1:5" x14ac:dyDescent="0.2">
      <c r="A209">
        <v>10326</v>
      </c>
      <c r="B209">
        <v>57</v>
      </c>
      <c r="C209" s="6">
        <v>15.6</v>
      </c>
      <c r="D209" s="6">
        <v>16</v>
      </c>
      <c r="E209" s="8">
        <v>0</v>
      </c>
    </row>
    <row r="210" spans="1:5" x14ac:dyDescent="0.2">
      <c r="A210">
        <v>10326</v>
      </c>
      <c r="B210">
        <v>75</v>
      </c>
      <c r="C210" s="6">
        <v>6.2</v>
      </c>
      <c r="D210" s="6">
        <v>50</v>
      </c>
      <c r="E210" s="8">
        <v>0</v>
      </c>
    </row>
    <row r="211" spans="1:5" x14ac:dyDescent="0.2">
      <c r="A211">
        <v>10327</v>
      </c>
      <c r="B211">
        <v>2</v>
      </c>
      <c r="C211" s="6">
        <v>15.2</v>
      </c>
      <c r="D211" s="6">
        <v>25</v>
      </c>
      <c r="E211" s="8">
        <v>0.2</v>
      </c>
    </row>
    <row r="212" spans="1:5" x14ac:dyDescent="0.2">
      <c r="A212">
        <v>10327</v>
      </c>
      <c r="B212">
        <v>11</v>
      </c>
      <c r="C212" s="6">
        <v>16.8</v>
      </c>
      <c r="D212" s="6">
        <v>50</v>
      </c>
      <c r="E212" s="8">
        <v>0.2</v>
      </c>
    </row>
    <row r="213" spans="1:5" x14ac:dyDescent="0.2">
      <c r="A213">
        <v>10327</v>
      </c>
      <c r="B213">
        <v>30</v>
      </c>
      <c r="C213" s="6">
        <v>20.7</v>
      </c>
      <c r="D213" s="6">
        <v>35</v>
      </c>
      <c r="E213" s="8">
        <v>0.2</v>
      </c>
    </row>
    <row r="214" spans="1:5" x14ac:dyDescent="0.2">
      <c r="A214">
        <v>10327</v>
      </c>
      <c r="B214">
        <v>58</v>
      </c>
      <c r="C214" s="6">
        <v>10.6</v>
      </c>
      <c r="D214" s="6">
        <v>30</v>
      </c>
      <c r="E214" s="8">
        <v>0.2</v>
      </c>
    </row>
    <row r="215" spans="1:5" x14ac:dyDescent="0.2">
      <c r="A215">
        <v>10328</v>
      </c>
      <c r="B215">
        <v>59</v>
      </c>
      <c r="C215" s="6">
        <v>44</v>
      </c>
      <c r="D215" s="6">
        <v>9</v>
      </c>
      <c r="E215" s="8">
        <v>0</v>
      </c>
    </row>
    <row r="216" spans="1:5" x14ac:dyDescent="0.2">
      <c r="A216">
        <v>10328</v>
      </c>
      <c r="B216">
        <v>65</v>
      </c>
      <c r="C216" s="6">
        <v>16.8</v>
      </c>
      <c r="D216" s="6">
        <v>40</v>
      </c>
      <c r="E216" s="8">
        <v>0</v>
      </c>
    </row>
    <row r="217" spans="1:5" x14ac:dyDescent="0.2">
      <c r="A217">
        <v>10328</v>
      </c>
      <c r="B217">
        <v>68</v>
      </c>
      <c r="C217" s="6">
        <v>10</v>
      </c>
      <c r="D217" s="6">
        <v>10</v>
      </c>
      <c r="E217" s="8">
        <v>0</v>
      </c>
    </row>
    <row r="218" spans="1:5" x14ac:dyDescent="0.2">
      <c r="A218">
        <v>10329</v>
      </c>
      <c r="B218">
        <v>19</v>
      </c>
      <c r="C218" s="6">
        <v>7.3</v>
      </c>
      <c r="D218" s="6">
        <v>10</v>
      </c>
      <c r="E218" s="8">
        <v>0.05</v>
      </c>
    </row>
    <row r="219" spans="1:5" x14ac:dyDescent="0.2">
      <c r="A219">
        <v>10329</v>
      </c>
      <c r="B219">
        <v>30</v>
      </c>
      <c r="C219" s="6">
        <v>20.7</v>
      </c>
      <c r="D219" s="6">
        <v>8</v>
      </c>
      <c r="E219" s="8">
        <v>0.05</v>
      </c>
    </row>
    <row r="220" spans="1:5" x14ac:dyDescent="0.2">
      <c r="A220">
        <v>10329</v>
      </c>
      <c r="B220">
        <v>38</v>
      </c>
      <c r="C220" s="6">
        <v>210.8</v>
      </c>
      <c r="D220" s="6">
        <v>20</v>
      </c>
      <c r="E220" s="8">
        <v>0.05</v>
      </c>
    </row>
    <row r="221" spans="1:5" x14ac:dyDescent="0.2">
      <c r="A221">
        <v>10329</v>
      </c>
      <c r="B221">
        <v>56</v>
      </c>
      <c r="C221" s="6">
        <v>30.4</v>
      </c>
      <c r="D221" s="6">
        <v>12</v>
      </c>
      <c r="E221" s="8">
        <v>0.05</v>
      </c>
    </row>
    <row r="222" spans="1:5" x14ac:dyDescent="0.2">
      <c r="A222">
        <v>10330</v>
      </c>
      <c r="B222">
        <v>26</v>
      </c>
      <c r="C222" s="6">
        <v>24.9</v>
      </c>
      <c r="D222" s="6">
        <v>50</v>
      </c>
      <c r="E222" s="8">
        <v>0.15</v>
      </c>
    </row>
    <row r="223" spans="1:5" x14ac:dyDescent="0.2">
      <c r="A223">
        <v>10330</v>
      </c>
      <c r="B223">
        <v>72</v>
      </c>
      <c r="C223" s="6">
        <v>27.8</v>
      </c>
      <c r="D223" s="6">
        <v>25</v>
      </c>
      <c r="E223" s="8">
        <v>0.15</v>
      </c>
    </row>
    <row r="224" spans="1:5" x14ac:dyDescent="0.2">
      <c r="A224">
        <v>10331</v>
      </c>
      <c r="B224">
        <v>54</v>
      </c>
      <c r="C224" s="6">
        <v>5.9</v>
      </c>
      <c r="D224" s="6">
        <v>15</v>
      </c>
      <c r="E224" s="8">
        <v>0</v>
      </c>
    </row>
    <row r="225" spans="1:5" x14ac:dyDescent="0.2">
      <c r="A225">
        <v>10332</v>
      </c>
      <c r="B225">
        <v>18</v>
      </c>
      <c r="C225" s="6">
        <v>50</v>
      </c>
      <c r="D225" s="6">
        <v>40</v>
      </c>
      <c r="E225" s="8">
        <v>0.2</v>
      </c>
    </row>
    <row r="226" spans="1:5" x14ac:dyDescent="0.2">
      <c r="A226">
        <v>10332</v>
      </c>
      <c r="B226">
        <v>42</v>
      </c>
      <c r="C226" s="6">
        <v>11.2</v>
      </c>
      <c r="D226" s="6">
        <v>10</v>
      </c>
      <c r="E226" s="8">
        <v>0.2</v>
      </c>
    </row>
    <row r="227" spans="1:5" x14ac:dyDescent="0.2">
      <c r="A227">
        <v>10332</v>
      </c>
      <c r="B227">
        <v>47</v>
      </c>
      <c r="C227" s="6">
        <v>7.6</v>
      </c>
      <c r="D227" s="6">
        <v>16</v>
      </c>
      <c r="E227" s="8">
        <v>0.2</v>
      </c>
    </row>
    <row r="228" spans="1:5" x14ac:dyDescent="0.2">
      <c r="A228">
        <v>10333</v>
      </c>
      <c r="B228">
        <v>14</v>
      </c>
      <c r="C228" s="6">
        <v>18.600000000000001</v>
      </c>
      <c r="D228" s="6">
        <v>10</v>
      </c>
      <c r="E228" s="8">
        <v>0</v>
      </c>
    </row>
    <row r="229" spans="1:5" x14ac:dyDescent="0.2">
      <c r="A229">
        <v>10333</v>
      </c>
      <c r="B229">
        <v>21</v>
      </c>
      <c r="C229" s="6">
        <v>8</v>
      </c>
      <c r="D229" s="6">
        <v>10</v>
      </c>
      <c r="E229" s="8">
        <v>0.1</v>
      </c>
    </row>
    <row r="230" spans="1:5" x14ac:dyDescent="0.2">
      <c r="A230">
        <v>10333</v>
      </c>
      <c r="B230">
        <v>71</v>
      </c>
      <c r="C230" s="6">
        <v>17.2</v>
      </c>
      <c r="D230" s="6">
        <v>40</v>
      </c>
      <c r="E230" s="8">
        <v>0.1</v>
      </c>
    </row>
    <row r="231" spans="1:5" x14ac:dyDescent="0.2">
      <c r="A231">
        <v>10334</v>
      </c>
      <c r="B231">
        <v>52</v>
      </c>
      <c r="C231" s="6">
        <v>5.6</v>
      </c>
      <c r="D231" s="6">
        <v>8</v>
      </c>
      <c r="E231" s="8">
        <v>0</v>
      </c>
    </row>
    <row r="232" spans="1:5" x14ac:dyDescent="0.2">
      <c r="A232">
        <v>10334</v>
      </c>
      <c r="B232">
        <v>68</v>
      </c>
      <c r="C232" s="6">
        <v>10</v>
      </c>
      <c r="D232" s="6">
        <v>10</v>
      </c>
      <c r="E232" s="8">
        <v>0</v>
      </c>
    </row>
    <row r="233" spans="1:5" x14ac:dyDescent="0.2">
      <c r="A233">
        <v>10335</v>
      </c>
      <c r="B233">
        <v>2</v>
      </c>
      <c r="C233" s="6">
        <v>15.2</v>
      </c>
      <c r="D233" s="6">
        <v>7</v>
      </c>
      <c r="E233" s="8">
        <v>0.2</v>
      </c>
    </row>
    <row r="234" spans="1:5" x14ac:dyDescent="0.2">
      <c r="A234">
        <v>10335</v>
      </c>
      <c r="B234">
        <v>31</v>
      </c>
      <c r="C234" s="6">
        <v>10</v>
      </c>
      <c r="D234" s="6">
        <v>25</v>
      </c>
      <c r="E234" s="8">
        <v>0.2</v>
      </c>
    </row>
    <row r="235" spans="1:5" x14ac:dyDescent="0.2">
      <c r="A235">
        <v>10335</v>
      </c>
      <c r="B235">
        <v>32</v>
      </c>
      <c r="C235" s="6">
        <v>25.6</v>
      </c>
      <c r="D235" s="6">
        <v>6</v>
      </c>
      <c r="E235" s="8">
        <v>0.2</v>
      </c>
    </row>
    <row r="236" spans="1:5" x14ac:dyDescent="0.2">
      <c r="A236">
        <v>10335</v>
      </c>
      <c r="B236">
        <v>51</v>
      </c>
      <c r="C236" s="6">
        <v>42.4</v>
      </c>
      <c r="D236" s="6">
        <v>48</v>
      </c>
      <c r="E236" s="8">
        <v>0.2</v>
      </c>
    </row>
    <row r="237" spans="1:5" x14ac:dyDescent="0.2">
      <c r="A237">
        <v>10336</v>
      </c>
      <c r="B237">
        <v>4</v>
      </c>
      <c r="C237" s="6">
        <v>17.600000000000001</v>
      </c>
      <c r="D237" s="6">
        <v>18</v>
      </c>
      <c r="E237" s="8">
        <v>0.1</v>
      </c>
    </row>
    <row r="238" spans="1:5" x14ac:dyDescent="0.2">
      <c r="A238">
        <v>10337</v>
      </c>
      <c r="B238">
        <v>23</v>
      </c>
      <c r="C238" s="6">
        <v>7.2</v>
      </c>
      <c r="D238" s="6">
        <v>40</v>
      </c>
      <c r="E238" s="8">
        <v>0</v>
      </c>
    </row>
    <row r="239" spans="1:5" x14ac:dyDescent="0.2">
      <c r="A239">
        <v>10337</v>
      </c>
      <c r="B239">
        <v>26</v>
      </c>
      <c r="C239" s="6">
        <v>24.9</v>
      </c>
      <c r="D239" s="6">
        <v>24</v>
      </c>
      <c r="E239" s="8">
        <v>0</v>
      </c>
    </row>
    <row r="240" spans="1:5" x14ac:dyDescent="0.2">
      <c r="A240">
        <v>10337</v>
      </c>
      <c r="B240">
        <v>36</v>
      </c>
      <c r="C240" s="6">
        <v>15.2</v>
      </c>
      <c r="D240" s="6">
        <v>20</v>
      </c>
      <c r="E240" s="8">
        <v>0</v>
      </c>
    </row>
    <row r="241" spans="1:5" x14ac:dyDescent="0.2">
      <c r="A241">
        <v>10337</v>
      </c>
      <c r="B241">
        <v>37</v>
      </c>
      <c r="C241" s="6">
        <v>20.8</v>
      </c>
      <c r="D241" s="6">
        <v>28</v>
      </c>
      <c r="E241" s="8">
        <v>0</v>
      </c>
    </row>
    <row r="242" spans="1:5" x14ac:dyDescent="0.2">
      <c r="A242">
        <v>10337</v>
      </c>
      <c r="B242">
        <v>72</v>
      </c>
      <c r="C242" s="6">
        <v>27.8</v>
      </c>
      <c r="D242" s="6">
        <v>25</v>
      </c>
      <c r="E242" s="8">
        <v>0</v>
      </c>
    </row>
    <row r="243" spans="1:5" x14ac:dyDescent="0.2">
      <c r="A243">
        <v>10338</v>
      </c>
      <c r="B243">
        <v>17</v>
      </c>
      <c r="C243" s="6">
        <v>31.2</v>
      </c>
      <c r="D243" s="6">
        <v>20</v>
      </c>
      <c r="E243" s="8">
        <v>0</v>
      </c>
    </row>
    <row r="244" spans="1:5" x14ac:dyDescent="0.2">
      <c r="A244">
        <v>10338</v>
      </c>
      <c r="B244">
        <v>30</v>
      </c>
      <c r="C244" s="6">
        <v>20.7</v>
      </c>
      <c r="D244" s="6">
        <v>15</v>
      </c>
      <c r="E244" s="8">
        <v>0</v>
      </c>
    </row>
    <row r="245" spans="1:5" x14ac:dyDescent="0.2">
      <c r="A245">
        <v>10339</v>
      </c>
      <c r="B245">
        <v>4</v>
      </c>
      <c r="C245" s="6">
        <v>17.600000000000001</v>
      </c>
      <c r="D245" s="6">
        <v>10</v>
      </c>
      <c r="E245" s="8">
        <v>0</v>
      </c>
    </row>
    <row r="246" spans="1:5" x14ac:dyDescent="0.2">
      <c r="A246">
        <v>10339</v>
      </c>
      <c r="B246">
        <v>17</v>
      </c>
      <c r="C246" s="6">
        <v>31.2</v>
      </c>
      <c r="D246" s="6">
        <v>70</v>
      </c>
      <c r="E246" s="8">
        <v>0.05</v>
      </c>
    </row>
    <row r="247" spans="1:5" x14ac:dyDescent="0.2">
      <c r="A247">
        <v>10339</v>
      </c>
      <c r="B247">
        <v>62</v>
      </c>
      <c r="C247" s="6">
        <v>39.4</v>
      </c>
      <c r="D247" s="6">
        <v>28</v>
      </c>
      <c r="E247" s="8">
        <v>0</v>
      </c>
    </row>
    <row r="248" spans="1:5" x14ac:dyDescent="0.2">
      <c r="A248">
        <v>10340</v>
      </c>
      <c r="B248">
        <v>18</v>
      </c>
      <c r="C248" s="6">
        <v>50</v>
      </c>
      <c r="D248" s="6">
        <v>20</v>
      </c>
      <c r="E248" s="8">
        <v>0.05</v>
      </c>
    </row>
    <row r="249" spans="1:5" x14ac:dyDescent="0.2">
      <c r="A249">
        <v>10340</v>
      </c>
      <c r="B249">
        <v>41</v>
      </c>
      <c r="C249" s="6">
        <v>7.7</v>
      </c>
      <c r="D249" s="6">
        <v>12</v>
      </c>
      <c r="E249" s="8">
        <v>0.05</v>
      </c>
    </row>
    <row r="250" spans="1:5" x14ac:dyDescent="0.2">
      <c r="A250">
        <v>10340</v>
      </c>
      <c r="B250">
        <v>43</v>
      </c>
      <c r="C250" s="6">
        <v>36.799999999999997</v>
      </c>
      <c r="D250" s="6">
        <v>40</v>
      </c>
      <c r="E250" s="8">
        <v>0.05</v>
      </c>
    </row>
    <row r="251" spans="1:5" x14ac:dyDescent="0.2">
      <c r="A251">
        <v>10341</v>
      </c>
      <c r="B251">
        <v>33</v>
      </c>
      <c r="C251" s="6">
        <v>2</v>
      </c>
      <c r="D251" s="6">
        <v>8</v>
      </c>
      <c r="E251" s="8">
        <v>0</v>
      </c>
    </row>
    <row r="252" spans="1:5" x14ac:dyDescent="0.2">
      <c r="A252">
        <v>10341</v>
      </c>
      <c r="B252">
        <v>59</v>
      </c>
      <c r="C252" s="6">
        <v>44</v>
      </c>
      <c r="D252" s="6">
        <v>9</v>
      </c>
      <c r="E252" s="8">
        <v>0.15</v>
      </c>
    </row>
    <row r="253" spans="1:5" x14ac:dyDescent="0.2">
      <c r="A253">
        <v>10342</v>
      </c>
      <c r="B253">
        <v>2</v>
      </c>
      <c r="C253" s="6">
        <v>15.2</v>
      </c>
      <c r="D253" s="6">
        <v>24</v>
      </c>
      <c r="E253" s="8">
        <v>0.2</v>
      </c>
    </row>
    <row r="254" spans="1:5" x14ac:dyDescent="0.2">
      <c r="A254">
        <v>10342</v>
      </c>
      <c r="B254">
        <v>31</v>
      </c>
      <c r="C254" s="6">
        <v>10</v>
      </c>
      <c r="D254" s="6">
        <v>56</v>
      </c>
      <c r="E254" s="8">
        <v>0.2</v>
      </c>
    </row>
    <row r="255" spans="1:5" x14ac:dyDescent="0.2">
      <c r="A255">
        <v>10342</v>
      </c>
      <c r="B255">
        <v>36</v>
      </c>
      <c r="C255" s="6">
        <v>15.2</v>
      </c>
      <c r="D255" s="6">
        <v>40</v>
      </c>
      <c r="E255" s="8">
        <v>0.2</v>
      </c>
    </row>
    <row r="256" spans="1:5" x14ac:dyDescent="0.2">
      <c r="A256">
        <v>10342</v>
      </c>
      <c r="B256">
        <v>55</v>
      </c>
      <c r="C256" s="6">
        <v>19.2</v>
      </c>
      <c r="D256" s="6">
        <v>40</v>
      </c>
      <c r="E256" s="8">
        <v>0.2</v>
      </c>
    </row>
    <row r="257" spans="1:5" x14ac:dyDescent="0.2">
      <c r="A257">
        <v>10343</v>
      </c>
      <c r="B257">
        <v>64</v>
      </c>
      <c r="C257" s="6">
        <v>26.6</v>
      </c>
      <c r="D257" s="6">
        <v>50</v>
      </c>
      <c r="E257" s="8">
        <v>0</v>
      </c>
    </row>
    <row r="258" spans="1:5" x14ac:dyDescent="0.2">
      <c r="A258">
        <v>10343</v>
      </c>
      <c r="B258">
        <v>68</v>
      </c>
      <c r="C258" s="6">
        <v>10</v>
      </c>
      <c r="D258" s="6">
        <v>4</v>
      </c>
      <c r="E258" s="8">
        <v>0.05</v>
      </c>
    </row>
    <row r="259" spans="1:5" x14ac:dyDescent="0.2">
      <c r="A259">
        <v>10343</v>
      </c>
      <c r="B259">
        <v>76</v>
      </c>
      <c r="C259" s="6">
        <v>14.4</v>
      </c>
      <c r="D259" s="6">
        <v>15</v>
      </c>
      <c r="E259" s="8">
        <v>0</v>
      </c>
    </row>
    <row r="260" spans="1:5" x14ac:dyDescent="0.2">
      <c r="A260">
        <v>10344</v>
      </c>
      <c r="B260">
        <v>4</v>
      </c>
      <c r="C260" s="6">
        <v>17.600000000000001</v>
      </c>
      <c r="D260" s="6">
        <v>35</v>
      </c>
      <c r="E260" s="8">
        <v>0</v>
      </c>
    </row>
    <row r="261" spans="1:5" x14ac:dyDescent="0.2">
      <c r="A261">
        <v>10344</v>
      </c>
      <c r="B261">
        <v>8</v>
      </c>
      <c r="C261" s="6">
        <v>32</v>
      </c>
      <c r="D261" s="6">
        <v>70</v>
      </c>
      <c r="E261" s="8">
        <v>0.25</v>
      </c>
    </row>
    <row r="262" spans="1:5" x14ac:dyDescent="0.2">
      <c r="A262">
        <v>10345</v>
      </c>
      <c r="B262">
        <v>8</v>
      </c>
      <c r="C262" s="6">
        <v>32</v>
      </c>
      <c r="D262" s="6">
        <v>70</v>
      </c>
      <c r="E262" s="8">
        <v>0</v>
      </c>
    </row>
    <row r="263" spans="1:5" x14ac:dyDescent="0.2">
      <c r="A263">
        <v>10345</v>
      </c>
      <c r="B263">
        <v>19</v>
      </c>
      <c r="C263" s="6">
        <v>7.3</v>
      </c>
      <c r="D263" s="6">
        <v>80</v>
      </c>
      <c r="E263" s="8">
        <v>0</v>
      </c>
    </row>
    <row r="264" spans="1:5" x14ac:dyDescent="0.2">
      <c r="A264">
        <v>10345</v>
      </c>
      <c r="B264">
        <v>42</v>
      </c>
      <c r="C264" s="6">
        <v>11.2</v>
      </c>
      <c r="D264" s="6">
        <v>9</v>
      </c>
      <c r="E264" s="8">
        <v>0</v>
      </c>
    </row>
    <row r="265" spans="1:5" x14ac:dyDescent="0.2">
      <c r="A265">
        <v>10346</v>
      </c>
      <c r="B265">
        <v>17</v>
      </c>
      <c r="C265" s="6">
        <v>31.2</v>
      </c>
      <c r="D265" s="6">
        <v>36</v>
      </c>
      <c r="E265" s="8">
        <v>0.1</v>
      </c>
    </row>
    <row r="266" spans="1:5" x14ac:dyDescent="0.2">
      <c r="A266">
        <v>10346</v>
      </c>
      <c r="B266">
        <v>56</v>
      </c>
      <c r="C266" s="6">
        <v>30.4</v>
      </c>
      <c r="D266" s="6">
        <v>20</v>
      </c>
      <c r="E266" s="8">
        <v>0</v>
      </c>
    </row>
    <row r="267" spans="1:5" x14ac:dyDescent="0.2">
      <c r="A267">
        <v>10347</v>
      </c>
      <c r="B267">
        <v>25</v>
      </c>
      <c r="C267" s="6">
        <v>11.2</v>
      </c>
      <c r="D267" s="6">
        <v>10</v>
      </c>
      <c r="E267" s="8">
        <v>0</v>
      </c>
    </row>
    <row r="268" spans="1:5" x14ac:dyDescent="0.2">
      <c r="A268">
        <v>10347</v>
      </c>
      <c r="B268">
        <v>39</v>
      </c>
      <c r="C268" s="6">
        <v>14.4</v>
      </c>
      <c r="D268" s="6">
        <v>50</v>
      </c>
      <c r="E268" s="8">
        <v>0.15</v>
      </c>
    </row>
    <row r="269" spans="1:5" x14ac:dyDescent="0.2">
      <c r="A269">
        <v>10347</v>
      </c>
      <c r="B269">
        <v>40</v>
      </c>
      <c r="C269" s="6">
        <v>14.7</v>
      </c>
      <c r="D269" s="6">
        <v>4</v>
      </c>
      <c r="E269" s="8">
        <v>0</v>
      </c>
    </row>
    <row r="270" spans="1:5" x14ac:dyDescent="0.2">
      <c r="A270">
        <v>10347</v>
      </c>
      <c r="B270">
        <v>75</v>
      </c>
      <c r="C270" s="6">
        <v>6.2</v>
      </c>
      <c r="D270" s="6">
        <v>6</v>
      </c>
      <c r="E270" s="8">
        <v>0.15</v>
      </c>
    </row>
    <row r="271" spans="1:5" x14ac:dyDescent="0.2">
      <c r="A271">
        <v>10348</v>
      </c>
      <c r="B271">
        <v>1</v>
      </c>
      <c r="C271" s="6">
        <v>14.4</v>
      </c>
      <c r="D271" s="6">
        <v>15</v>
      </c>
      <c r="E271" s="8">
        <v>0.15</v>
      </c>
    </row>
    <row r="272" spans="1:5" x14ac:dyDescent="0.2">
      <c r="A272">
        <v>10348</v>
      </c>
      <c r="B272">
        <v>23</v>
      </c>
      <c r="C272" s="6">
        <v>7.2</v>
      </c>
      <c r="D272" s="6">
        <v>25</v>
      </c>
      <c r="E272" s="8">
        <v>0</v>
      </c>
    </row>
    <row r="273" spans="1:5" x14ac:dyDescent="0.2">
      <c r="A273">
        <v>10349</v>
      </c>
      <c r="B273">
        <v>54</v>
      </c>
      <c r="C273" s="6">
        <v>5.9</v>
      </c>
      <c r="D273" s="6">
        <v>24</v>
      </c>
      <c r="E273" s="8">
        <v>0</v>
      </c>
    </row>
    <row r="274" spans="1:5" x14ac:dyDescent="0.2">
      <c r="A274">
        <v>10350</v>
      </c>
      <c r="B274">
        <v>50</v>
      </c>
      <c r="C274" s="6">
        <v>13</v>
      </c>
      <c r="D274" s="6">
        <v>15</v>
      </c>
      <c r="E274" s="8">
        <v>0.1</v>
      </c>
    </row>
    <row r="275" spans="1:5" x14ac:dyDescent="0.2">
      <c r="A275">
        <v>10350</v>
      </c>
      <c r="B275">
        <v>69</v>
      </c>
      <c r="C275" s="6">
        <v>28.8</v>
      </c>
      <c r="D275" s="6">
        <v>18</v>
      </c>
      <c r="E275" s="8">
        <v>0.1</v>
      </c>
    </row>
    <row r="276" spans="1:5" x14ac:dyDescent="0.2">
      <c r="A276">
        <v>10351</v>
      </c>
      <c r="B276">
        <v>38</v>
      </c>
      <c r="C276" s="6">
        <v>210.8</v>
      </c>
      <c r="D276" s="6">
        <v>20</v>
      </c>
      <c r="E276" s="8">
        <v>0.05</v>
      </c>
    </row>
    <row r="277" spans="1:5" x14ac:dyDescent="0.2">
      <c r="A277">
        <v>10351</v>
      </c>
      <c r="B277">
        <v>41</v>
      </c>
      <c r="C277" s="6">
        <v>7.7</v>
      </c>
      <c r="D277" s="6">
        <v>13</v>
      </c>
      <c r="E277" s="8">
        <v>0</v>
      </c>
    </row>
    <row r="278" spans="1:5" x14ac:dyDescent="0.2">
      <c r="A278">
        <v>10351</v>
      </c>
      <c r="B278">
        <v>44</v>
      </c>
      <c r="C278" s="6">
        <v>15.5</v>
      </c>
      <c r="D278" s="6">
        <v>77</v>
      </c>
      <c r="E278" s="8">
        <v>0.05</v>
      </c>
    </row>
    <row r="279" spans="1:5" x14ac:dyDescent="0.2">
      <c r="A279">
        <v>10351</v>
      </c>
      <c r="B279">
        <v>65</v>
      </c>
      <c r="C279" s="6">
        <v>16.8</v>
      </c>
      <c r="D279" s="6">
        <v>10</v>
      </c>
      <c r="E279" s="8">
        <v>0.05</v>
      </c>
    </row>
    <row r="280" spans="1:5" x14ac:dyDescent="0.2">
      <c r="A280">
        <v>10352</v>
      </c>
      <c r="B280">
        <v>24</v>
      </c>
      <c r="C280" s="6">
        <v>3.6</v>
      </c>
      <c r="D280" s="6">
        <v>10</v>
      </c>
      <c r="E280" s="8">
        <v>0</v>
      </c>
    </row>
    <row r="281" spans="1:5" x14ac:dyDescent="0.2">
      <c r="A281">
        <v>10352</v>
      </c>
      <c r="B281">
        <v>54</v>
      </c>
      <c r="C281" s="6">
        <v>5.9</v>
      </c>
      <c r="D281" s="6">
        <v>20</v>
      </c>
      <c r="E281" s="8">
        <v>0.15</v>
      </c>
    </row>
    <row r="282" spans="1:5" x14ac:dyDescent="0.2">
      <c r="A282">
        <v>10353</v>
      </c>
      <c r="B282">
        <v>11</v>
      </c>
      <c r="C282" s="6">
        <v>16.8</v>
      </c>
      <c r="D282" s="6">
        <v>12</v>
      </c>
      <c r="E282" s="8">
        <v>0.2</v>
      </c>
    </row>
    <row r="283" spans="1:5" x14ac:dyDescent="0.2">
      <c r="A283">
        <v>10353</v>
      </c>
      <c r="B283">
        <v>38</v>
      </c>
      <c r="C283" s="6">
        <v>210.8</v>
      </c>
      <c r="D283" s="6">
        <v>50</v>
      </c>
      <c r="E283" s="8">
        <v>0.2</v>
      </c>
    </row>
    <row r="284" spans="1:5" x14ac:dyDescent="0.2">
      <c r="A284">
        <v>10354</v>
      </c>
      <c r="B284">
        <v>1</v>
      </c>
      <c r="C284" s="6">
        <v>14.4</v>
      </c>
      <c r="D284" s="6">
        <v>12</v>
      </c>
      <c r="E284" s="8">
        <v>0</v>
      </c>
    </row>
    <row r="285" spans="1:5" x14ac:dyDescent="0.2">
      <c r="A285">
        <v>10354</v>
      </c>
      <c r="B285">
        <v>29</v>
      </c>
      <c r="C285" s="6">
        <v>99</v>
      </c>
      <c r="D285" s="6">
        <v>4</v>
      </c>
      <c r="E285" s="8">
        <v>0</v>
      </c>
    </row>
    <row r="286" spans="1:5" x14ac:dyDescent="0.2">
      <c r="A286">
        <v>10355</v>
      </c>
      <c r="B286">
        <v>24</v>
      </c>
      <c r="C286" s="6">
        <v>3.6</v>
      </c>
      <c r="D286" s="6">
        <v>25</v>
      </c>
      <c r="E286" s="8">
        <v>0</v>
      </c>
    </row>
    <row r="287" spans="1:5" x14ac:dyDescent="0.2">
      <c r="A287">
        <v>10355</v>
      </c>
      <c r="B287">
        <v>57</v>
      </c>
      <c r="C287" s="6">
        <v>15.6</v>
      </c>
      <c r="D287" s="6">
        <v>25</v>
      </c>
      <c r="E287" s="8">
        <v>0</v>
      </c>
    </row>
    <row r="288" spans="1:5" x14ac:dyDescent="0.2">
      <c r="A288">
        <v>10356</v>
      </c>
      <c r="B288">
        <v>31</v>
      </c>
      <c r="C288" s="6">
        <v>10</v>
      </c>
      <c r="D288" s="6">
        <v>30</v>
      </c>
      <c r="E288" s="8">
        <v>0</v>
      </c>
    </row>
    <row r="289" spans="1:5" x14ac:dyDescent="0.2">
      <c r="A289">
        <v>10356</v>
      </c>
      <c r="B289">
        <v>55</v>
      </c>
      <c r="C289" s="6">
        <v>19.2</v>
      </c>
      <c r="D289" s="6">
        <v>12</v>
      </c>
      <c r="E289" s="8">
        <v>0</v>
      </c>
    </row>
    <row r="290" spans="1:5" x14ac:dyDescent="0.2">
      <c r="A290">
        <v>10356</v>
      </c>
      <c r="B290">
        <v>69</v>
      </c>
      <c r="C290" s="6">
        <v>28.8</v>
      </c>
      <c r="D290" s="6">
        <v>20</v>
      </c>
      <c r="E290" s="8">
        <v>0</v>
      </c>
    </row>
    <row r="291" spans="1:5" x14ac:dyDescent="0.2">
      <c r="A291">
        <v>10357</v>
      </c>
      <c r="B291">
        <v>10</v>
      </c>
      <c r="C291" s="6">
        <v>24.8</v>
      </c>
      <c r="D291" s="6">
        <v>30</v>
      </c>
      <c r="E291" s="8">
        <v>0.2</v>
      </c>
    </row>
    <row r="292" spans="1:5" x14ac:dyDescent="0.2">
      <c r="A292">
        <v>10357</v>
      </c>
      <c r="B292">
        <v>26</v>
      </c>
      <c r="C292" s="6">
        <v>24.9</v>
      </c>
      <c r="D292" s="6">
        <v>16</v>
      </c>
      <c r="E292" s="8">
        <v>0</v>
      </c>
    </row>
    <row r="293" spans="1:5" x14ac:dyDescent="0.2">
      <c r="A293">
        <v>10357</v>
      </c>
      <c r="B293">
        <v>60</v>
      </c>
      <c r="C293" s="6">
        <v>27.2</v>
      </c>
      <c r="D293" s="6">
        <v>8</v>
      </c>
      <c r="E293" s="8">
        <v>0.2</v>
      </c>
    </row>
    <row r="294" spans="1:5" x14ac:dyDescent="0.2">
      <c r="A294">
        <v>10358</v>
      </c>
      <c r="B294">
        <v>24</v>
      </c>
      <c r="C294" s="6">
        <v>3.6</v>
      </c>
      <c r="D294" s="6">
        <v>10</v>
      </c>
      <c r="E294" s="8">
        <v>0.05</v>
      </c>
    </row>
    <row r="295" spans="1:5" x14ac:dyDescent="0.2">
      <c r="A295">
        <v>10358</v>
      </c>
      <c r="B295">
        <v>34</v>
      </c>
      <c r="C295" s="6">
        <v>11.2</v>
      </c>
      <c r="D295" s="6">
        <v>10</v>
      </c>
      <c r="E295" s="8">
        <v>0.05</v>
      </c>
    </row>
    <row r="296" spans="1:5" x14ac:dyDescent="0.2">
      <c r="A296">
        <v>10358</v>
      </c>
      <c r="B296">
        <v>36</v>
      </c>
      <c r="C296" s="6">
        <v>15.2</v>
      </c>
      <c r="D296" s="6">
        <v>20</v>
      </c>
      <c r="E296" s="8">
        <v>0.05</v>
      </c>
    </row>
    <row r="297" spans="1:5" x14ac:dyDescent="0.2">
      <c r="A297">
        <v>10359</v>
      </c>
      <c r="B297">
        <v>16</v>
      </c>
      <c r="C297" s="6">
        <v>13.9</v>
      </c>
      <c r="D297" s="6">
        <v>56</v>
      </c>
      <c r="E297" s="8">
        <v>0.05</v>
      </c>
    </row>
    <row r="298" spans="1:5" x14ac:dyDescent="0.2">
      <c r="A298">
        <v>10359</v>
      </c>
      <c r="B298">
        <v>31</v>
      </c>
      <c r="C298" s="6">
        <v>10</v>
      </c>
      <c r="D298" s="6">
        <v>70</v>
      </c>
      <c r="E298" s="8">
        <v>0.05</v>
      </c>
    </row>
    <row r="299" spans="1:5" x14ac:dyDescent="0.2">
      <c r="A299">
        <v>10359</v>
      </c>
      <c r="B299">
        <v>60</v>
      </c>
      <c r="C299" s="6">
        <v>27.2</v>
      </c>
      <c r="D299" s="6">
        <v>80</v>
      </c>
      <c r="E299" s="8">
        <v>0.05</v>
      </c>
    </row>
    <row r="300" spans="1:5" x14ac:dyDescent="0.2">
      <c r="A300">
        <v>10360</v>
      </c>
      <c r="B300">
        <v>28</v>
      </c>
      <c r="C300" s="6">
        <v>36.4</v>
      </c>
      <c r="D300" s="6">
        <v>30</v>
      </c>
      <c r="E300" s="8">
        <v>0</v>
      </c>
    </row>
    <row r="301" spans="1:5" x14ac:dyDescent="0.2">
      <c r="A301">
        <v>10360</v>
      </c>
      <c r="B301">
        <v>29</v>
      </c>
      <c r="C301" s="6">
        <v>99</v>
      </c>
      <c r="D301" s="6">
        <v>35</v>
      </c>
      <c r="E301" s="8">
        <v>0</v>
      </c>
    </row>
    <row r="302" spans="1:5" x14ac:dyDescent="0.2">
      <c r="A302">
        <v>10360</v>
      </c>
      <c r="B302">
        <v>38</v>
      </c>
      <c r="C302" s="6">
        <v>210.8</v>
      </c>
      <c r="D302" s="6">
        <v>10</v>
      </c>
      <c r="E302" s="8">
        <v>0</v>
      </c>
    </row>
    <row r="303" spans="1:5" x14ac:dyDescent="0.2">
      <c r="A303">
        <v>10360</v>
      </c>
      <c r="B303">
        <v>49</v>
      </c>
      <c r="C303" s="6">
        <v>16</v>
      </c>
      <c r="D303" s="6">
        <v>35</v>
      </c>
      <c r="E303" s="8">
        <v>0</v>
      </c>
    </row>
    <row r="304" spans="1:5" x14ac:dyDescent="0.2">
      <c r="A304">
        <v>10360</v>
      </c>
      <c r="B304">
        <v>54</v>
      </c>
      <c r="C304" s="6">
        <v>5.9</v>
      </c>
      <c r="D304" s="6">
        <v>28</v>
      </c>
      <c r="E304" s="8">
        <v>0</v>
      </c>
    </row>
    <row r="305" spans="1:5" x14ac:dyDescent="0.2">
      <c r="A305">
        <v>10361</v>
      </c>
      <c r="B305">
        <v>39</v>
      </c>
      <c r="C305" s="6">
        <v>14.4</v>
      </c>
      <c r="D305" s="6">
        <v>54</v>
      </c>
      <c r="E305" s="8">
        <v>0.1</v>
      </c>
    </row>
    <row r="306" spans="1:5" x14ac:dyDescent="0.2">
      <c r="A306">
        <v>10361</v>
      </c>
      <c r="B306">
        <v>60</v>
      </c>
      <c r="C306" s="6">
        <v>27.2</v>
      </c>
      <c r="D306" s="6">
        <v>55</v>
      </c>
      <c r="E306" s="8">
        <v>0.1</v>
      </c>
    </row>
    <row r="307" spans="1:5" x14ac:dyDescent="0.2">
      <c r="A307">
        <v>10362</v>
      </c>
      <c r="B307">
        <v>25</v>
      </c>
      <c r="C307" s="6">
        <v>11.2</v>
      </c>
      <c r="D307" s="6">
        <v>50</v>
      </c>
      <c r="E307" s="8">
        <v>0</v>
      </c>
    </row>
    <row r="308" spans="1:5" x14ac:dyDescent="0.2">
      <c r="A308">
        <v>10362</v>
      </c>
      <c r="B308">
        <v>51</v>
      </c>
      <c r="C308" s="6">
        <v>42.4</v>
      </c>
      <c r="D308" s="6">
        <v>20</v>
      </c>
      <c r="E308" s="8">
        <v>0</v>
      </c>
    </row>
    <row r="309" spans="1:5" x14ac:dyDescent="0.2">
      <c r="A309">
        <v>10362</v>
      </c>
      <c r="B309">
        <v>54</v>
      </c>
      <c r="C309" s="6">
        <v>5.9</v>
      </c>
      <c r="D309" s="6">
        <v>24</v>
      </c>
      <c r="E309" s="8">
        <v>0</v>
      </c>
    </row>
    <row r="310" spans="1:5" x14ac:dyDescent="0.2">
      <c r="A310">
        <v>10363</v>
      </c>
      <c r="B310">
        <v>31</v>
      </c>
      <c r="C310" s="6">
        <v>10</v>
      </c>
      <c r="D310" s="6">
        <v>20</v>
      </c>
      <c r="E310" s="8">
        <v>0</v>
      </c>
    </row>
    <row r="311" spans="1:5" x14ac:dyDescent="0.2">
      <c r="A311">
        <v>10363</v>
      </c>
      <c r="B311">
        <v>75</v>
      </c>
      <c r="C311" s="6">
        <v>6.2</v>
      </c>
      <c r="D311" s="6">
        <v>12</v>
      </c>
      <c r="E311" s="8">
        <v>0</v>
      </c>
    </row>
    <row r="312" spans="1:5" x14ac:dyDescent="0.2">
      <c r="A312">
        <v>10363</v>
      </c>
      <c r="B312">
        <v>76</v>
      </c>
      <c r="C312" s="6">
        <v>14.4</v>
      </c>
      <c r="D312" s="6">
        <v>12</v>
      </c>
      <c r="E312" s="8">
        <v>0</v>
      </c>
    </row>
    <row r="313" spans="1:5" x14ac:dyDescent="0.2">
      <c r="A313">
        <v>10364</v>
      </c>
      <c r="B313">
        <v>69</v>
      </c>
      <c r="C313" s="6">
        <v>28.8</v>
      </c>
      <c r="D313" s="6">
        <v>30</v>
      </c>
      <c r="E313" s="8">
        <v>0</v>
      </c>
    </row>
    <row r="314" spans="1:5" x14ac:dyDescent="0.2">
      <c r="A314">
        <v>10364</v>
      </c>
      <c r="B314">
        <v>71</v>
      </c>
      <c r="C314" s="6">
        <v>17.2</v>
      </c>
      <c r="D314" s="6">
        <v>5</v>
      </c>
      <c r="E314" s="8">
        <v>0</v>
      </c>
    </row>
    <row r="315" spans="1:5" x14ac:dyDescent="0.2">
      <c r="A315">
        <v>10365</v>
      </c>
      <c r="B315">
        <v>11</v>
      </c>
      <c r="C315" s="6">
        <v>16.8</v>
      </c>
      <c r="D315" s="6">
        <v>24</v>
      </c>
      <c r="E315" s="8">
        <v>0</v>
      </c>
    </row>
    <row r="316" spans="1:5" x14ac:dyDescent="0.2">
      <c r="A316">
        <v>10366</v>
      </c>
      <c r="B316">
        <v>65</v>
      </c>
      <c r="C316" s="6">
        <v>16.8</v>
      </c>
      <c r="D316" s="6">
        <v>5</v>
      </c>
      <c r="E316" s="8">
        <v>0</v>
      </c>
    </row>
    <row r="317" spans="1:5" x14ac:dyDescent="0.2">
      <c r="A317">
        <v>10366</v>
      </c>
      <c r="B317">
        <v>77</v>
      </c>
      <c r="C317" s="6">
        <v>10.4</v>
      </c>
      <c r="D317" s="6">
        <v>5</v>
      </c>
      <c r="E317" s="8">
        <v>0</v>
      </c>
    </row>
    <row r="318" spans="1:5" x14ac:dyDescent="0.2">
      <c r="A318">
        <v>10367</v>
      </c>
      <c r="B318">
        <v>34</v>
      </c>
      <c r="C318" s="6">
        <v>11.2</v>
      </c>
      <c r="D318" s="6">
        <v>36</v>
      </c>
      <c r="E318" s="8">
        <v>0</v>
      </c>
    </row>
    <row r="319" spans="1:5" x14ac:dyDescent="0.2">
      <c r="A319">
        <v>10367</v>
      </c>
      <c r="B319">
        <v>54</v>
      </c>
      <c r="C319" s="6">
        <v>5.9</v>
      </c>
      <c r="D319" s="6">
        <v>18</v>
      </c>
      <c r="E319" s="8">
        <v>0</v>
      </c>
    </row>
    <row r="320" spans="1:5" x14ac:dyDescent="0.2">
      <c r="A320">
        <v>10367</v>
      </c>
      <c r="B320">
        <v>65</v>
      </c>
      <c r="C320" s="6">
        <v>16.8</v>
      </c>
      <c r="D320" s="6">
        <v>15</v>
      </c>
      <c r="E320" s="8">
        <v>0</v>
      </c>
    </row>
    <row r="321" spans="1:5" x14ac:dyDescent="0.2">
      <c r="A321">
        <v>10367</v>
      </c>
      <c r="B321">
        <v>77</v>
      </c>
      <c r="C321" s="6">
        <v>10.4</v>
      </c>
      <c r="D321" s="6">
        <v>7</v>
      </c>
      <c r="E321" s="8">
        <v>0</v>
      </c>
    </row>
    <row r="322" spans="1:5" x14ac:dyDescent="0.2">
      <c r="A322">
        <v>10368</v>
      </c>
      <c r="B322">
        <v>21</v>
      </c>
      <c r="C322" s="6">
        <v>8</v>
      </c>
      <c r="D322" s="6">
        <v>5</v>
      </c>
      <c r="E322" s="8">
        <v>0.1</v>
      </c>
    </row>
    <row r="323" spans="1:5" x14ac:dyDescent="0.2">
      <c r="A323">
        <v>10368</v>
      </c>
      <c r="B323">
        <v>28</v>
      </c>
      <c r="C323" s="6">
        <v>36.4</v>
      </c>
      <c r="D323" s="6">
        <v>13</v>
      </c>
      <c r="E323" s="8">
        <v>0.1</v>
      </c>
    </row>
    <row r="324" spans="1:5" x14ac:dyDescent="0.2">
      <c r="A324">
        <v>10368</v>
      </c>
      <c r="B324">
        <v>57</v>
      </c>
      <c r="C324" s="6">
        <v>15.6</v>
      </c>
      <c r="D324" s="6">
        <v>25</v>
      </c>
      <c r="E324" s="8">
        <v>0</v>
      </c>
    </row>
    <row r="325" spans="1:5" x14ac:dyDescent="0.2">
      <c r="A325">
        <v>10368</v>
      </c>
      <c r="B325">
        <v>64</v>
      </c>
      <c r="C325" s="6">
        <v>26.6</v>
      </c>
      <c r="D325" s="6">
        <v>35</v>
      </c>
      <c r="E325" s="8">
        <v>0.1</v>
      </c>
    </row>
    <row r="326" spans="1:5" x14ac:dyDescent="0.2">
      <c r="A326">
        <v>10369</v>
      </c>
      <c r="B326">
        <v>29</v>
      </c>
      <c r="C326" s="6">
        <v>99</v>
      </c>
      <c r="D326" s="6">
        <v>20</v>
      </c>
      <c r="E326" s="8">
        <v>0</v>
      </c>
    </row>
    <row r="327" spans="1:5" x14ac:dyDescent="0.2">
      <c r="A327">
        <v>10369</v>
      </c>
      <c r="B327">
        <v>56</v>
      </c>
      <c r="C327" s="6">
        <v>30.4</v>
      </c>
      <c r="D327" s="6">
        <v>18</v>
      </c>
      <c r="E327" s="8">
        <v>0.25</v>
      </c>
    </row>
    <row r="328" spans="1:5" x14ac:dyDescent="0.2">
      <c r="A328">
        <v>10370</v>
      </c>
      <c r="B328">
        <v>1</v>
      </c>
      <c r="C328" s="6">
        <v>14.4</v>
      </c>
      <c r="D328" s="6">
        <v>15</v>
      </c>
      <c r="E328" s="8">
        <v>0.15</v>
      </c>
    </row>
    <row r="329" spans="1:5" x14ac:dyDescent="0.2">
      <c r="A329">
        <v>10370</v>
      </c>
      <c r="B329">
        <v>64</v>
      </c>
      <c r="C329" s="6">
        <v>26.6</v>
      </c>
      <c r="D329" s="6">
        <v>30</v>
      </c>
      <c r="E329" s="8">
        <v>0</v>
      </c>
    </row>
    <row r="330" spans="1:5" x14ac:dyDescent="0.2">
      <c r="A330">
        <v>10370</v>
      </c>
      <c r="B330">
        <v>74</v>
      </c>
      <c r="C330" s="6">
        <v>8</v>
      </c>
      <c r="D330" s="6">
        <v>20</v>
      </c>
      <c r="E330" s="8">
        <v>0.15</v>
      </c>
    </row>
    <row r="331" spans="1:5" x14ac:dyDescent="0.2">
      <c r="A331">
        <v>10371</v>
      </c>
      <c r="B331">
        <v>36</v>
      </c>
      <c r="C331" s="6">
        <v>15.2</v>
      </c>
      <c r="D331" s="6">
        <v>6</v>
      </c>
      <c r="E331" s="8">
        <v>0.2</v>
      </c>
    </row>
    <row r="332" spans="1:5" x14ac:dyDescent="0.2">
      <c r="A332">
        <v>10372</v>
      </c>
      <c r="B332">
        <v>20</v>
      </c>
      <c r="C332" s="6">
        <v>64.8</v>
      </c>
      <c r="D332" s="6">
        <v>12</v>
      </c>
      <c r="E332" s="8">
        <v>0.25</v>
      </c>
    </row>
    <row r="333" spans="1:5" x14ac:dyDescent="0.2">
      <c r="A333">
        <v>10372</v>
      </c>
      <c r="B333">
        <v>38</v>
      </c>
      <c r="C333" s="6">
        <v>210.8</v>
      </c>
      <c r="D333" s="6">
        <v>40</v>
      </c>
      <c r="E333" s="8">
        <v>0.25</v>
      </c>
    </row>
    <row r="334" spans="1:5" x14ac:dyDescent="0.2">
      <c r="A334">
        <v>10372</v>
      </c>
      <c r="B334">
        <v>60</v>
      </c>
      <c r="C334" s="6">
        <v>27.2</v>
      </c>
      <c r="D334" s="6">
        <v>70</v>
      </c>
      <c r="E334" s="8">
        <v>0.25</v>
      </c>
    </row>
    <row r="335" spans="1:5" x14ac:dyDescent="0.2">
      <c r="A335">
        <v>10372</v>
      </c>
      <c r="B335">
        <v>72</v>
      </c>
      <c r="C335" s="6">
        <v>27.8</v>
      </c>
      <c r="D335" s="6">
        <v>42</v>
      </c>
      <c r="E335" s="8">
        <v>0.25</v>
      </c>
    </row>
    <row r="336" spans="1:5" x14ac:dyDescent="0.2">
      <c r="A336">
        <v>10373</v>
      </c>
      <c r="B336">
        <v>58</v>
      </c>
      <c r="C336" s="6">
        <v>10.6</v>
      </c>
      <c r="D336" s="6">
        <v>80</v>
      </c>
      <c r="E336" s="8">
        <v>0.2</v>
      </c>
    </row>
    <row r="337" spans="1:5" x14ac:dyDescent="0.2">
      <c r="A337">
        <v>10373</v>
      </c>
      <c r="B337">
        <v>71</v>
      </c>
      <c r="C337" s="6">
        <v>17.2</v>
      </c>
      <c r="D337" s="6">
        <v>50</v>
      </c>
      <c r="E337" s="8">
        <v>0.2</v>
      </c>
    </row>
    <row r="338" spans="1:5" x14ac:dyDescent="0.2">
      <c r="A338">
        <v>10374</v>
      </c>
      <c r="B338">
        <v>31</v>
      </c>
      <c r="C338" s="6">
        <v>10</v>
      </c>
      <c r="D338" s="6">
        <v>30</v>
      </c>
      <c r="E338" s="8">
        <v>0</v>
      </c>
    </row>
    <row r="339" spans="1:5" x14ac:dyDescent="0.2">
      <c r="A339">
        <v>10374</v>
      </c>
      <c r="B339">
        <v>58</v>
      </c>
      <c r="C339" s="6">
        <v>10.6</v>
      </c>
      <c r="D339" s="6">
        <v>15</v>
      </c>
      <c r="E339" s="8">
        <v>0</v>
      </c>
    </row>
    <row r="340" spans="1:5" x14ac:dyDescent="0.2">
      <c r="A340">
        <v>10375</v>
      </c>
      <c r="B340">
        <v>14</v>
      </c>
      <c r="C340" s="6">
        <v>18.600000000000001</v>
      </c>
      <c r="D340" s="6">
        <v>15</v>
      </c>
      <c r="E340" s="8">
        <v>0</v>
      </c>
    </row>
    <row r="341" spans="1:5" x14ac:dyDescent="0.2">
      <c r="A341">
        <v>10375</v>
      </c>
      <c r="B341">
        <v>54</v>
      </c>
      <c r="C341" s="6">
        <v>5.9</v>
      </c>
      <c r="D341" s="6">
        <v>10</v>
      </c>
      <c r="E341" s="8">
        <v>0</v>
      </c>
    </row>
    <row r="342" spans="1:5" x14ac:dyDescent="0.2">
      <c r="A342">
        <v>10376</v>
      </c>
      <c r="B342">
        <v>31</v>
      </c>
      <c r="C342" s="6">
        <v>10</v>
      </c>
      <c r="D342" s="6">
        <v>42</v>
      </c>
      <c r="E342" s="8">
        <v>0.05</v>
      </c>
    </row>
    <row r="343" spans="1:5" x14ac:dyDescent="0.2">
      <c r="A343">
        <v>10377</v>
      </c>
      <c r="B343">
        <v>28</v>
      </c>
      <c r="C343" s="6">
        <v>36.4</v>
      </c>
      <c r="D343" s="6">
        <v>20</v>
      </c>
      <c r="E343" s="8">
        <v>0.15</v>
      </c>
    </row>
    <row r="344" spans="1:5" x14ac:dyDescent="0.2">
      <c r="A344">
        <v>10377</v>
      </c>
      <c r="B344">
        <v>39</v>
      </c>
      <c r="C344" s="6">
        <v>14.4</v>
      </c>
      <c r="D344" s="6">
        <v>20</v>
      </c>
      <c r="E344" s="8">
        <v>0.15</v>
      </c>
    </row>
    <row r="345" spans="1:5" x14ac:dyDescent="0.2">
      <c r="A345">
        <v>10378</v>
      </c>
      <c r="B345">
        <v>71</v>
      </c>
      <c r="C345" s="6">
        <v>17.2</v>
      </c>
      <c r="D345" s="6">
        <v>6</v>
      </c>
      <c r="E345" s="8">
        <v>0</v>
      </c>
    </row>
    <row r="346" spans="1:5" x14ac:dyDescent="0.2">
      <c r="A346">
        <v>10379</v>
      </c>
      <c r="B346">
        <v>41</v>
      </c>
      <c r="C346" s="6">
        <v>7.7</v>
      </c>
      <c r="D346" s="6">
        <v>8</v>
      </c>
      <c r="E346" s="8">
        <v>0.1</v>
      </c>
    </row>
    <row r="347" spans="1:5" x14ac:dyDescent="0.2">
      <c r="A347">
        <v>10379</v>
      </c>
      <c r="B347">
        <v>63</v>
      </c>
      <c r="C347" s="6">
        <v>35.1</v>
      </c>
      <c r="D347" s="6">
        <v>16</v>
      </c>
      <c r="E347" s="8">
        <v>0.1</v>
      </c>
    </row>
    <row r="348" spans="1:5" x14ac:dyDescent="0.2">
      <c r="A348">
        <v>10379</v>
      </c>
      <c r="B348">
        <v>65</v>
      </c>
      <c r="C348" s="6">
        <v>16.8</v>
      </c>
      <c r="D348" s="6">
        <v>20</v>
      </c>
      <c r="E348" s="8">
        <v>0.1</v>
      </c>
    </row>
    <row r="349" spans="1:5" x14ac:dyDescent="0.2">
      <c r="A349">
        <v>10380</v>
      </c>
      <c r="B349">
        <v>30</v>
      </c>
      <c r="C349" s="6">
        <v>20.7</v>
      </c>
      <c r="D349" s="6">
        <v>18</v>
      </c>
      <c r="E349" s="8">
        <v>0.1</v>
      </c>
    </row>
    <row r="350" spans="1:5" x14ac:dyDescent="0.2">
      <c r="A350">
        <v>10380</v>
      </c>
      <c r="B350">
        <v>53</v>
      </c>
      <c r="C350" s="6">
        <v>26.2</v>
      </c>
      <c r="D350" s="6">
        <v>20</v>
      </c>
      <c r="E350" s="8">
        <v>0.1</v>
      </c>
    </row>
    <row r="351" spans="1:5" x14ac:dyDescent="0.2">
      <c r="A351">
        <v>10380</v>
      </c>
      <c r="B351">
        <v>60</v>
      </c>
      <c r="C351" s="6">
        <v>27.2</v>
      </c>
      <c r="D351" s="6">
        <v>6</v>
      </c>
      <c r="E351" s="8">
        <v>0.1</v>
      </c>
    </row>
    <row r="352" spans="1:5" x14ac:dyDescent="0.2">
      <c r="A352">
        <v>10380</v>
      </c>
      <c r="B352">
        <v>70</v>
      </c>
      <c r="C352" s="6">
        <v>12</v>
      </c>
      <c r="D352" s="6">
        <v>30</v>
      </c>
      <c r="E352" s="8">
        <v>0</v>
      </c>
    </row>
    <row r="353" spans="1:5" x14ac:dyDescent="0.2">
      <c r="A353">
        <v>10381</v>
      </c>
      <c r="B353">
        <v>74</v>
      </c>
      <c r="C353" s="6">
        <v>8</v>
      </c>
      <c r="D353" s="6">
        <v>14</v>
      </c>
      <c r="E353" s="8">
        <v>0</v>
      </c>
    </row>
    <row r="354" spans="1:5" x14ac:dyDescent="0.2">
      <c r="A354">
        <v>10382</v>
      </c>
      <c r="B354">
        <v>5</v>
      </c>
      <c r="C354" s="6">
        <v>17</v>
      </c>
      <c r="D354" s="6">
        <v>32</v>
      </c>
      <c r="E354" s="8">
        <v>0</v>
      </c>
    </row>
    <row r="355" spans="1:5" x14ac:dyDescent="0.2">
      <c r="A355">
        <v>10382</v>
      </c>
      <c r="B355">
        <v>18</v>
      </c>
      <c r="C355" s="6">
        <v>50</v>
      </c>
      <c r="D355" s="6">
        <v>9</v>
      </c>
      <c r="E355" s="8">
        <v>0</v>
      </c>
    </row>
    <row r="356" spans="1:5" x14ac:dyDescent="0.2">
      <c r="A356">
        <v>10382</v>
      </c>
      <c r="B356">
        <v>29</v>
      </c>
      <c r="C356" s="6">
        <v>99</v>
      </c>
      <c r="D356" s="6">
        <v>14</v>
      </c>
      <c r="E356" s="8">
        <v>0</v>
      </c>
    </row>
    <row r="357" spans="1:5" x14ac:dyDescent="0.2">
      <c r="A357">
        <v>10382</v>
      </c>
      <c r="B357">
        <v>33</v>
      </c>
      <c r="C357" s="6">
        <v>2</v>
      </c>
      <c r="D357" s="6">
        <v>60</v>
      </c>
      <c r="E357" s="8">
        <v>0</v>
      </c>
    </row>
    <row r="358" spans="1:5" x14ac:dyDescent="0.2">
      <c r="A358">
        <v>10382</v>
      </c>
      <c r="B358">
        <v>74</v>
      </c>
      <c r="C358" s="6">
        <v>8</v>
      </c>
      <c r="D358" s="6">
        <v>50</v>
      </c>
      <c r="E358" s="8">
        <v>0</v>
      </c>
    </row>
    <row r="359" spans="1:5" x14ac:dyDescent="0.2">
      <c r="A359">
        <v>10383</v>
      </c>
      <c r="B359">
        <v>13</v>
      </c>
      <c r="C359" s="6">
        <v>4.8</v>
      </c>
      <c r="D359" s="6">
        <v>20</v>
      </c>
      <c r="E359" s="8">
        <v>0</v>
      </c>
    </row>
    <row r="360" spans="1:5" x14ac:dyDescent="0.2">
      <c r="A360">
        <v>10383</v>
      </c>
      <c r="B360">
        <v>50</v>
      </c>
      <c r="C360" s="6">
        <v>13</v>
      </c>
      <c r="D360" s="6">
        <v>15</v>
      </c>
      <c r="E360" s="8">
        <v>0</v>
      </c>
    </row>
    <row r="361" spans="1:5" x14ac:dyDescent="0.2">
      <c r="A361">
        <v>10383</v>
      </c>
      <c r="B361">
        <v>56</v>
      </c>
      <c r="C361" s="6">
        <v>30.4</v>
      </c>
      <c r="D361" s="6">
        <v>20</v>
      </c>
      <c r="E361" s="8">
        <v>0</v>
      </c>
    </row>
    <row r="362" spans="1:5" x14ac:dyDescent="0.2">
      <c r="A362">
        <v>10384</v>
      </c>
      <c r="B362">
        <v>20</v>
      </c>
      <c r="C362" s="6">
        <v>64.8</v>
      </c>
      <c r="D362" s="6">
        <v>28</v>
      </c>
      <c r="E362" s="8">
        <v>0</v>
      </c>
    </row>
    <row r="363" spans="1:5" x14ac:dyDescent="0.2">
      <c r="A363">
        <v>10384</v>
      </c>
      <c r="B363">
        <v>60</v>
      </c>
      <c r="C363" s="6">
        <v>27.2</v>
      </c>
      <c r="D363" s="6">
        <v>15</v>
      </c>
      <c r="E363" s="8">
        <v>0</v>
      </c>
    </row>
    <row r="364" spans="1:5" x14ac:dyDescent="0.2">
      <c r="A364">
        <v>10385</v>
      </c>
      <c r="B364">
        <v>7</v>
      </c>
      <c r="C364" s="6">
        <v>24</v>
      </c>
      <c r="D364" s="6">
        <v>10</v>
      </c>
      <c r="E364" s="8">
        <v>0.2</v>
      </c>
    </row>
    <row r="365" spans="1:5" x14ac:dyDescent="0.2">
      <c r="A365">
        <v>10385</v>
      </c>
      <c r="B365">
        <v>60</v>
      </c>
      <c r="C365" s="6">
        <v>27.2</v>
      </c>
      <c r="D365" s="6">
        <v>20</v>
      </c>
      <c r="E365" s="8">
        <v>0.2</v>
      </c>
    </row>
    <row r="366" spans="1:5" x14ac:dyDescent="0.2">
      <c r="A366">
        <v>10385</v>
      </c>
      <c r="B366">
        <v>68</v>
      </c>
      <c r="C366" s="6">
        <v>10</v>
      </c>
      <c r="D366" s="6">
        <v>8</v>
      </c>
      <c r="E366" s="8">
        <v>0.2</v>
      </c>
    </row>
    <row r="367" spans="1:5" x14ac:dyDescent="0.2">
      <c r="A367">
        <v>10386</v>
      </c>
      <c r="B367">
        <v>24</v>
      </c>
      <c r="C367" s="6">
        <v>3.6</v>
      </c>
      <c r="D367" s="6">
        <v>15</v>
      </c>
      <c r="E367" s="8">
        <v>0</v>
      </c>
    </row>
    <row r="368" spans="1:5" x14ac:dyDescent="0.2">
      <c r="A368">
        <v>10386</v>
      </c>
      <c r="B368">
        <v>34</v>
      </c>
      <c r="C368" s="6">
        <v>11.2</v>
      </c>
      <c r="D368" s="6">
        <v>10</v>
      </c>
      <c r="E368" s="8">
        <v>0</v>
      </c>
    </row>
    <row r="369" spans="1:5" x14ac:dyDescent="0.2">
      <c r="A369">
        <v>10387</v>
      </c>
      <c r="B369">
        <v>24</v>
      </c>
      <c r="C369" s="6">
        <v>3.6</v>
      </c>
      <c r="D369" s="6">
        <v>15</v>
      </c>
      <c r="E369" s="8">
        <v>0</v>
      </c>
    </row>
    <row r="370" spans="1:5" x14ac:dyDescent="0.2">
      <c r="A370">
        <v>10387</v>
      </c>
      <c r="B370">
        <v>28</v>
      </c>
      <c r="C370" s="6">
        <v>36.4</v>
      </c>
      <c r="D370" s="6">
        <v>6</v>
      </c>
      <c r="E370" s="8">
        <v>0</v>
      </c>
    </row>
    <row r="371" spans="1:5" x14ac:dyDescent="0.2">
      <c r="A371">
        <v>10387</v>
      </c>
      <c r="B371">
        <v>59</v>
      </c>
      <c r="C371" s="6">
        <v>44</v>
      </c>
      <c r="D371" s="6">
        <v>12</v>
      </c>
      <c r="E371" s="8">
        <v>0</v>
      </c>
    </row>
    <row r="372" spans="1:5" x14ac:dyDescent="0.2">
      <c r="A372">
        <v>10387</v>
      </c>
      <c r="B372">
        <v>71</v>
      </c>
      <c r="C372" s="6">
        <v>17.2</v>
      </c>
      <c r="D372" s="6">
        <v>15</v>
      </c>
      <c r="E372" s="8">
        <v>0</v>
      </c>
    </row>
    <row r="373" spans="1:5" x14ac:dyDescent="0.2">
      <c r="A373">
        <v>10388</v>
      </c>
      <c r="B373">
        <v>45</v>
      </c>
      <c r="C373" s="6">
        <v>7.6</v>
      </c>
      <c r="D373" s="6">
        <v>15</v>
      </c>
      <c r="E373" s="8">
        <v>0.2</v>
      </c>
    </row>
    <row r="374" spans="1:5" x14ac:dyDescent="0.2">
      <c r="A374">
        <v>10388</v>
      </c>
      <c r="B374">
        <v>52</v>
      </c>
      <c r="C374" s="6">
        <v>5.6</v>
      </c>
      <c r="D374" s="6">
        <v>20</v>
      </c>
      <c r="E374" s="8">
        <v>0.2</v>
      </c>
    </row>
    <row r="375" spans="1:5" x14ac:dyDescent="0.2">
      <c r="A375">
        <v>10388</v>
      </c>
      <c r="B375">
        <v>53</v>
      </c>
      <c r="C375" s="6">
        <v>26.2</v>
      </c>
      <c r="D375" s="6">
        <v>40</v>
      </c>
      <c r="E375" s="8">
        <v>0</v>
      </c>
    </row>
    <row r="376" spans="1:5" x14ac:dyDescent="0.2">
      <c r="A376">
        <v>10389</v>
      </c>
      <c r="B376">
        <v>10</v>
      </c>
      <c r="C376" s="6">
        <v>24.8</v>
      </c>
      <c r="D376" s="6">
        <v>16</v>
      </c>
      <c r="E376" s="8">
        <v>0</v>
      </c>
    </row>
    <row r="377" spans="1:5" x14ac:dyDescent="0.2">
      <c r="A377">
        <v>10389</v>
      </c>
      <c r="B377">
        <v>55</v>
      </c>
      <c r="C377" s="6">
        <v>19.2</v>
      </c>
      <c r="D377" s="6">
        <v>15</v>
      </c>
      <c r="E377" s="8">
        <v>0</v>
      </c>
    </row>
    <row r="378" spans="1:5" x14ac:dyDescent="0.2">
      <c r="A378">
        <v>10389</v>
      </c>
      <c r="B378">
        <v>62</v>
      </c>
      <c r="C378" s="6">
        <v>39.4</v>
      </c>
      <c r="D378" s="6">
        <v>20</v>
      </c>
      <c r="E378" s="8">
        <v>0</v>
      </c>
    </row>
    <row r="379" spans="1:5" x14ac:dyDescent="0.2">
      <c r="A379">
        <v>10389</v>
      </c>
      <c r="B379">
        <v>70</v>
      </c>
      <c r="C379" s="6">
        <v>12</v>
      </c>
      <c r="D379" s="6">
        <v>30</v>
      </c>
      <c r="E379" s="8">
        <v>0</v>
      </c>
    </row>
    <row r="380" spans="1:5" x14ac:dyDescent="0.2">
      <c r="A380">
        <v>10390</v>
      </c>
      <c r="B380">
        <v>31</v>
      </c>
      <c r="C380" s="6">
        <v>10</v>
      </c>
      <c r="D380" s="6">
        <v>60</v>
      </c>
      <c r="E380" s="8">
        <v>0.1</v>
      </c>
    </row>
    <row r="381" spans="1:5" x14ac:dyDescent="0.2">
      <c r="A381">
        <v>10390</v>
      </c>
      <c r="B381">
        <v>35</v>
      </c>
      <c r="C381" s="6">
        <v>14.4</v>
      </c>
      <c r="D381" s="6">
        <v>40</v>
      </c>
      <c r="E381" s="8">
        <v>0.1</v>
      </c>
    </row>
    <row r="382" spans="1:5" x14ac:dyDescent="0.2">
      <c r="A382">
        <v>10390</v>
      </c>
      <c r="B382">
        <v>46</v>
      </c>
      <c r="C382" s="6">
        <v>9.6</v>
      </c>
      <c r="D382" s="6">
        <v>45</v>
      </c>
      <c r="E382" s="8">
        <v>0</v>
      </c>
    </row>
    <row r="383" spans="1:5" x14ac:dyDescent="0.2">
      <c r="A383">
        <v>10390</v>
      </c>
      <c r="B383">
        <v>72</v>
      </c>
      <c r="C383" s="6">
        <v>27.8</v>
      </c>
      <c r="D383" s="6">
        <v>24</v>
      </c>
      <c r="E383" s="8">
        <v>0.1</v>
      </c>
    </row>
    <row r="384" spans="1:5" x14ac:dyDescent="0.2">
      <c r="A384">
        <v>10391</v>
      </c>
      <c r="B384">
        <v>13</v>
      </c>
      <c r="C384" s="6">
        <v>4.8</v>
      </c>
      <c r="D384" s="6">
        <v>18</v>
      </c>
      <c r="E384" s="8">
        <v>0</v>
      </c>
    </row>
    <row r="385" spans="1:5" x14ac:dyDescent="0.2">
      <c r="A385">
        <v>10392</v>
      </c>
      <c r="B385">
        <v>69</v>
      </c>
      <c r="C385" s="6">
        <v>28.8</v>
      </c>
      <c r="D385" s="6">
        <v>50</v>
      </c>
      <c r="E385" s="8">
        <v>0</v>
      </c>
    </row>
    <row r="386" spans="1:5" x14ac:dyDescent="0.2">
      <c r="A386">
        <v>10393</v>
      </c>
      <c r="B386">
        <v>2</v>
      </c>
      <c r="C386" s="6">
        <v>15.2</v>
      </c>
      <c r="D386" s="6">
        <v>25</v>
      </c>
      <c r="E386" s="8">
        <v>0.25</v>
      </c>
    </row>
    <row r="387" spans="1:5" x14ac:dyDescent="0.2">
      <c r="A387">
        <v>10393</v>
      </c>
      <c r="B387">
        <v>14</v>
      </c>
      <c r="C387" s="6">
        <v>18.600000000000001</v>
      </c>
      <c r="D387" s="6">
        <v>42</v>
      </c>
      <c r="E387" s="8">
        <v>0.25</v>
      </c>
    </row>
    <row r="388" spans="1:5" x14ac:dyDescent="0.2">
      <c r="A388">
        <v>10393</v>
      </c>
      <c r="B388">
        <v>25</v>
      </c>
      <c r="C388" s="6">
        <v>11.2</v>
      </c>
      <c r="D388" s="6">
        <v>7</v>
      </c>
      <c r="E388" s="8">
        <v>0.25</v>
      </c>
    </row>
    <row r="389" spans="1:5" x14ac:dyDescent="0.2">
      <c r="A389">
        <v>10393</v>
      </c>
      <c r="B389">
        <v>26</v>
      </c>
      <c r="C389" s="6">
        <v>24.9</v>
      </c>
      <c r="D389" s="6">
        <v>70</v>
      </c>
      <c r="E389" s="8">
        <v>0.25</v>
      </c>
    </row>
    <row r="390" spans="1:5" x14ac:dyDescent="0.2">
      <c r="A390">
        <v>10393</v>
      </c>
      <c r="B390">
        <v>31</v>
      </c>
      <c r="C390" s="6">
        <v>10</v>
      </c>
      <c r="D390" s="6">
        <v>32</v>
      </c>
      <c r="E390" s="8">
        <v>0</v>
      </c>
    </row>
    <row r="391" spans="1:5" x14ac:dyDescent="0.2">
      <c r="A391">
        <v>10394</v>
      </c>
      <c r="B391">
        <v>13</v>
      </c>
      <c r="C391" s="6">
        <v>4.8</v>
      </c>
      <c r="D391" s="6">
        <v>10</v>
      </c>
      <c r="E391" s="8">
        <v>0</v>
      </c>
    </row>
    <row r="392" spans="1:5" x14ac:dyDescent="0.2">
      <c r="A392">
        <v>10394</v>
      </c>
      <c r="B392">
        <v>62</v>
      </c>
      <c r="C392" s="6">
        <v>39.4</v>
      </c>
      <c r="D392" s="6">
        <v>10</v>
      </c>
      <c r="E392" s="8">
        <v>0</v>
      </c>
    </row>
    <row r="393" spans="1:5" x14ac:dyDescent="0.2">
      <c r="A393">
        <v>10395</v>
      </c>
      <c r="B393">
        <v>46</v>
      </c>
      <c r="C393" s="6">
        <v>9.6</v>
      </c>
      <c r="D393" s="6">
        <v>28</v>
      </c>
      <c r="E393" s="8">
        <v>0.1</v>
      </c>
    </row>
    <row r="394" spans="1:5" x14ac:dyDescent="0.2">
      <c r="A394">
        <v>10395</v>
      </c>
      <c r="B394">
        <v>53</v>
      </c>
      <c r="C394" s="6">
        <v>26.2</v>
      </c>
      <c r="D394" s="6">
        <v>70</v>
      </c>
      <c r="E394" s="8">
        <v>0.1</v>
      </c>
    </row>
    <row r="395" spans="1:5" x14ac:dyDescent="0.2">
      <c r="A395">
        <v>10395</v>
      </c>
      <c r="B395">
        <v>69</v>
      </c>
      <c r="C395" s="6">
        <v>28.8</v>
      </c>
      <c r="D395" s="6">
        <v>8</v>
      </c>
      <c r="E395" s="8">
        <v>0</v>
      </c>
    </row>
    <row r="396" spans="1:5" x14ac:dyDescent="0.2">
      <c r="A396">
        <v>10396</v>
      </c>
      <c r="B396">
        <v>23</v>
      </c>
      <c r="C396" s="6">
        <v>7.2</v>
      </c>
      <c r="D396" s="6">
        <v>40</v>
      </c>
      <c r="E396" s="8">
        <v>0</v>
      </c>
    </row>
    <row r="397" spans="1:5" x14ac:dyDescent="0.2">
      <c r="A397">
        <v>10396</v>
      </c>
      <c r="B397">
        <v>71</v>
      </c>
      <c r="C397" s="6">
        <v>17.2</v>
      </c>
      <c r="D397" s="6">
        <v>60</v>
      </c>
      <c r="E397" s="8">
        <v>0</v>
      </c>
    </row>
    <row r="398" spans="1:5" x14ac:dyDescent="0.2">
      <c r="A398">
        <v>10396</v>
      </c>
      <c r="B398">
        <v>72</v>
      </c>
      <c r="C398" s="6">
        <v>27.8</v>
      </c>
      <c r="D398" s="6">
        <v>21</v>
      </c>
      <c r="E398" s="8">
        <v>0</v>
      </c>
    </row>
    <row r="399" spans="1:5" x14ac:dyDescent="0.2">
      <c r="A399">
        <v>10397</v>
      </c>
      <c r="B399">
        <v>21</v>
      </c>
      <c r="C399" s="6">
        <v>8</v>
      </c>
      <c r="D399" s="6">
        <v>10</v>
      </c>
      <c r="E399" s="8">
        <v>0.15</v>
      </c>
    </row>
    <row r="400" spans="1:5" x14ac:dyDescent="0.2">
      <c r="A400">
        <v>10397</v>
      </c>
      <c r="B400">
        <v>51</v>
      </c>
      <c r="C400" s="6">
        <v>42.4</v>
      </c>
      <c r="D400" s="6">
        <v>18</v>
      </c>
      <c r="E400" s="8">
        <v>0.15</v>
      </c>
    </row>
    <row r="401" spans="1:5" x14ac:dyDescent="0.2">
      <c r="A401">
        <v>10398</v>
      </c>
      <c r="B401">
        <v>35</v>
      </c>
      <c r="C401" s="6">
        <v>14.4</v>
      </c>
      <c r="D401" s="6">
        <v>30</v>
      </c>
      <c r="E401" s="8">
        <v>0</v>
      </c>
    </row>
    <row r="402" spans="1:5" x14ac:dyDescent="0.2">
      <c r="A402">
        <v>10398</v>
      </c>
      <c r="B402">
        <v>55</v>
      </c>
      <c r="C402" s="6">
        <v>19.2</v>
      </c>
      <c r="D402" s="6">
        <v>120</v>
      </c>
      <c r="E402" s="8">
        <v>0.1</v>
      </c>
    </row>
    <row r="403" spans="1:5" x14ac:dyDescent="0.2">
      <c r="A403">
        <v>10399</v>
      </c>
      <c r="B403">
        <v>68</v>
      </c>
      <c r="C403" s="6">
        <v>10</v>
      </c>
      <c r="D403" s="6">
        <v>60</v>
      </c>
      <c r="E403" s="8">
        <v>0</v>
      </c>
    </row>
    <row r="404" spans="1:5" x14ac:dyDescent="0.2">
      <c r="A404">
        <v>10399</v>
      </c>
      <c r="B404">
        <v>71</v>
      </c>
      <c r="C404" s="6">
        <v>17.2</v>
      </c>
      <c r="D404" s="6">
        <v>30</v>
      </c>
      <c r="E404" s="8">
        <v>0</v>
      </c>
    </row>
    <row r="405" spans="1:5" x14ac:dyDescent="0.2">
      <c r="A405">
        <v>10399</v>
      </c>
      <c r="B405">
        <v>76</v>
      </c>
      <c r="C405" s="6">
        <v>14.4</v>
      </c>
      <c r="D405" s="6">
        <v>35</v>
      </c>
      <c r="E405" s="8">
        <v>0</v>
      </c>
    </row>
    <row r="406" spans="1:5" x14ac:dyDescent="0.2">
      <c r="A406">
        <v>10399</v>
      </c>
      <c r="B406">
        <v>77</v>
      </c>
      <c r="C406" s="6">
        <v>10.4</v>
      </c>
      <c r="D406" s="6">
        <v>14</v>
      </c>
      <c r="E406" s="8">
        <v>0</v>
      </c>
    </row>
    <row r="407" spans="1:5" x14ac:dyDescent="0.2">
      <c r="A407">
        <v>10400</v>
      </c>
      <c r="B407">
        <v>29</v>
      </c>
      <c r="C407" s="6">
        <v>99</v>
      </c>
      <c r="D407" s="6">
        <v>21</v>
      </c>
      <c r="E407" s="8">
        <v>0</v>
      </c>
    </row>
    <row r="408" spans="1:5" x14ac:dyDescent="0.2">
      <c r="A408">
        <v>10400</v>
      </c>
      <c r="B408">
        <v>35</v>
      </c>
      <c r="C408" s="6">
        <v>14.4</v>
      </c>
      <c r="D408" s="6">
        <v>35</v>
      </c>
      <c r="E408" s="8">
        <v>0</v>
      </c>
    </row>
    <row r="409" spans="1:5" x14ac:dyDescent="0.2">
      <c r="A409">
        <v>10400</v>
      </c>
      <c r="B409">
        <v>49</v>
      </c>
      <c r="C409" s="6">
        <v>16</v>
      </c>
      <c r="D409" s="6">
        <v>30</v>
      </c>
      <c r="E409" s="8">
        <v>0</v>
      </c>
    </row>
    <row r="410" spans="1:5" x14ac:dyDescent="0.2">
      <c r="A410">
        <v>10401</v>
      </c>
      <c r="B410">
        <v>30</v>
      </c>
      <c r="C410" s="6">
        <v>20.7</v>
      </c>
      <c r="D410" s="6">
        <v>18</v>
      </c>
      <c r="E410" s="8">
        <v>0</v>
      </c>
    </row>
    <row r="411" spans="1:5" x14ac:dyDescent="0.2">
      <c r="A411">
        <v>10401</v>
      </c>
      <c r="B411">
        <v>56</v>
      </c>
      <c r="C411" s="6">
        <v>30.4</v>
      </c>
      <c r="D411" s="6">
        <v>70</v>
      </c>
      <c r="E411" s="8">
        <v>0</v>
      </c>
    </row>
    <row r="412" spans="1:5" x14ac:dyDescent="0.2">
      <c r="A412">
        <v>10401</v>
      </c>
      <c r="B412">
        <v>65</v>
      </c>
      <c r="C412" s="6">
        <v>16.8</v>
      </c>
      <c r="D412" s="6">
        <v>20</v>
      </c>
      <c r="E412" s="8">
        <v>0</v>
      </c>
    </row>
    <row r="413" spans="1:5" x14ac:dyDescent="0.2">
      <c r="A413">
        <v>10401</v>
      </c>
      <c r="B413">
        <v>71</v>
      </c>
      <c r="C413" s="6">
        <v>17.2</v>
      </c>
      <c r="D413" s="6">
        <v>60</v>
      </c>
      <c r="E413" s="8">
        <v>0</v>
      </c>
    </row>
    <row r="414" spans="1:5" x14ac:dyDescent="0.2">
      <c r="A414">
        <v>10402</v>
      </c>
      <c r="B414">
        <v>23</v>
      </c>
      <c r="C414" s="6">
        <v>7.2</v>
      </c>
      <c r="D414" s="6">
        <v>60</v>
      </c>
      <c r="E414" s="8">
        <v>0</v>
      </c>
    </row>
    <row r="415" spans="1:5" x14ac:dyDescent="0.2">
      <c r="A415">
        <v>10402</v>
      </c>
      <c r="B415">
        <v>63</v>
      </c>
      <c r="C415" s="6">
        <v>35.1</v>
      </c>
      <c r="D415" s="6">
        <v>65</v>
      </c>
      <c r="E415" s="8">
        <v>0</v>
      </c>
    </row>
    <row r="416" spans="1:5" x14ac:dyDescent="0.2">
      <c r="A416">
        <v>10403</v>
      </c>
      <c r="B416">
        <v>16</v>
      </c>
      <c r="C416" s="6">
        <v>13.9</v>
      </c>
      <c r="D416" s="6">
        <v>21</v>
      </c>
      <c r="E416" s="8">
        <v>0.15</v>
      </c>
    </row>
    <row r="417" spans="1:5" x14ac:dyDescent="0.2">
      <c r="A417">
        <v>10403</v>
      </c>
      <c r="B417">
        <v>48</v>
      </c>
      <c r="C417" s="6">
        <v>10.199999999999999</v>
      </c>
      <c r="D417" s="6">
        <v>70</v>
      </c>
      <c r="E417" s="8">
        <v>0.15</v>
      </c>
    </row>
    <row r="418" spans="1:5" x14ac:dyDescent="0.2">
      <c r="A418">
        <v>10404</v>
      </c>
      <c r="B418">
        <v>26</v>
      </c>
      <c r="C418" s="6">
        <v>24.9</v>
      </c>
      <c r="D418" s="6">
        <v>30</v>
      </c>
      <c r="E418" s="8">
        <v>0.05</v>
      </c>
    </row>
    <row r="419" spans="1:5" x14ac:dyDescent="0.2">
      <c r="A419">
        <v>10404</v>
      </c>
      <c r="B419">
        <v>42</v>
      </c>
      <c r="C419" s="6">
        <v>11.2</v>
      </c>
      <c r="D419" s="6">
        <v>40</v>
      </c>
      <c r="E419" s="8">
        <v>0.05</v>
      </c>
    </row>
    <row r="420" spans="1:5" x14ac:dyDescent="0.2">
      <c r="A420">
        <v>10404</v>
      </c>
      <c r="B420">
        <v>49</v>
      </c>
      <c r="C420" s="6">
        <v>16</v>
      </c>
      <c r="D420" s="6">
        <v>30</v>
      </c>
      <c r="E420" s="8">
        <v>0.05</v>
      </c>
    </row>
    <row r="421" spans="1:5" x14ac:dyDescent="0.2">
      <c r="A421">
        <v>10405</v>
      </c>
      <c r="B421">
        <v>3</v>
      </c>
      <c r="C421" s="6">
        <v>8</v>
      </c>
      <c r="D421" s="6">
        <v>50</v>
      </c>
      <c r="E421" s="8">
        <v>0</v>
      </c>
    </row>
    <row r="422" spans="1:5" x14ac:dyDescent="0.2">
      <c r="A422">
        <v>10406</v>
      </c>
      <c r="B422">
        <v>1</v>
      </c>
      <c r="C422" s="6">
        <v>14.4</v>
      </c>
      <c r="D422" s="6">
        <v>10</v>
      </c>
      <c r="E422" s="8">
        <v>0</v>
      </c>
    </row>
    <row r="423" spans="1:5" x14ac:dyDescent="0.2">
      <c r="A423">
        <v>10406</v>
      </c>
      <c r="B423">
        <v>21</v>
      </c>
      <c r="C423" s="6">
        <v>8</v>
      </c>
      <c r="D423" s="6">
        <v>30</v>
      </c>
      <c r="E423" s="8">
        <v>0.1</v>
      </c>
    </row>
    <row r="424" spans="1:5" x14ac:dyDescent="0.2">
      <c r="A424">
        <v>10406</v>
      </c>
      <c r="B424">
        <v>28</v>
      </c>
      <c r="C424" s="6">
        <v>36.4</v>
      </c>
      <c r="D424" s="6">
        <v>42</v>
      </c>
      <c r="E424" s="8">
        <v>0.1</v>
      </c>
    </row>
    <row r="425" spans="1:5" x14ac:dyDescent="0.2">
      <c r="A425">
        <v>10406</v>
      </c>
      <c r="B425">
        <v>36</v>
      </c>
      <c r="C425" s="6">
        <v>15.2</v>
      </c>
      <c r="D425" s="6">
        <v>5</v>
      </c>
      <c r="E425" s="8">
        <v>0.1</v>
      </c>
    </row>
    <row r="426" spans="1:5" x14ac:dyDescent="0.2">
      <c r="A426">
        <v>10406</v>
      </c>
      <c r="B426">
        <v>40</v>
      </c>
      <c r="C426" s="6">
        <v>14.7</v>
      </c>
      <c r="D426" s="6">
        <v>2</v>
      </c>
      <c r="E426" s="8">
        <v>0.1</v>
      </c>
    </row>
    <row r="427" spans="1:5" x14ac:dyDescent="0.2">
      <c r="A427">
        <v>10407</v>
      </c>
      <c r="B427">
        <v>11</v>
      </c>
      <c r="C427" s="6">
        <v>16.8</v>
      </c>
      <c r="D427" s="6">
        <v>30</v>
      </c>
      <c r="E427" s="8">
        <v>0</v>
      </c>
    </row>
    <row r="428" spans="1:5" x14ac:dyDescent="0.2">
      <c r="A428">
        <v>10407</v>
      </c>
      <c r="B428">
        <v>69</v>
      </c>
      <c r="C428" s="6">
        <v>28.8</v>
      </c>
      <c r="D428" s="6">
        <v>15</v>
      </c>
      <c r="E428" s="8">
        <v>0</v>
      </c>
    </row>
    <row r="429" spans="1:5" x14ac:dyDescent="0.2">
      <c r="A429">
        <v>10407</v>
      </c>
      <c r="B429">
        <v>71</v>
      </c>
      <c r="C429" s="6">
        <v>17.2</v>
      </c>
      <c r="D429" s="6">
        <v>15</v>
      </c>
      <c r="E429" s="8">
        <v>0</v>
      </c>
    </row>
    <row r="430" spans="1:5" x14ac:dyDescent="0.2">
      <c r="A430">
        <v>10408</v>
      </c>
      <c r="B430">
        <v>37</v>
      </c>
      <c r="C430" s="6">
        <v>20.8</v>
      </c>
      <c r="D430" s="6">
        <v>10</v>
      </c>
      <c r="E430" s="8">
        <v>0</v>
      </c>
    </row>
    <row r="431" spans="1:5" x14ac:dyDescent="0.2">
      <c r="A431">
        <v>10408</v>
      </c>
      <c r="B431">
        <v>54</v>
      </c>
      <c r="C431" s="6">
        <v>5.9</v>
      </c>
      <c r="D431" s="6">
        <v>6</v>
      </c>
      <c r="E431" s="8">
        <v>0</v>
      </c>
    </row>
    <row r="432" spans="1:5" x14ac:dyDescent="0.2">
      <c r="A432">
        <v>10408</v>
      </c>
      <c r="B432">
        <v>62</v>
      </c>
      <c r="C432" s="6">
        <v>39.4</v>
      </c>
      <c r="D432" s="6">
        <v>35</v>
      </c>
      <c r="E432" s="8">
        <v>0</v>
      </c>
    </row>
    <row r="433" spans="1:5" x14ac:dyDescent="0.2">
      <c r="A433">
        <v>10409</v>
      </c>
      <c r="B433">
        <v>14</v>
      </c>
      <c r="C433" s="6">
        <v>18.600000000000001</v>
      </c>
      <c r="D433" s="6">
        <v>12</v>
      </c>
      <c r="E433" s="8">
        <v>0</v>
      </c>
    </row>
    <row r="434" spans="1:5" x14ac:dyDescent="0.2">
      <c r="A434">
        <v>10409</v>
      </c>
      <c r="B434">
        <v>21</v>
      </c>
      <c r="C434" s="6">
        <v>8</v>
      </c>
      <c r="D434" s="6">
        <v>12</v>
      </c>
      <c r="E434" s="8">
        <v>0</v>
      </c>
    </row>
    <row r="435" spans="1:5" x14ac:dyDescent="0.2">
      <c r="A435">
        <v>10410</v>
      </c>
      <c r="B435">
        <v>33</v>
      </c>
      <c r="C435" s="6">
        <v>2</v>
      </c>
      <c r="D435" s="6">
        <v>49</v>
      </c>
      <c r="E435" s="8">
        <v>0</v>
      </c>
    </row>
    <row r="436" spans="1:5" x14ac:dyDescent="0.2">
      <c r="A436">
        <v>10410</v>
      </c>
      <c r="B436">
        <v>59</v>
      </c>
      <c r="C436" s="6">
        <v>44</v>
      </c>
      <c r="D436" s="6">
        <v>16</v>
      </c>
      <c r="E436" s="8">
        <v>0</v>
      </c>
    </row>
    <row r="437" spans="1:5" x14ac:dyDescent="0.2">
      <c r="A437">
        <v>10411</v>
      </c>
      <c r="B437">
        <v>41</v>
      </c>
      <c r="C437" s="6">
        <v>7.7</v>
      </c>
      <c r="D437" s="6">
        <v>25</v>
      </c>
      <c r="E437" s="8">
        <v>0.2</v>
      </c>
    </row>
    <row r="438" spans="1:5" x14ac:dyDescent="0.2">
      <c r="A438">
        <v>10411</v>
      </c>
      <c r="B438">
        <v>44</v>
      </c>
      <c r="C438" s="6">
        <v>15.5</v>
      </c>
      <c r="D438" s="6">
        <v>40</v>
      </c>
      <c r="E438" s="8">
        <v>0.2</v>
      </c>
    </row>
    <row r="439" spans="1:5" x14ac:dyDescent="0.2">
      <c r="A439">
        <v>10411</v>
      </c>
      <c r="B439">
        <v>59</v>
      </c>
      <c r="C439" s="6">
        <v>44</v>
      </c>
      <c r="D439" s="6">
        <v>9</v>
      </c>
      <c r="E439" s="8">
        <v>0.2</v>
      </c>
    </row>
    <row r="440" spans="1:5" x14ac:dyDescent="0.2">
      <c r="A440">
        <v>10412</v>
      </c>
      <c r="B440">
        <v>14</v>
      </c>
      <c r="C440" s="6">
        <v>18.600000000000001</v>
      </c>
      <c r="D440" s="6">
        <v>20</v>
      </c>
      <c r="E440" s="8">
        <v>0.1</v>
      </c>
    </row>
    <row r="441" spans="1:5" x14ac:dyDescent="0.2">
      <c r="A441">
        <v>10413</v>
      </c>
      <c r="B441">
        <v>1</v>
      </c>
      <c r="C441" s="6">
        <v>14.4</v>
      </c>
      <c r="D441" s="6">
        <v>24</v>
      </c>
      <c r="E441" s="8">
        <v>0</v>
      </c>
    </row>
    <row r="442" spans="1:5" x14ac:dyDescent="0.2">
      <c r="A442">
        <v>10413</v>
      </c>
      <c r="B442">
        <v>62</v>
      </c>
      <c r="C442" s="6">
        <v>39.4</v>
      </c>
      <c r="D442" s="6">
        <v>40</v>
      </c>
      <c r="E442" s="8">
        <v>0</v>
      </c>
    </row>
    <row r="443" spans="1:5" x14ac:dyDescent="0.2">
      <c r="A443">
        <v>10413</v>
      </c>
      <c r="B443">
        <v>76</v>
      </c>
      <c r="C443" s="6">
        <v>14.4</v>
      </c>
      <c r="D443" s="6">
        <v>14</v>
      </c>
      <c r="E443" s="8">
        <v>0</v>
      </c>
    </row>
    <row r="444" spans="1:5" x14ac:dyDescent="0.2">
      <c r="A444">
        <v>10414</v>
      </c>
      <c r="B444">
        <v>19</v>
      </c>
      <c r="C444" s="6">
        <v>7.3</v>
      </c>
      <c r="D444" s="6">
        <v>18</v>
      </c>
      <c r="E444" s="8">
        <v>0.05</v>
      </c>
    </row>
    <row r="445" spans="1:5" x14ac:dyDescent="0.2">
      <c r="A445">
        <v>10414</v>
      </c>
      <c r="B445">
        <v>33</v>
      </c>
      <c r="C445" s="6">
        <v>2</v>
      </c>
      <c r="D445" s="6">
        <v>50</v>
      </c>
      <c r="E445" s="8">
        <v>0</v>
      </c>
    </row>
    <row r="446" spans="1:5" x14ac:dyDescent="0.2">
      <c r="A446">
        <v>10415</v>
      </c>
      <c r="B446">
        <v>17</v>
      </c>
      <c r="C446" s="6">
        <v>31.2</v>
      </c>
      <c r="D446" s="6">
        <v>2</v>
      </c>
      <c r="E446" s="8">
        <v>0</v>
      </c>
    </row>
    <row r="447" spans="1:5" x14ac:dyDescent="0.2">
      <c r="A447">
        <v>10415</v>
      </c>
      <c r="B447">
        <v>33</v>
      </c>
      <c r="C447" s="6">
        <v>2</v>
      </c>
      <c r="D447" s="6">
        <v>20</v>
      </c>
      <c r="E447" s="8">
        <v>0</v>
      </c>
    </row>
    <row r="448" spans="1:5" x14ac:dyDescent="0.2">
      <c r="A448">
        <v>10416</v>
      </c>
      <c r="B448">
        <v>19</v>
      </c>
      <c r="C448" s="6">
        <v>7.3</v>
      </c>
      <c r="D448" s="6">
        <v>20</v>
      </c>
      <c r="E448" s="8">
        <v>0</v>
      </c>
    </row>
    <row r="449" spans="1:5" x14ac:dyDescent="0.2">
      <c r="A449">
        <v>10416</v>
      </c>
      <c r="B449">
        <v>53</v>
      </c>
      <c r="C449" s="6">
        <v>26.2</v>
      </c>
      <c r="D449" s="6">
        <v>10</v>
      </c>
      <c r="E449" s="8">
        <v>0</v>
      </c>
    </row>
    <row r="450" spans="1:5" x14ac:dyDescent="0.2">
      <c r="A450">
        <v>10416</v>
      </c>
      <c r="B450">
        <v>57</v>
      </c>
      <c r="C450" s="6">
        <v>15.6</v>
      </c>
      <c r="D450" s="6">
        <v>20</v>
      </c>
      <c r="E450" s="8">
        <v>0</v>
      </c>
    </row>
    <row r="451" spans="1:5" x14ac:dyDescent="0.2">
      <c r="A451">
        <v>10417</v>
      </c>
      <c r="B451">
        <v>38</v>
      </c>
      <c r="C451" s="6">
        <v>210.8</v>
      </c>
      <c r="D451" s="6">
        <v>50</v>
      </c>
      <c r="E451" s="8">
        <v>0</v>
      </c>
    </row>
    <row r="452" spans="1:5" x14ac:dyDescent="0.2">
      <c r="A452">
        <v>10417</v>
      </c>
      <c r="B452">
        <v>46</v>
      </c>
      <c r="C452" s="6">
        <v>9.6</v>
      </c>
      <c r="D452" s="6">
        <v>2</v>
      </c>
      <c r="E452" s="8">
        <v>0.25</v>
      </c>
    </row>
    <row r="453" spans="1:5" x14ac:dyDescent="0.2">
      <c r="A453">
        <v>10417</v>
      </c>
      <c r="B453">
        <v>68</v>
      </c>
      <c r="C453" s="6">
        <v>10</v>
      </c>
      <c r="D453" s="6">
        <v>36</v>
      </c>
      <c r="E453" s="8">
        <v>0.25</v>
      </c>
    </row>
    <row r="454" spans="1:5" x14ac:dyDescent="0.2">
      <c r="A454">
        <v>10417</v>
      </c>
      <c r="B454">
        <v>77</v>
      </c>
      <c r="C454" s="6">
        <v>10.4</v>
      </c>
      <c r="D454" s="6">
        <v>35</v>
      </c>
      <c r="E454" s="8">
        <v>0</v>
      </c>
    </row>
    <row r="455" spans="1:5" x14ac:dyDescent="0.2">
      <c r="A455">
        <v>10418</v>
      </c>
      <c r="B455">
        <v>2</v>
      </c>
      <c r="C455" s="6">
        <v>15.2</v>
      </c>
      <c r="D455" s="6">
        <v>60</v>
      </c>
      <c r="E455" s="8">
        <v>0</v>
      </c>
    </row>
    <row r="456" spans="1:5" x14ac:dyDescent="0.2">
      <c r="A456">
        <v>10418</v>
      </c>
      <c r="B456">
        <v>47</v>
      </c>
      <c r="C456" s="6">
        <v>7.6</v>
      </c>
      <c r="D456" s="6">
        <v>55</v>
      </c>
      <c r="E456" s="8">
        <v>0</v>
      </c>
    </row>
    <row r="457" spans="1:5" x14ac:dyDescent="0.2">
      <c r="A457">
        <v>10418</v>
      </c>
      <c r="B457">
        <v>61</v>
      </c>
      <c r="C457" s="6">
        <v>22.8</v>
      </c>
      <c r="D457" s="6">
        <v>16</v>
      </c>
      <c r="E457" s="8">
        <v>0</v>
      </c>
    </row>
    <row r="458" spans="1:5" x14ac:dyDescent="0.2">
      <c r="A458">
        <v>10418</v>
      </c>
      <c r="B458">
        <v>74</v>
      </c>
      <c r="C458" s="6">
        <v>8</v>
      </c>
      <c r="D458" s="6">
        <v>15</v>
      </c>
      <c r="E458" s="8">
        <v>0</v>
      </c>
    </row>
    <row r="459" spans="1:5" x14ac:dyDescent="0.2">
      <c r="A459">
        <v>10419</v>
      </c>
      <c r="B459">
        <v>60</v>
      </c>
      <c r="C459" s="6">
        <v>27.2</v>
      </c>
      <c r="D459" s="6">
        <v>60</v>
      </c>
      <c r="E459" s="8">
        <v>0.05</v>
      </c>
    </row>
    <row r="460" spans="1:5" x14ac:dyDescent="0.2">
      <c r="A460">
        <v>10419</v>
      </c>
      <c r="B460">
        <v>69</v>
      </c>
      <c r="C460" s="6">
        <v>28.8</v>
      </c>
      <c r="D460" s="6">
        <v>20</v>
      </c>
      <c r="E460" s="8">
        <v>0.05</v>
      </c>
    </row>
    <row r="461" spans="1:5" x14ac:dyDescent="0.2">
      <c r="A461">
        <v>10420</v>
      </c>
      <c r="B461">
        <v>9</v>
      </c>
      <c r="C461" s="6">
        <v>77.599999999999994</v>
      </c>
      <c r="D461" s="6">
        <v>20</v>
      </c>
      <c r="E461" s="8">
        <v>0.1</v>
      </c>
    </row>
    <row r="462" spans="1:5" x14ac:dyDescent="0.2">
      <c r="A462">
        <v>10420</v>
      </c>
      <c r="B462">
        <v>13</v>
      </c>
      <c r="C462" s="6">
        <v>4.8</v>
      </c>
      <c r="D462" s="6">
        <v>2</v>
      </c>
      <c r="E462" s="8">
        <v>0.1</v>
      </c>
    </row>
    <row r="463" spans="1:5" x14ac:dyDescent="0.2">
      <c r="A463">
        <v>10420</v>
      </c>
      <c r="B463">
        <v>70</v>
      </c>
      <c r="C463" s="6">
        <v>12</v>
      </c>
      <c r="D463" s="6">
        <v>8</v>
      </c>
      <c r="E463" s="8">
        <v>0.1</v>
      </c>
    </row>
    <row r="464" spans="1:5" x14ac:dyDescent="0.2">
      <c r="A464">
        <v>10420</v>
      </c>
      <c r="B464">
        <v>73</v>
      </c>
      <c r="C464" s="6">
        <v>12</v>
      </c>
      <c r="D464" s="6">
        <v>20</v>
      </c>
      <c r="E464" s="8">
        <v>0.1</v>
      </c>
    </row>
    <row r="465" spans="1:5" x14ac:dyDescent="0.2">
      <c r="A465">
        <v>10421</v>
      </c>
      <c r="B465">
        <v>19</v>
      </c>
      <c r="C465" s="6">
        <v>7.3</v>
      </c>
      <c r="D465" s="6">
        <v>4</v>
      </c>
      <c r="E465" s="8">
        <v>0.15</v>
      </c>
    </row>
    <row r="466" spans="1:5" x14ac:dyDescent="0.2">
      <c r="A466">
        <v>10421</v>
      </c>
      <c r="B466">
        <v>26</v>
      </c>
      <c r="C466" s="6">
        <v>24.9</v>
      </c>
      <c r="D466" s="6">
        <v>30</v>
      </c>
      <c r="E466" s="8">
        <v>0</v>
      </c>
    </row>
    <row r="467" spans="1:5" x14ac:dyDescent="0.2">
      <c r="A467">
        <v>10421</v>
      </c>
      <c r="B467">
        <v>53</v>
      </c>
      <c r="C467" s="6">
        <v>26.2</v>
      </c>
      <c r="D467" s="6">
        <v>15</v>
      </c>
      <c r="E467" s="8">
        <v>0.15</v>
      </c>
    </row>
    <row r="468" spans="1:5" x14ac:dyDescent="0.2">
      <c r="A468">
        <v>10421</v>
      </c>
      <c r="B468">
        <v>77</v>
      </c>
      <c r="C468" s="6">
        <v>10.4</v>
      </c>
      <c r="D468" s="6">
        <v>10</v>
      </c>
      <c r="E468" s="8">
        <v>0.15</v>
      </c>
    </row>
    <row r="469" spans="1:5" x14ac:dyDescent="0.2">
      <c r="A469">
        <v>10422</v>
      </c>
      <c r="B469">
        <v>26</v>
      </c>
      <c r="C469" s="6">
        <v>24.9</v>
      </c>
      <c r="D469" s="6">
        <v>2</v>
      </c>
      <c r="E469" s="8">
        <v>0</v>
      </c>
    </row>
    <row r="470" spans="1:5" x14ac:dyDescent="0.2">
      <c r="A470">
        <v>10423</v>
      </c>
      <c r="B470">
        <v>31</v>
      </c>
      <c r="C470" s="6">
        <v>10</v>
      </c>
      <c r="D470" s="6">
        <v>14</v>
      </c>
      <c r="E470" s="8">
        <v>0</v>
      </c>
    </row>
    <row r="471" spans="1:5" x14ac:dyDescent="0.2">
      <c r="A471">
        <v>10423</v>
      </c>
      <c r="B471">
        <v>59</v>
      </c>
      <c r="C471" s="6">
        <v>44</v>
      </c>
      <c r="D471" s="6">
        <v>20</v>
      </c>
      <c r="E471" s="8">
        <v>0</v>
      </c>
    </row>
    <row r="472" spans="1:5" x14ac:dyDescent="0.2">
      <c r="A472">
        <v>10424</v>
      </c>
      <c r="B472">
        <v>35</v>
      </c>
      <c r="C472" s="6">
        <v>14.4</v>
      </c>
      <c r="D472" s="6">
        <v>60</v>
      </c>
      <c r="E472" s="8">
        <v>0.2</v>
      </c>
    </row>
    <row r="473" spans="1:5" x14ac:dyDescent="0.2">
      <c r="A473">
        <v>10424</v>
      </c>
      <c r="B473">
        <v>38</v>
      </c>
      <c r="C473" s="6">
        <v>210.8</v>
      </c>
      <c r="D473" s="6">
        <v>49</v>
      </c>
      <c r="E473" s="8">
        <v>0.2</v>
      </c>
    </row>
    <row r="474" spans="1:5" x14ac:dyDescent="0.2">
      <c r="A474">
        <v>10424</v>
      </c>
      <c r="B474">
        <v>68</v>
      </c>
      <c r="C474" s="6">
        <v>10</v>
      </c>
      <c r="D474" s="6">
        <v>30</v>
      </c>
      <c r="E474" s="8">
        <v>0.2</v>
      </c>
    </row>
    <row r="475" spans="1:5" x14ac:dyDescent="0.2">
      <c r="A475">
        <v>10425</v>
      </c>
      <c r="B475">
        <v>55</v>
      </c>
      <c r="C475" s="6">
        <v>19.2</v>
      </c>
      <c r="D475" s="6">
        <v>10</v>
      </c>
      <c r="E475" s="8">
        <v>0.25</v>
      </c>
    </row>
    <row r="476" spans="1:5" x14ac:dyDescent="0.2">
      <c r="A476">
        <v>10425</v>
      </c>
      <c r="B476">
        <v>76</v>
      </c>
      <c r="C476" s="6">
        <v>14.4</v>
      </c>
      <c r="D476" s="6">
        <v>20</v>
      </c>
      <c r="E476" s="8">
        <v>0.25</v>
      </c>
    </row>
    <row r="477" spans="1:5" x14ac:dyDescent="0.2">
      <c r="A477">
        <v>10426</v>
      </c>
      <c r="B477">
        <v>56</v>
      </c>
      <c r="C477" s="6">
        <v>30.4</v>
      </c>
      <c r="D477" s="6">
        <v>5</v>
      </c>
      <c r="E477" s="8">
        <v>0</v>
      </c>
    </row>
    <row r="478" spans="1:5" x14ac:dyDescent="0.2">
      <c r="A478">
        <v>10426</v>
      </c>
      <c r="B478">
        <v>64</v>
      </c>
      <c r="C478" s="6">
        <v>26.6</v>
      </c>
      <c r="D478" s="6">
        <v>7</v>
      </c>
      <c r="E478" s="8">
        <v>0</v>
      </c>
    </row>
    <row r="479" spans="1:5" x14ac:dyDescent="0.2">
      <c r="A479">
        <v>10427</v>
      </c>
      <c r="B479">
        <v>14</v>
      </c>
      <c r="C479" s="6">
        <v>18.600000000000001</v>
      </c>
      <c r="D479" s="6">
        <v>35</v>
      </c>
      <c r="E479" s="8">
        <v>0</v>
      </c>
    </row>
    <row r="480" spans="1:5" x14ac:dyDescent="0.2">
      <c r="A480">
        <v>10428</v>
      </c>
      <c r="B480">
        <v>46</v>
      </c>
      <c r="C480" s="6">
        <v>9.6</v>
      </c>
      <c r="D480" s="6">
        <v>20</v>
      </c>
      <c r="E480" s="8">
        <v>0</v>
      </c>
    </row>
    <row r="481" spans="1:5" x14ac:dyDescent="0.2">
      <c r="A481">
        <v>10429</v>
      </c>
      <c r="B481">
        <v>50</v>
      </c>
      <c r="C481" s="6">
        <v>13</v>
      </c>
      <c r="D481" s="6">
        <v>40</v>
      </c>
      <c r="E481" s="8">
        <v>0</v>
      </c>
    </row>
    <row r="482" spans="1:5" x14ac:dyDescent="0.2">
      <c r="A482">
        <v>10429</v>
      </c>
      <c r="B482">
        <v>63</v>
      </c>
      <c r="C482" s="6">
        <v>35.1</v>
      </c>
      <c r="D482" s="6">
        <v>35</v>
      </c>
      <c r="E482" s="8">
        <v>0.25</v>
      </c>
    </row>
    <row r="483" spans="1:5" x14ac:dyDescent="0.2">
      <c r="A483">
        <v>10430</v>
      </c>
      <c r="B483">
        <v>17</v>
      </c>
      <c r="C483" s="6">
        <v>31.2</v>
      </c>
      <c r="D483" s="6">
        <v>45</v>
      </c>
      <c r="E483" s="8">
        <v>0.2</v>
      </c>
    </row>
    <row r="484" spans="1:5" x14ac:dyDescent="0.2">
      <c r="A484">
        <v>10430</v>
      </c>
      <c r="B484">
        <v>21</v>
      </c>
      <c r="C484" s="6">
        <v>8</v>
      </c>
      <c r="D484" s="6">
        <v>50</v>
      </c>
      <c r="E484" s="8">
        <v>0</v>
      </c>
    </row>
    <row r="485" spans="1:5" x14ac:dyDescent="0.2">
      <c r="A485">
        <v>10430</v>
      </c>
      <c r="B485">
        <v>56</v>
      </c>
      <c r="C485" s="6">
        <v>30.4</v>
      </c>
      <c r="D485" s="6">
        <v>30</v>
      </c>
      <c r="E485" s="8">
        <v>0</v>
      </c>
    </row>
    <row r="486" spans="1:5" x14ac:dyDescent="0.2">
      <c r="A486">
        <v>10430</v>
      </c>
      <c r="B486">
        <v>59</v>
      </c>
      <c r="C486" s="6">
        <v>44</v>
      </c>
      <c r="D486" s="6">
        <v>70</v>
      </c>
      <c r="E486" s="8">
        <v>0.2</v>
      </c>
    </row>
    <row r="487" spans="1:5" x14ac:dyDescent="0.2">
      <c r="A487">
        <v>10431</v>
      </c>
      <c r="B487">
        <v>17</v>
      </c>
      <c r="C487" s="6">
        <v>31.2</v>
      </c>
      <c r="D487" s="6">
        <v>50</v>
      </c>
      <c r="E487" s="8">
        <v>0.25</v>
      </c>
    </row>
    <row r="488" spans="1:5" x14ac:dyDescent="0.2">
      <c r="A488">
        <v>10431</v>
      </c>
      <c r="B488">
        <v>40</v>
      </c>
      <c r="C488" s="6">
        <v>14.7</v>
      </c>
      <c r="D488" s="6">
        <v>50</v>
      </c>
      <c r="E488" s="8">
        <v>0.25</v>
      </c>
    </row>
    <row r="489" spans="1:5" x14ac:dyDescent="0.2">
      <c r="A489">
        <v>10431</v>
      </c>
      <c r="B489">
        <v>47</v>
      </c>
      <c r="C489" s="6">
        <v>7.6</v>
      </c>
      <c r="D489" s="6">
        <v>30</v>
      </c>
      <c r="E489" s="8">
        <v>0.25</v>
      </c>
    </row>
    <row r="490" spans="1:5" x14ac:dyDescent="0.2">
      <c r="A490">
        <v>10432</v>
      </c>
      <c r="B490">
        <v>26</v>
      </c>
      <c r="C490" s="6">
        <v>24.9</v>
      </c>
      <c r="D490" s="6">
        <v>10</v>
      </c>
      <c r="E490" s="8">
        <v>0</v>
      </c>
    </row>
    <row r="491" spans="1:5" x14ac:dyDescent="0.2">
      <c r="A491">
        <v>10432</v>
      </c>
      <c r="B491">
        <v>54</v>
      </c>
      <c r="C491" s="6">
        <v>5.9</v>
      </c>
      <c r="D491" s="6">
        <v>40</v>
      </c>
      <c r="E491" s="8">
        <v>0</v>
      </c>
    </row>
    <row r="492" spans="1:5" x14ac:dyDescent="0.2">
      <c r="A492">
        <v>10433</v>
      </c>
      <c r="B492">
        <v>56</v>
      </c>
      <c r="C492" s="6">
        <v>30.4</v>
      </c>
      <c r="D492" s="6">
        <v>28</v>
      </c>
      <c r="E492" s="8">
        <v>0</v>
      </c>
    </row>
    <row r="493" spans="1:5" x14ac:dyDescent="0.2">
      <c r="A493">
        <v>10434</v>
      </c>
      <c r="B493">
        <v>11</v>
      </c>
      <c r="C493" s="6">
        <v>16.8</v>
      </c>
      <c r="D493" s="6">
        <v>6</v>
      </c>
      <c r="E493" s="8">
        <v>0</v>
      </c>
    </row>
    <row r="494" spans="1:5" x14ac:dyDescent="0.2">
      <c r="A494">
        <v>10434</v>
      </c>
      <c r="B494">
        <v>76</v>
      </c>
      <c r="C494" s="6">
        <v>14.4</v>
      </c>
      <c r="D494" s="6">
        <v>18</v>
      </c>
      <c r="E494" s="8">
        <v>0.15</v>
      </c>
    </row>
    <row r="495" spans="1:5" x14ac:dyDescent="0.2">
      <c r="A495">
        <v>10435</v>
      </c>
      <c r="B495">
        <v>2</v>
      </c>
      <c r="C495" s="6">
        <v>15.2</v>
      </c>
      <c r="D495" s="6">
        <v>10</v>
      </c>
      <c r="E495" s="8">
        <v>0</v>
      </c>
    </row>
    <row r="496" spans="1:5" x14ac:dyDescent="0.2">
      <c r="A496">
        <v>10435</v>
      </c>
      <c r="B496">
        <v>22</v>
      </c>
      <c r="C496" s="6">
        <v>16.8</v>
      </c>
      <c r="D496" s="6">
        <v>12</v>
      </c>
      <c r="E496" s="8">
        <v>0</v>
      </c>
    </row>
    <row r="497" spans="1:5" x14ac:dyDescent="0.2">
      <c r="A497">
        <v>10435</v>
      </c>
      <c r="B497">
        <v>72</v>
      </c>
      <c r="C497" s="6">
        <v>27.8</v>
      </c>
      <c r="D497" s="6">
        <v>10</v>
      </c>
      <c r="E497" s="8">
        <v>0</v>
      </c>
    </row>
    <row r="498" spans="1:5" x14ac:dyDescent="0.2">
      <c r="A498">
        <v>10436</v>
      </c>
      <c r="B498">
        <v>46</v>
      </c>
      <c r="C498" s="6">
        <v>9.6</v>
      </c>
      <c r="D498" s="6">
        <v>5</v>
      </c>
      <c r="E498" s="8">
        <v>0</v>
      </c>
    </row>
    <row r="499" spans="1:5" x14ac:dyDescent="0.2">
      <c r="A499">
        <v>10436</v>
      </c>
      <c r="B499">
        <v>56</v>
      </c>
      <c r="C499" s="6">
        <v>30.4</v>
      </c>
      <c r="D499" s="6">
        <v>40</v>
      </c>
      <c r="E499" s="8">
        <v>0.1</v>
      </c>
    </row>
    <row r="500" spans="1:5" x14ac:dyDescent="0.2">
      <c r="A500">
        <v>10436</v>
      </c>
      <c r="B500">
        <v>64</v>
      </c>
      <c r="C500" s="6">
        <v>26.6</v>
      </c>
      <c r="D500" s="6">
        <v>30</v>
      </c>
      <c r="E500" s="8">
        <v>0.1</v>
      </c>
    </row>
    <row r="501" spans="1:5" x14ac:dyDescent="0.2">
      <c r="A501">
        <v>10436</v>
      </c>
      <c r="B501">
        <v>75</v>
      </c>
      <c r="C501" s="6">
        <v>6.2</v>
      </c>
      <c r="D501" s="6">
        <v>24</v>
      </c>
      <c r="E501" s="8">
        <v>0.1</v>
      </c>
    </row>
    <row r="502" spans="1:5" x14ac:dyDescent="0.2">
      <c r="A502">
        <v>10437</v>
      </c>
      <c r="B502">
        <v>53</v>
      </c>
      <c r="C502" s="6">
        <v>26.2</v>
      </c>
      <c r="D502" s="6">
        <v>15</v>
      </c>
      <c r="E502" s="8">
        <v>0</v>
      </c>
    </row>
    <row r="503" spans="1:5" x14ac:dyDescent="0.2">
      <c r="A503">
        <v>10438</v>
      </c>
      <c r="B503">
        <v>19</v>
      </c>
      <c r="C503" s="6">
        <v>7.3</v>
      </c>
      <c r="D503" s="6">
        <v>15</v>
      </c>
      <c r="E503" s="8">
        <v>0.2</v>
      </c>
    </row>
    <row r="504" spans="1:5" x14ac:dyDescent="0.2">
      <c r="A504">
        <v>10438</v>
      </c>
      <c r="B504">
        <v>34</v>
      </c>
      <c r="C504" s="6">
        <v>11.2</v>
      </c>
      <c r="D504" s="6">
        <v>20</v>
      </c>
      <c r="E504" s="8">
        <v>0.2</v>
      </c>
    </row>
    <row r="505" spans="1:5" x14ac:dyDescent="0.2">
      <c r="A505">
        <v>10438</v>
      </c>
      <c r="B505">
        <v>57</v>
      </c>
      <c r="C505" s="6">
        <v>15.6</v>
      </c>
      <c r="D505" s="6">
        <v>15</v>
      </c>
      <c r="E505" s="8">
        <v>0.2</v>
      </c>
    </row>
    <row r="506" spans="1:5" x14ac:dyDescent="0.2">
      <c r="A506">
        <v>10439</v>
      </c>
      <c r="B506">
        <v>12</v>
      </c>
      <c r="C506" s="6">
        <v>30.4</v>
      </c>
      <c r="D506" s="6">
        <v>15</v>
      </c>
      <c r="E506" s="8">
        <v>0</v>
      </c>
    </row>
    <row r="507" spans="1:5" x14ac:dyDescent="0.2">
      <c r="A507">
        <v>10439</v>
      </c>
      <c r="B507">
        <v>16</v>
      </c>
      <c r="C507" s="6">
        <v>13.9</v>
      </c>
      <c r="D507" s="6">
        <v>16</v>
      </c>
      <c r="E507" s="8">
        <v>0</v>
      </c>
    </row>
    <row r="508" spans="1:5" x14ac:dyDescent="0.2">
      <c r="A508">
        <v>10439</v>
      </c>
      <c r="B508">
        <v>64</v>
      </c>
      <c r="C508" s="6">
        <v>26.6</v>
      </c>
      <c r="D508" s="6">
        <v>6</v>
      </c>
      <c r="E508" s="8">
        <v>0</v>
      </c>
    </row>
    <row r="509" spans="1:5" x14ac:dyDescent="0.2">
      <c r="A509">
        <v>10439</v>
      </c>
      <c r="B509">
        <v>74</v>
      </c>
      <c r="C509" s="6">
        <v>8</v>
      </c>
      <c r="D509" s="6">
        <v>30</v>
      </c>
      <c r="E509" s="8">
        <v>0</v>
      </c>
    </row>
    <row r="510" spans="1:5" x14ac:dyDescent="0.2">
      <c r="A510">
        <v>10440</v>
      </c>
      <c r="B510">
        <v>2</v>
      </c>
      <c r="C510" s="6">
        <v>15.2</v>
      </c>
      <c r="D510" s="6">
        <v>45</v>
      </c>
      <c r="E510" s="8">
        <v>0.15</v>
      </c>
    </row>
    <row r="511" spans="1:5" x14ac:dyDescent="0.2">
      <c r="A511">
        <v>10440</v>
      </c>
      <c r="B511">
        <v>16</v>
      </c>
      <c r="C511" s="6">
        <v>13.9</v>
      </c>
      <c r="D511" s="6">
        <v>49</v>
      </c>
      <c r="E511" s="8">
        <v>0.15</v>
      </c>
    </row>
    <row r="512" spans="1:5" x14ac:dyDescent="0.2">
      <c r="A512">
        <v>10440</v>
      </c>
      <c r="B512">
        <v>29</v>
      </c>
      <c r="C512" s="6">
        <v>99</v>
      </c>
      <c r="D512" s="6">
        <v>24</v>
      </c>
      <c r="E512" s="8">
        <v>0.15</v>
      </c>
    </row>
    <row r="513" spans="1:5" x14ac:dyDescent="0.2">
      <c r="A513">
        <v>10440</v>
      </c>
      <c r="B513">
        <v>61</v>
      </c>
      <c r="C513" s="6">
        <v>22.8</v>
      </c>
      <c r="D513" s="6">
        <v>90</v>
      </c>
      <c r="E513" s="8">
        <v>0.15</v>
      </c>
    </row>
    <row r="514" spans="1:5" x14ac:dyDescent="0.2">
      <c r="A514">
        <v>10441</v>
      </c>
      <c r="B514">
        <v>27</v>
      </c>
      <c r="C514" s="6">
        <v>35.1</v>
      </c>
      <c r="D514" s="6">
        <v>50</v>
      </c>
      <c r="E514" s="8">
        <v>0</v>
      </c>
    </row>
    <row r="515" spans="1:5" x14ac:dyDescent="0.2">
      <c r="A515">
        <v>10442</v>
      </c>
      <c r="B515">
        <v>11</v>
      </c>
      <c r="C515" s="6">
        <v>16.8</v>
      </c>
      <c r="D515" s="6">
        <v>30</v>
      </c>
      <c r="E515" s="8">
        <v>0</v>
      </c>
    </row>
    <row r="516" spans="1:5" x14ac:dyDescent="0.2">
      <c r="A516">
        <v>10442</v>
      </c>
      <c r="B516">
        <v>54</v>
      </c>
      <c r="C516" s="6">
        <v>5.9</v>
      </c>
      <c r="D516" s="6">
        <v>80</v>
      </c>
      <c r="E516" s="8">
        <v>0</v>
      </c>
    </row>
    <row r="517" spans="1:5" x14ac:dyDescent="0.2">
      <c r="A517">
        <v>10442</v>
      </c>
      <c r="B517">
        <v>66</v>
      </c>
      <c r="C517" s="6">
        <v>13.6</v>
      </c>
      <c r="D517" s="6">
        <v>60</v>
      </c>
      <c r="E517" s="8">
        <v>0</v>
      </c>
    </row>
    <row r="518" spans="1:5" x14ac:dyDescent="0.2">
      <c r="A518">
        <v>10443</v>
      </c>
      <c r="B518">
        <v>11</v>
      </c>
      <c r="C518" s="6">
        <v>16.8</v>
      </c>
      <c r="D518" s="6">
        <v>6</v>
      </c>
      <c r="E518" s="8">
        <v>0.2</v>
      </c>
    </row>
    <row r="519" spans="1:5" x14ac:dyDescent="0.2">
      <c r="A519">
        <v>10443</v>
      </c>
      <c r="B519">
        <v>28</v>
      </c>
      <c r="C519" s="6">
        <v>36.4</v>
      </c>
      <c r="D519" s="6">
        <v>12</v>
      </c>
      <c r="E519" s="8">
        <v>0</v>
      </c>
    </row>
    <row r="520" spans="1:5" x14ac:dyDescent="0.2">
      <c r="A520">
        <v>10444</v>
      </c>
      <c r="B520">
        <v>17</v>
      </c>
      <c r="C520" s="6">
        <v>31.2</v>
      </c>
      <c r="D520" s="6">
        <v>10</v>
      </c>
      <c r="E520" s="8">
        <v>0</v>
      </c>
    </row>
    <row r="521" spans="1:5" x14ac:dyDescent="0.2">
      <c r="A521">
        <v>10444</v>
      </c>
      <c r="B521">
        <v>26</v>
      </c>
      <c r="C521" s="6">
        <v>24.9</v>
      </c>
      <c r="D521" s="6">
        <v>15</v>
      </c>
      <c r="E521" s="8">
        <v>0</v>
      </c>
    </row>
    <row r="522" spans="1:5" x14ac:dyDescent="0.2">
      <c r="A522">
        <v>10444</v>
      </c>
      <c r="B522">
        <v>35</v>
      </c>
      <c r="C522" s="6">
        <v>14.4</v>
      </c>
      <c r="D522" s="6">
        <v>8</v>
      </c>
      <c r="E522" s="8">
        <v>0</v>
      </c>
    </row>
    <row r="523" spans="1:5" x14ac:dyDescent="0.2">
      <c r="A523">
        <v>10444</v>
      </c>
      <c r="B523">
        <v>41</v>
      </c>
      <c r="C523" s="6">
        <v>7.7</v>
      </c>
      <c r="D523" s="6">
        <v>30</v>
      </c>
      <c r="E523" s="8">
        <v>0</v>
      </c>
    </row>
    <row r="524" spans="1:5" x14ac:dyDescent="0.2">
      <c r="A524">
        <v>10445</v>
      </c>
      <c r="B524">
        <v>39</v>
      </c>
      <c r="C524" s="6">
        <v>14.4</v>
      </c>
      <c r="D524" s="6">
        <v>6</v>
      </c>
      <c r="E524" s="8">
        <v>0</v>
      </c>
    </row>
    <row r="525" spans="1:5" x14ac:dyDescent="0.2">
      <c r="A525">
        <v>10445</v>
      </c>
      <c r="B525">
        <v>54</v>
      </c>
      <c r="C525" s="6">
        <v>5.9</v>
      </c>
      <c r="D525" s="6">
        <v>15</v>
      </c>
      <c r="E525" s="8">
        <v>0</v>
      </c>
    </row>
    <row r="526" spans="1:5" x14ac:dyDescent="0.2">
      <c r="A526">
        <v>10446</v>
      </c>
      <c r="B526">
        <v>19</v>
      </c>
      <c r="C526" s="6">
        <v>7.3</v>
      </c>
      <c r="D526" s="6">
        <v>12</v>
      </c>
      <c r="E526" s="8">
        <v>0.1</v>
      </c>
    </row>
    <row r="527" spans="1:5" x14ac:dyDescent="0.2">
      <c r="A527">
        <v>10446</v>
      </c>
      <c r="B527">
        <v>24</v>
      </c>
      <c r="C527" s="6">
        <v>3.6</v>
      </c>
      <c r="D527" s="6">
        <v>20</v>
      </c>
      <c r="E527" s="8">
        <v>0.1</v>
      </c>
    </row>
    <row r="528" spans="1:5" x14ac:dyDescent="0.2">
      <c r="A528">
        <v>10446</v>
      </c>
      <c r="B528">
        <v>31</v>
      </c>
      <c r="C528" s="6">
        <v>10</v>
      </c>
      <c r="D528" s="6">
        <v>3</v>
      </c>
      <c r="E528" s="8">
        <v>0.1</v>
      </c>
    </row>
    <row r="529" spans="1:5" x14ac:dyDescent="0.2">
      <c r="A529">
        <v>10446</v>
      </c>
      <c r="B529">
        <v>52</v>
      </c>
      <c r="C529" s="6">
        <v>5.6</v>
      </c>
      <c r="D529" s="6">
        <v>15</v>
      </c>
      <c r="E529" s="8">
        <v>0.1</v>
      </c>
    </row>
    <row r="530" spans="1:5" x14ac:dyDescent="0.2">
      <c r="A530">
        <v>10447</v>
      </c>
      <c r="B530">
        <v>19</v>
      </c>
      <c r="C530" s="6">
        <v>7.3</v>
      </c>
      <c r="D530" s="6">
        <v>40</v>
      </c>
      <c r="E530" s="8">
        <v>0</v>
      </c>
    </row>
    <row r="531" spans="1:5" x14ac:dyDescent="0.2">
      <c r="A531">
        <v>10447</v>
      </c>
      <c r="B531">
        <v>65</v>
      </c>
      <c r="C531" s="6">
        <v>16.8</v>
      </c>
      <c r="D531" s="6">
        <v>35</v>
      </c>
      <c r="E531" s="8">
        <v>0</v>
      </c>
    </row>
    <row r="532" spans="1:5" x14ac:dyDescent="0.2">
      <c r="A532">
        <v>10447</v>
      </c>
      <c r="B532">
        <v>71</v>
      </c>
      <c r="C532" s="6">
        <v>17.2</v>
      </c>
      <c r="D532" s="6">
        <v>2</v>
      </c>
      <c r="E532" s="8">
        <v>0</v>
      </c>
    </row>
    <row r="533" spans="1:5" x14ac:dyDescent="0.2">
      <c r="A533">
        <v>10448</v>
      </c>
      <c r="B533">
        <v>26</v>
      </c>
      <c r="C533" s="6">
        <v>24.9</v>
      </c>
      <c r="D533" s="6">
        <v>6</v>
      </c>
      <c r="E533" s="8">
        <v>0</v>
      </c>
    </row>
    <row r="534" spans="1:5" x14ac:dyDescent="0.2">
      <c r="A534">
        <v>10448</v>
      </c>
      <c r="B534">
        <v>40</v>
      </c>
      <c r="C534" s="6">
        <v>14.7</v>
      </c>
      <c r="D534" s="6">
        <v>20</v>
      </c>
      <c r="E534" s="8">
        <v>0</v>
      </c>
    </row>
    <row r="535" spans="1:5" x14ac:dyDescent="0.2">
      <c r="A535">
        <v>10449</v>
      </c>
      <c r="B535">
        <v>10</v>
      </c>
      <c r="C535" s="6">
        <v>24.8</v>
      </c>
      <c r="D535" s="6">
        <v>14</v>
      </c>
      <c r="E535" s="8">
        <v>0</v>
      </c>
    </row>
    <row r="536" spans="1:5" x14ac:dyDescent="0.2">
      <c r="A536">
        <v>10449</v>
      </c>
      <c r="B536">
        <v>52</v>
      </c>
      <c r="C536" s="6">
        <v>5.6</v>
      </c>
      <c r="D536" s="6">
        <v>20</v>
      </c>
      <c r="E536" s="8">
        <v>0</v>
      </c>
    </row>
    <row r="537" spans="1:5" x14ac:dyDescent="0.2">
      <c r="A537">
        <v>10449</v>
      </c>
      <c r="B537">
        <v>62</v>
      </c>
      <c r="C537" s="6">
        <v>39.4</v>
      </c>
      <c r="D537" s="6">
        <v>35</v>
      </c>
      <c r="E537" s="8">
        <v>0</v>
      </c>
    </row>
    <row r="538" spans="1:5" x14ac:dyDescent="0.2">
      <c r="A538">
        <v>10450</v>
      </c>
      <c r="B538">
        <v>10</v>
      </c>
      <c r="C538" s="6">
        <v>24.8</v>
      </c>
      <c r="D538" s="6">
        <v>20</v>
      </c>
      <c r="E538" s="8">
        <v>0.2</v>
      </c>
    </row>
    <row r="539" spans="1:5" x14ac:dyDescent="0.2">
      <c r="A539">
        <v>10450</v>
      </c>
      <c r="B539">
        <v>54</v>
      </c>
      <c r="C539" s="6">
        <v>5.9</v>
      </c>
      <c r="D539" s="6">
        <v>6</v>
      </c>
      <c r="E539" s="8">
        <v>0.2</v>
      </c>
    </row>
    <row r="540" spans="1:5" x14ac:dyDescent="0.2">
      <c r="A540">
        <v>10451</v>
      </c>
      <c r="B540">
        <v>55</v>
      </c>
      <c r="C540" s="6">
        <v>19.2</v>
      </c>
      <c r="D540" s="6">
        <v>120</v>
      </c>
      <c r="E540" s="8">
        <v>0.1</v>
      </c>
    </row>
    <row r="541" spans="1:5" x14ac:dyDescent="0.2">
      <c r="A541">
        <v>10451</v>
      </c>
      <c r="B541">
        <v>64</v>
      </c>
      <c r="C541" s="6">
        <v>26.6</v>
      </c>
      <c r="D541" s="6">
        <v>35</v>
      </c>
      <c r="E541" s="8">
        <v>0.1</v>
      </c>
    </row>
    <row r="542" spans="1:5" x14ac:dyDescent="0.2">
      <c r="A542">
        <v>10451</v>
      </c>
      <c r="B542">
        <v>65</v>
      </c>
      <c r="C542" s="6">
        <v>16.8</v>
      </c>
      <c r="D542" s="6">
        <v>28</v>
      </c>
      <c r="E542" s="8">
        <v>0.1</v>
      </c>
    </row>
    <row r="543" spans="1:5" x14ac:dyDescent="0.2">
      <c r="A543">
        <v>10451</v>
      </c>
      <c r="B543">
        <v>77</v>
      </c>
      <c r="C543" s="6">
        <v>10.4</v>
      </c>
      <c r="D543" s="6">
        <v>55</v>
      </c>
      <c r="E543" s="8">
        <v>0.1</v>
      </c>
    </row>
    <row r="544" spans="1:5" x14ac:dyDescent="0.2">
      <c r="A544">
        <v>10452</v>
      </c>
      <c r="B544">
        <v>28</v>
      </c>
      <c r="C544" s="6">
        <v>36.4</v>
      </c>
      <c r="D544" s="6">
        <v>15</v>
      </c>
      <c r="E544" s="8">
        <v>0</v>
      </c>
    </row>
    <row r="545" spans="1:5" x14ac:dyDescent="0.2">
      <c r="A545">
        <v>10452</v>
      </c>
      <c r="B545">
        <v>44</v>
      </c>
      <c r="C545" s="6">
        <v>15.5</v>
      </c>
      <c r="D545" s="6">
        <v>100</v>
      </c>
      <c r="E545" s="8">
        <v>0.05</v>
      </c>
    </row>
    <row r="546" spans="1:5" x14ac:dyDescent="0.2">
      <c r="A546">
        <v>10453</v>
      </c>
      <c r="B546">
        <v>48</v>
      </c>
      <c r="C546" s="6">
        <v>10.199999999999999</v>
      </c>
      <c r="D546" s="6">
        <v>15</v>
      </c>
      <c r="E546" s="8">
        <v>0.1</v>
      </c>
    </row>
    <row r="547" spans="1:5" x14ac:dyDescent="0.2">
      <c r="A547">
        <v>10453</v>
      </c>
      <c r="B547">
        <v>70</v>
      </c>
      <c r="C547" s="6">
        <v>12</v>
      </c>
      <c r="D547" s="6">
        <v>25</v>
      </c>
      <c r="E547" s="8">
        <v>0.1</v>
      </c>
    </row>
    <row r="548" spans="1:5" x14ac:dyDescent="0.2">
      <c r="A548">
        <v>10454</v>
      </c>
      <c r="B548">
        <v>16</v>
      </c>
      <c r="C548" s="6">
        <v>13.9</v>
      </c>
      <c r="D548" s="6">
        <v>20</v>
      </c>
      <c r="E548" s="8">
        <v>0.2</v>
      </c>
    </row>
    <row r="549" spans="1:5" x14ac:dyDescent="0.2">
      <c r="A549">
        <v>10454</v>
      </c>
      <c r="B549">
        <v>33</v>
      </c>
      <c r="C549" s="6">
        <v>2</v>
      </c>
      <c r="D549" s="6">
        <v>20</v>
      </c>
      <c r="E549" s="8">
        <v>0.2</v>
      </c>
    </row>
    <row r="550" spans="1:5" x14ac:dyDescent="0.2">
      <c r="A550">
        <v>10454</v>
      </c>
      <c r="B550">
        <v>46</v>
      </c>
      <c r="C550" s="6">
        <v>9.6</v>
      </c>
      <c r="D550" s="6">
        <v>10</v>
      </c>
      <c r="E550" s="8">
        <v>0.2</v>
      </c>
    </row>
    <row r="551" spans="1:5" x14ac:dyDescent="0.2">
      <c r="A551">
        <v>10455</v>
      </c>
      <c r="B551">
        <v>39</v>
      </c>
      <c r="C551" s="6">
        <v>14.4</v>
      </c>
      <c r="D551" s="6">
        <v>20</v>
      </c>
      <c r="E551" s="8">
        <v>0</v>
      </c>
    </row>
    <row r="552" spans="1:5" x14ac:dyDescent="0.2">
      <c r="A552">
        <v>10455</v>
      </c>
      <c r="B552">
        <v>53</v>
      </c>
      <c r="C552" s="6">
        <v>26.2</v>
      </c>
      <c r="D552" s="6">
        <v>50</v>
      </c>
      <c r="E552" s="8">
        <v>0</v>
      </c>
    </row>
    <row r="553" spans="1:5" x14ac:dyDescent="0.2">
      <c r="A553">
        <v>10455</v>
      </c>
      <c r="B553">
        <v>61</v>
      </c>
      <c r="C553" s="6">
        <v>22.8</v>
      </c>
      <c r="D553" s="6">
        <v>25</v>
      </c>
      <c r="E553" s="8">
        <v>0</v>
      </c>
    </row>
    <row r="554" spans="1:5" x14ac:dyDescent="0.2">
      <c r="A554">
        <v>10455</v>
      </c>
      <c r="B554">
        <v>71</v>
      </c>
      <c r="C554" s="6">
        <v>17.2</v>
      </c>
      <c r="D554" s="6">
        <v>30</v>
      </c>
      <c r="E554" s="8">
        <v>0</v>
      </c>
    </row>
    <row r="555" spans="1:5" x14ac:dyDescent="0.2">
      <c r="A555">
        <v>10456</v>
      </c>
      <c r="B555">
        <v>21</v>
      </c>
      <c r="C555" s="6">
        <v>8</v>
      </c>
      <c r="D555" s="6">
        <v>40</v>
      </c>
      <c r="E555" s="8">
        <v>0.15</v>
      </c>
    </row>
    <row r="556" spans="1:5" x14ac:dyDescent="0.2">
      <c r="A556">
        <v>10456</v>
      </c>
      <c r="B556">
        <v>49</v>
      </c>
      <c r="C556" s="6">
        <v>16</v>
      </c>
      <c r="D556" s="6">
        <v>21</v>
      </c>
      <c r="E556" s="8">
        <v>0.15</v>
      </c>
    </row>
    <row r="557" spans="1:5" x14ac:dyDescent="0.2">
      <c r="A557">
        <v>10457</v>
      </c>
      <c r="B557">
        <v>59</v>
      </c>
      <c r="C557" s="6">
        <v>44</v>
      </c>
      <c r="D557" s="6">
        <v>36</v>
      </c>
      <c r="E557" s="8">
        <v>0</v>
      </c>
    </row>
    <row r="558" spans="1:5" x14ac:dyDescent="0.2">
      <c r="A558">
        <v>10458</v>
      </c>
      <c r="B558">
        <v>26</v>
      </c>
      <c r="C558" s="6">
        <v>24.9</v>
      </c>
      <c r="D558" s="6">
        <v>30</v>
      </c>
      <c r="E558" s="8">
        <v>0</v>
      </c>
    </row>
    <row r="559" spans="1:5" x14ac:dyDescent="0.2">
      <c r="A559">
        <v>10458</v>
      </c>
      <c r="B559">
        <v>28</v>
      </c>
      <c r="C559" s="6">
        <v>36.4</v>
      </c>
      <c r="D559" s="6">
        <v>30</v>
      </c>
      <c r="E559" s="8">
        <v>0</v>
      </c>
    </row>
    <row r="560" spans="1:5" x14ac:dyDescent="0.2">
      <c r="A560">
        <v>10458</v>
      </c>
      <c r="B560">
        <v>43</v>
      </c>
      <c r="C560" s="6">
        <v>36.799999999999997</v>
      </c>
      <c r="D560" s="6">
        <v>20</v>
      </c>
      <c r="E560" s="8">
        <v>0</v>
      </c>
    </row>
    <row r="561" spans="1:5" x14ac:dyDescent="0.2">
      <c r="A561">
        <v>10458</v>
      </c>
      <c r="B561">
        <v>56</v>
      </c>
      <c r="C561" s="6">
        <v>30.4</v>
      </c>
      <c r="D561" s="6">
        <v>15</v>
      </c>
      <c r="E561" s="8">
        <v>0</v>
      </c>
    </row>
    <row r="562" spans="1:5" x14ac:dyDescent="0.2">
      <c r="A562">
        <v>10458</v>
      </c>
      <c r="B562">
        <v>71</v>
      </c>
      <c r="C562" s="6">
        <v>17.2</v>
      </c>
      <c r="D562" s="6">
        <v>50</v>
      </c>
      <c r="E562" s="8">
        <v>0</v>
      </c>
    </row>
    <row r="563" spans="1:5" x14ac:dyDescent="0.2">
      <c r="A563">
        <v>10459</v>
      </c>
      <c r="B563">
        <v>7</v>
      </c>
      <c r="C563" s="6">
        <v>24</v>
      </c>
      <c r="D563" s="6">
        <v>16</v>
      </c>
      <c r="E563" s="8">
        <v>0.05</v>
      </c>
    </row>
    <row r="564" spans="1:5" x14ac:dyDescent="0.2">
      <c r="A564">
        <v>10459</v>
      </c>
      <c r="B564">
        <v>46</v>
      </c>
      <c r="C564" s="6">
        <v>9.6</v>
      </c>
      <c r="D564" s="6">
        <v>20</v>
      </c>
      <c r="E564" s="8">
        <v>0.05</v>
      </c>
    </row>
    <row r="565" spans="1:5" x14ac:dyDescent="0.2">
      <c r="A565">
        <v>10459</v>
      </c>
      <c r="B565">
        <v>72</v>
      </c>
      <c r="C565" s="6">
        <v>27.8</v>
      </c>
      <c r="D565" s="6">
        <v>40</v>
      </c>
      <c r="E565" s="8">
        <v>0</v>
      </c>
    </row>
    <row r="566" spans="1:5" x14ac:dyDescent="0.2">
      <c r="A566">
        <v>10460</v>
      </c>
      <c r="B566">
        <v>68</v>
      </c>
      <c r="C566" s="6">
        <v>10</v>
      </c>
      <c r="D566" s="6">
        <v>21</v>
      </c>
      <c r="E566" s="8">
        <v>0.25</v>
      </c>
    </row>
    <row r="567" spans="1:5" x14ac:dyDescent="0.2">
      <c r="A567">
        <v>10460</v>
      </c>
      <c r="B567">
        <v>75</v>
      </c>
      <c r="C567" s="6">
        <v>6.2</v>
      </c>
      <c r="D567" s="6">
        <v>4</v>
      </c>
      <c r="E567" s="8">
        <v>0.25</v>
      </c>
    </row>
    <row r="568" spans="1:5" x14ac:dyDescent="0.2">
      <c r="A568">
        <v>10461</v>
      </c>
      <c r="B568">
        <v>21</v>
      </c>
      <c r="C568" s="6">
        <v>8</v>
      </c>
      <c r="D568" s="6">
        <v>40</v>
      </c>
      <c r="E568" s="8">
        <v>0.25</v>
      </c>
    </row>
    <row r="569" spans="1:5" x14ac:dyDescent="0.2">
      <c r="A569">
        <v>10461</v>
      </c>
      <c r="B569">
        <v>30</v>
      </c>
      <c r="C569" s="6">
        <v>20.7</v>
      </c>
      <c r="D569" s="6">
        <v>28</v>
      </c>
      <c r="E569" s="8">
        <v>0.25</v>
      </c>
    </row>
    <row r="570" spans="1:5" x14ac:dyDescent="0.2">
      <c r="A570">
        <v>10461</v>
      </c>
      <c r="B570">
        <v>55</v>
      </c>
      <c r="C570" s="6">
        <v>19.2</v>
      </c>
      <c r="D570" s="6">
        <v>60</v>
      </c>
      <c r="E570" s="8">
        <v>0.25</v>
      </c>
    </row>
    <row r="571" spans="1:5" x14ac:dyDescent="0.2">
      <c r="A571">
        <v>10462</v>
      </c>
      <c r="B571">
        <v>13</v>
      </c>
      <c r="C571" s="6">
        <v>4.8</v>
      </c>
      <c r="D571" s="6">
        <v>1</v>
      </c>
      <c r="E571" s="8">
        <v>0</v>
      </c>
    </row>
    <row r="572" spans="1:5" x14ac:dyDescent="0.2">
      <c r="A572">
        <v>10462</v>
      </c>
      <c r="B572">
        <v>23</v>
      </c>
      <c r="C572" s="6">
        <v>7.2</v>
      </c>
      <c r="D572" s="6">
        <v>21</v>
      </c>
      <c r="E572" s="8">
        <v>0</v>
      </c>
    </row>
    <row r="573" spans="1:5" x14ac:dyDescent="0.2">
      <c r="A573">
        <v>10463</v>
      </c>
      <c r="B573">
        <v>19</v>
      </c>
      <c r="C573" s="6">
        <v>7.3</v>
      </c>
      <c r="D573" s="6">
        <v>21</v>
      </c>
      <c r="E573" s="8">
        <v>0</v>
      </c>
    </row>
    <row r="574" spans="1:5" x14ac:dyDescent="0.2">
      <c r="A574">
        <v>10463</v>
      </c>
      <c r="B574">
        <v>42</v>
      </c>
      <c r="C574" s="6">
        <v>11.2</v>
      </c>
      <c r="D574" s="6">
        <v>50</v>
      </c>
      <c r="E574" s="8">
        <v>0</v>
      </c>
    </row>
    <row r="575" spans="1:5" x14ac:dyDescent="0.2">
      <c r="A575">
        <v>10464</v>
      </c>
      <c r="B575">
        <v>4</v>
      </c>
      <c r="C575" s="6">
        <v>17.600000000000001</v>
      </c>
      <c r="D575" s="6">
        <v>16</v>
      </c>
      <c r="E575" s="8">
        <v>0.2</v>
      </c>
    </row>
    <row r="576" spans="1:5" x14ac:dyDescent="0.2">
      <c r="A576">
        <v>10464</v>
      </c>
      <c r="B576">
        <v>43</v>
      </c>
      <c r="C576" s="6">
        <v>36.799999999999997</v>
      </c>
      <c r="D576" s="6">
        <v>3</v>
      </c>
      <c r="E576" s="8">
        <v>0</v>
      </c>
    </row>
    <row r="577" spans="1:5" x14ac:dyDescent="0.2">
      <c r="A577">
        <v>10464</v>
      </c>
      <c r="B577">
        <v>56</v>
      </c>
      <c r="C577" s="6">
        <v>30.4</v>
      </c>
      <c r="D577" s="6">
        <v>30</v>
      </c>
      <c r="E577" s="8">
        <v>0.2</v>
      </c>
    </row>
    <row r="578" spans="1:5" x14ac:dyDescent="0.2">
      <c r="A578">
        <v>10464</v>
      </c>
      <c r="B578">
        <v>60</v>
      </c>
      <c r="C578" s="6">
        <v>27.2</v>
      </c>
      <c r="D578" s="6">
        <v>20</v>
      </c>
      <c r="E578" s="8">
        <v>0</v>
      </c>
    </row>
    <row r="579" spans="1:5" x14ac:dyDescent="0.2">
      <c r="A579">
        <v>10465</v>
      </c>
      <c r="B579">
        <v>24</v>
      </c>
      <c r="C579" s="6">
        <v>3.6</v>
      </c>
      <c r="D579" s="6">
        <v>25</v>
      </c>
      <c r="E579" s="8">
        <v>0</v>
      </c>
    </row>
    <row r="580" spans="1:5" x14ac:dyDescent="0.2">
      <c r="A580">
        <v>10465</v>
      </c>
      <c r="B580">
        <v>29</v>
      </c>
      <c r="C580" s="6">
        <v>99</v>
      </c>
      <c r="D580" s="6">
        <v>18</v>
      </c>
      <c r="E580" s="8">
        <v>0.1</v>
      </c>
    </row>
    <row r="581" spans="1:5" x14ac:dyDescent="0.2">
      <c r="A581">
        <v>10465</v>
      </c>
      <c r="B581">
        <v>40</v>
      </c>
      <c r="C581" s="6">
        <v>14.7</v>
      </c>
      <c r="D581" s="6">
        <v>20</v>
      </c>
      <c r="E581" s="8">
        <v>0</v>
      </c>
    </row>
    <row r="582" spans="1:5" x14ac:dyDescent="0.2">
      <c r="A582">
        <v>10465</v>
      </c>
      <c r="B582">
        <v>45</v>
      </c>
      <c r="C582" s="6">
        <v>7.6</v>
      </c>
      <c r="D582" s="6">
        <v>30</v>
      </c>
      <c r="E582" s="8">
        <v>0.1</v>
      </c>
    </row>
    <row r="583" spans="1:5" x14ac:dyDescent="0.2">
      <c r="A583">
        <v>10465</v>
      </c>
      <c r="B583">
        <v>50</v>
      </c>
      <c r="C583" s="6">
        <v>13</v>
      </c>
      <c r="D583" s="6">
        <v>25</v>
      </c>
      <c r="E583" s="8">
        <v>0</v>
      </c>
    </row>
    <row r="584" spans="1:5" x14ac:dyDescent="0.2">
      <c r="A584">
        <v>10466</v>
      </c>
      <c r="B584">
        <v>11</v>
      </c>
      <c r="C584" s="6">
        <v>16.8</v>
      </c>
      <c r="D584" s="6">
        <v>10</v>
      </c>
      <c r="E584" s="8">
        <v>0</v>
      </c>
    </row>
    <row r="585" spans="1:5" x14ac:dyDescent="0.2">
      <c r="A585">
        <v>10466</v>
      </c>
      <c r="B585">
        <v>46</v>
      </c>
      <c r="C585" s="6">
        <v>9.6</v>
      </c>
      <c r="D585" s="6">
        <v>5</v>
      </c>
      <c r="E585" s="8">
        <v>0</v>
      </c>
    </row>
    <row r="586" spans="1:5" x14ac:dyDescent="0.2">
      <c r="A586">
        <v>10467</v>
      </c>
      <c r="B586">
        <v>24</v>
      </c>
      <c r="C586" s="6">
        <v>3.6</v>
      </c>
      <c r="D586" s="6">
        <v>28</v>
      </c>
      <c r="E586" s="8">
        <v>0</v>
      </c>
    </row>
    <row r="587" spans="1:5" x14ac:dyDescent="0.2">
      <c r="A587">
        <v>10467</v>
      </c>
      <c r="B587">
        <v>25</v>
      </c>
      <c r="C587" s="6">
        <v>11.2</v>
      </c>
      <c r="D587" s="6">
        <v>12</v>
      </c>
      <c r="E587" s="8">
        <v>0</v>
      </c>
    </row>
    <row r="588" spans="1:5" x14ac:dyDescent="0.2">
      <c r="A588">
        <v>10468</v>
      </c>
      <c r="B588">
        <v>30</v>
      </c>
      <c r="C588" s="6">
        <v>20.7</v>
      </c>
      <c r="D588" s="6">
        <v>8</v>
      </c>
      <c r="E588" s="8">
        <v>0</v>
      </c>
    </row>
    <row r="589" spans="1:5" x14ac:dyDescent="0.2">
      <c r="A589">
        <v>10468</v>
      </c>
      <c r="B589">
        <v>43</v>
      </c>
      <c r="C589" s="6">
        <v>36.799999999999997</v>
      </c>
      <c r="D589" s="6">
        <v>15</v>
      </c>
      <c r="E589" s="8">
        <v>0</v>
      </c>
    </row>
    <row r="590" spans="1:5" x14ac:dyDescent="0.2">
      <c r="A590">
        <v>10469</v>
      </c>
      <c r="B590">
        <v>2</v>
      </c>
      <c r="C590" s="6">
        <v>15.2</v>
      </c>
      <c r="D590" s="6">
        <v>40</v>
      </c>
      <c r="E590" s="8">
        <v>0.15</v>
      </c>
    </row>
    <row r="591" spans="1:5" x14ac:dyDescent="0.2">
      <c r="A591">
        <v>10469</v>
      </c>
      <c r="B591">
        <v>16</v>
      </c>
      <c r="C591" s="6">
        <v>13.9</v>
      </c>
      <c r="D591" s="6">
        <v>35</v>
      </c>
      <c r="E591" s="8">
        <v>0.15</v>
      </c>
    </row>
    <row r="592" spans="1:5" x14ac:dyDescent="0.2">
      <c r="A592">
        <v>10469</v>
      </c>
      <c r="B592">
        <v>44</v>
      </c>
      <c r="C592" s="6">
        <v>15.5</v>
      </c>
      <c r="D592" s="6">
        <v>2</v>
      </c>
      <c r="E592" s="8">
        <v>0.15</v>
      </c>
    </row>
    <row r="593" spans="1:5" x14ac:dyDescent="0.2">
      <c r="A593">
        <v>10470</v>
      </c>
      <c r="B593">
        <v>18</v>
      </c>
      <c r="C593" s="6">
        <v>50</v>
      </c>
      <c r="D593" s="6">
        <v>30</v>
      </c>
      <c r="E593" s="8">
        <v>0</v>
      </c>
    </row>
    <row r="594" spans="1:5" x14ac:dyDescent="0.2">
      <c r="A594">
        <v>10470</v>
      </c>
      <c r="B594">
        <v>23</v>
      </c>
      <c r="C594" s="6">
        <v>7.2</v>
      </c>
      <c r="D594" s="6">
        <v>15</v>
      </c>
      <c r="E594" s="8">
        <v>0</v>
      </c>
    </row>
    <row r="595" spans="1:5" x14ac:dyDescent="0.2">
      <c r="A595">
        <v>10470</v>
      </c>
      <c r="B595">
        <v>64</v>
      </c>
      <c r="C595" s="6">
        <v>26.6</v>
      </c>
      <c r="D595" s="6">
        <v>8</v>
      </c>
      <c r="E595" s="8">
        <v>0</v>
      </c>
    </row>
    <row r="596" spans="1:5" x14ac:dyDescent="0.2">
      <c r="A596">
        <v>10471</v>
      </c>
      <c r="B596">
        <v>7</v>
      </c>
      <c r="C596" s="6">
        <v>24</v>
      </c>
      <c r="D596" s="6">
        <v>30</v>
      </c>
      <c r="E596" s="8">
        <v>0</v>
      </c>
    </row>
    <row r="597" spans="1:5" x14ac:dyDescent="0.2">
      <c r="A597">
        <v>10471</v>
      </c>
      <c r="B597">
        <v>56</v>
      </c>
      <c r="C597" s="6">
        <v>30.4</v>
      </c>
      <c r="D597" s="6">
        <v>20</v>
      </c>
      <c r="E597" s="8">
        <v>0</v>
      </c>
    </row>
    <row r="598" spans="1:5" x14ac:dyDescent="0.2">
      <c r="A598">
        <v>10472</v>
      </c>
      <c r="B598">
        <v>24</v>
      </c>
      <c r="C598" s="6">
        <v>3.6</v>
      </c>
      <c r="D598" s="6">
        <v>80</v>
      </c>
      <c r="E598" s="8">
        <v>0.05</v>
      </c>
    </row>
    <row r="599" spans="1:5" x14ac:dyDescent="0.2">
      <c r="A599">
        <v>10472</v>
      </c>
      <c r="B599">
        <v>51</v>
      </c>
      <c r="C599" s="6">
        <v>42.4</v>
      </c>
      <c r="D599" s="6">
        <v>18</v>
      </c>
      <c r="E599" s="8">
        <v>0</v>
      </c>
    </row>
    <row r="600" spans="1:5" x14ac:dyDescent="0.2">
      <c r="A600">
        <v>10473</v>
      </c>
      <c r="B600">
        <v>33</v>
      </c>
      <c r="C600" s="6">
        <v>2</v>
      </c>
      <c r="D600" s="6">
        <v>12</v>
      </c>
      <c r="E600" s="8">
        <v>0</v>
      </c>
    </row>
    <row r="601" spans="1:5" x14ac:dyDescent="0.2">
      <c r="A601">
        <v>10473</v>
      </c>
      <c r="B601">
        <v>71</v>
      </c>
      <c r="C601" s="6">
        <v>17.2</v>
      </c>
      <c r="D601" s="6">
        <v>12</v>
      </c>
      <c r="E601" s="8">
        <v>0</v>
      </c>
    </row>
    <row r="602" spans="1:5" x14ac:dyDescent="0.2">
      <c r="A602">
        <v>10474</v>
      </c>
      <c r="B602">
        <v>14</v>
      </c>
      <c r="C602" s="6">
        <v>18.600000000000001</v>
      </c>
      <c r="D602" s="6">
        <v>12</v>
      </c>
      <c r="E602" s="8">
        <v>0</v>
      </c>
    </row>
    <row r="603" spans="1:5" x14ac:dyDescent="0.2">
      <c r="A603">
        <v>10474</v>
      </c>
      <c r="B603">
        <v>28</v>
      </c>
      <c r="C603" s="6">
        <v>36.4</v>
      </c>
      <c r="D603" s="6">
        <v>18</v>
      </c>
      <c r="E603" s="8">
        <v>0</v>
      </c>
    </row>
    <row r="604" spans="1:5" x14ac:dyDescent="0.2">
      <c r="A604">
        <v>10474</v>
      </c>
      <c r="B604">
        <v>40</v>
      </c>
      <c r="C604" s="6">
        <v>14.7</v>
      </c>
      <c r="D604" s="6">
        <v>21</v>
      </c>
      <c r="E604" s="8">
        <v>0</v>
      </c>
    </row>
    <row r="605" spans="1:5" x14ac:dyDescent="0.2">
      <c r="A605">
        <v>10474</v>
      </c>
      <c r="B605">
        <v>75</v>
      </c>
      <c r="C605" s="6">
        <v>6.2</v>
      </c>
      <c r="D605" s="6">
        <v>10</v>
      </c>
      <c r="E605" s="8">
        <v>0</v>
      </c>
    </row>
    <row r="606" spans="1:5" x14ac:dyDescent="0.2">
      <c r="A606">
        <v>10475</v>
      </c>
      <c r="B606">
        <v>31</v>
      </c>
      <c r="C606" s="6">
        <v>10</v>
      </c>
      <c r="D606" s="6">
        <v>35</v>
      </c>
      <c r="E606" s="8">
        <v>0.15</v>
      </c>
    </row>
    <row r="607" spans="1:5" x14ac:dyDescent="0.2">
      <c r="A607">
        <v>10475</v>
      </c>
      <c r="B607">
        <v>66</v>
      </c>
      <c r="C607" s="6">
        <v>13.6</v>
      </c>
      <c r="D607" s="6">
        <v>60</v>
      </c>
      <c r="E607" s="8">
        <v>0.15</v>
      </c>
    </row>
    <row r="608" spans="1:5" x14ac:dyDescent="0.2">
      <c r="A608">
        <v>10475</v>
      </c>
      <c r="B608">
        <v>76</v>
      </c>
      <c r="C608" s="6">
        <v>14.4</v>
      </c>
      <c r="D608" s="6">
        <v>42</v>
      </c>
      <c r="E608" s="8">
        <v>0.15</v>
      </c>
    </row>
    <row r="609" spans="1:5" x14ac:dyDescent="0.2">
      <c r="A609">
        <v>10476</v>
      </c>
      <c r="B609">
        <v>55</v>
      </c>
      <c r="C609" s="6">
        <v>19.2</v>
      </c>
      <c r="D609" s="6">
        <v>2</v>
      </c>
      <c r="E609" s="8">
        <v>0.05</v>
      </c>
    </row>
    <row r="610" spans="1:5" x14ac:dyDescent="0.2">
      <c r="A610">
        <v>10476</v>
      </c>
      <c r="B610">
        <v>70</v>
      </c>
      <c r="C610" s="6">
        <v>12</v>
      </c>
      <c r="D610" s="6">
        <v>12</v>
      </c>
      <c r="E610" s="8">
        <v>0</v>
      </c>
    </row>
    <row r="611" spans="1:5" x14ac:dyDescent="0.2">
      <c r="A611">
        <v>10477</v>
      </c>
      <c r="B611">
        <v>1</v>
      </c>
      <c r="C611" s="6">
        <v>14.4</v>
      </c>
      <c r="D611" s="6">
        <v>15</v>
      </c>
      <c r="E611" s="8">
        <v>0</v>
      </c>
    </row>
    <row r="612" spans="1:5" x14ac:dyDescent="0.2">
      <c r="A612">
        <v>10477</v>
      </c>
      <c r="B612">
        <v>21</v>
      </c>
      <c r="C612" s="6">
        <v>8</v>
      </c>
      <c r="D612" s="6">
        <v>21</v>
      </c>
      <c r="E612" s="8">
        <v>0.25</v>
      </c>
    </row>
    <row r="613" spans="1:5" x14ac:dyDescent="0.2">
      <c r="A613">
        <v>10477</v>
      </c>
      <c r="B613">
        <v>39</v>
      </c>
      <c r="C613" s="6">
        <v>14.4</v>
      </c>
      <c r="D613" s="6">
        <v>20</v>
      </c>
      <c r="E613" s="8">
        <v>0.25</v>
      </c>
    </row>
    <row r="614" spans="1:5" x14ac:dyDescent="0.2">
      <c r="A614">
        <v>10478</v>
      </c>
      <c r="B614">
        <v>10</v>
      </c>
      <c r="C614" s="6">
        <v>24.8</v>
      </c>
      <c r="D614" s="6">
        <v>20</v>
      </c>
      <c r="E614" s="8">
        <v>0.05</v>
      </c>
    </row>
    <row r="615" spans="1:5" x14ac:dyDescent="0.2">
      <c r="A615">
        <v>10479</v>
      </c>
      <c r="B615">
        <v>38</v>
      </c>
      <c r="C615" s="6">
        <v>210.8</v>
      </c>
      <c r="D615" s="6">
        <v>30</v>
      </c>
      <c r="E615" s="8">
        <v>0</v>
      </c>
    </row>
    <row r="616" spans="1:5" x14ac:dyDescent="0.2">
      <c r="A616">
        <v>10479</v>
      </c>
      <c r="B616">
        <v>53</v>
      </c>
      <c r="C616" s="6">
        <v>26.2</v>
      </c>
      <c r="D616" s="6">
        <v>28</v>
      </c>
      <c r="E616" s="8">
        <v>0</v>
      </c>
    </row>
    <row r="617" spans="1:5" x14ac:dyDescent="0.2">
      <c r="A617">
        <v>10479</v>
      </c>
      <c r="B617">
        <v>59</v>
      </c>
      <c r="C617" s="6">
        <v>44</v>
      </c>
      <c r="D617" s="6">
        <v>60</v>
      </c>
      <c r="E617" s="8">
        <v>0</v>
      </c>
    </row>
    <row r="618" spans="1:5" x14ac:dyDescent="0.2">
      <c r="A618">
        <v>10479</v>
      </c>
      <c r="B618">
        <v>64</v>
      </c>
      <c r="C618" s="6">
        <v>26.6</v>
      </c>
      <c r="D618" s="6">
        <v>30</v>
      </c>
      <c r="E618" s="8">
        <v>0</v>
      </c>
    </row>
    <row r="619" spans="1:5" x14ac:dyDescent="0.2">
      <c r="A619">
        <v>10480</v>
      </c>
      <c r="B619">
        <v>47</v>
      </c>
      <c r="C619" s="6">
        <v>7.6</v>
      </c>
      <c r="D619" s="6">
        <v>30</v>
      </c>
      <c r="E619" s="8">
        <v>0</v>
      </c>
    </row>
    <row r="620" spans="1:5" x14ac:dyDescent="0.2">
      <c r="A620">
        <v>10480</v>
      </c>
      <c r="B620">
        <v>59</v>
      </c>
      <c r="C620" s="6">
        <v>44</v>
      </c>
      <c r="D620" s="6">
        <v>12</v>
      </c>
      <c r="E620" s="8">
        <v>0</v>
      </c>
    </row>
    <row r="621" spans="1:5" x14ac:dyDescent="0.2">
      <c r="A621">
        <v>10481</v>
      </c>
      <c r="B621">
        <v>49</v>
      </c>
      <c r="C621" s="6">
        <v>16</v>
      </c>
      <c r="D621" s="6">
        <v>24</v>
      </c>
      <c r="E621" s="8">
        <v>0</v>
      </c>
    </row>
    <row r="622" spans="1:5" x14ac:dyDescent="0.2">
      <c r="A622">
        <v>10481</v>
      </c>
      <c r="B622">
        <v>60</v>
      </c>
      <c r="C622" s="6">
        <v>27.2</v>
      </c>
      <c r="D622" s="6">
        <v>40</v>
      </c>
      <c r="E622" s="8">
        <v>0</v>
      </c>
    </row>
    <row r="623" spans="1:5" x14ac:dyDescent="0.2">
      <c r="A623">
        <v>10482</v>
      </c>
      <c r="B623">
        <v>40</v>
      </c>
      <c r="C623" s="6">
        <v>14.7</v>
      </c>
      <c r="D623" s="6">
        <v>10</v>
      </c>
      <c r="E623" s="8">
        <v>0</v>
      </c>
    </row>
    <row r="624" spans="1:5" x14ac:dyDescent="0.2">
      <c r="A624">
        <v>10483</v>
      </c>
      <c r="B624">
        <v>34</v>
      </c>
      <c r="C624" s="6">
        <v>11.2</v>
      </c>
      <c r="D624" s="6">
        <v>35</v>
      </c>
      <c r="E624" s="8">
        <v>0.05</v>
      </c>
    </row>
    <row r="625" spans="1:5" x14ac:dyDescent="0.2">
      <c r="A625">
        <v>10483</v>
      </c>
      <c r="B625">
        <v>77</v>
      </c>
      <c r="C625" s="6">
        <v>10.4</v>
      </c>
      <c r="D625" s="6">
        <v>30</v>
      </c>
      <c r="E625" s="8">
        <v>0.05</v>
      </c>
    </row>
    <row r="626" spans="1:5" x14ac:dyDescent="0.2">
      <c r="A626">
        <v>10484</v>
      </c>
      <c r="B626">
        <v>21</v>
      </c>
      <c r="C626" s="6">
        <v>8</v>
      </c>
      <c r="D626" s="6">
        <v>14</v>
      </c>
      <c r="E626" s="8">
        <v>0</v>
      </c>
    </row>
    <row r="627" spans="1:5" x14ac:dyDescent="0.2">
      <c r="A627">
        <v>10484</v>
      </c>
      <c r="B627">
        <v>40</v>
      </c>
      <c r="C627" s="6">
        <v>14.7</v>
      </c>
      <c r="D627" s="6">
        <v>10</v>
      </c>
      <c r="E627" s="8">
        <v>0</v>
      </c>
    </row>
    <row r="628" spans="1:5" x14ac:dyDescent="0.2">
      <c r="A628">
        <v>10484</v>
      </c>
      <c r="B628">
        <v>51</v>
      </c>
      <c r="C628" s="6">
        <v>42.4</v>
      </c>
      <c r="D628" s="6">
        <v>3</v>
      </c>
      <c r="E628" s="8">
        <v>0</v>
      </c>
    </row>
    <row r="629" spans="1:5" x14ac:dyDescent="0.2">
      <c r="A629">
        <v>10485</v>
      </c>
      <c r="B629">
        <v>2</v>
      </c>
      <c r="C629" s="6">
        <v>15.2</v>
      </c>
      <c r="D629" s="6">
        <v>20</v>
      </c>
      <c r="E629" s="8">
        <v>0.1</v>
      </c>
    </row>
    <row r="630" spans="1:5" x14ac:dyDescent="0.2">
      <c r="A630">
        <v>10485</v>
      </c>
      <c r="B630">
        <v>3</v>
      </c>
      <c r="C630" s="6">
        <v>8</v>
      </c>
      <c r="D630" s="6">
        <v>20</v>
      </c>
      <c r="E630" s="8">
        <v>0.1</v>
      </c>
    </row>
    <row r="631" spans="1:5" x14ac:dyDescent="0.2">
      <c r="A631">
        <v>10485</v>
      </c>
      <c r="B631">
        <v>55</v>
      </c>
      <c r="C631" s="6">
        <v>19.2</v>
      </c>
      <c r="D631" s="6">
        <v>30</v>
      </c>
      <c r="E631" s="8">
        <v>0.1</v>
      </c>
    </row>
    <row r="632" spans="1:5" x14ac:dyDescent="0.2">
      <c r="A632">
        <v>10485</v>
      </c>
      <c r="B632">
        <v>70</v>
      </c>
      <c r="C632" s="6">
        <v>12</v>
      </c>
      <c r="D632" s="6">
        <v>60</v>
      </c>
      <c r="E632" s="8">
        <v>0.1</v>
      </c>
    </row>
    <row r="633" spans="1:5" x14ac:dyDescent="0.2">
      <c r="A633">
        <v>10486</v>
      </c>
      <c r="B633">
        <v>11</v>
      </c>
      <c r="C633" s="6">
        <v>16.8</v>
      </c>
      <c r="D633" s="6">
        <v>5</v>
      </c>
      <c r="E633" s="8">
        <v>0</v>
      </c>
    </row>
    <row r="634" spans="1:5" x14ac:dyDescent="0.2">
      <c r="A634">
        <v>10486</v>
      </c>
      <c r="B634">
        <v>51</v>
      </c>
      <c r="C634" s="6">
        <v>42.4</v>
      </c>
      <c r="D634" s="6">
        <v>25</v>
      </c>
      <c r="E634" s="8">
        <v>0</v>
      </c>
    </row>
    <row r="635" spans="1:5" x14ac:dyDescent="0.2">
      <c r="A635">
        <v>10486</v>
      </c>
      <c r="B635">
        <v>74</v>
      </c>
      <c r="C635" s="6">
        <v>8</v>
      </c>
      <c r="D635" s="6">
        <v>16</v>
      </c>
      <c r="E635" s="8">
        <v>0</v>
      </c>
    </row>
    <row r="636" spans="1:5" x14ac:dyDescent="0.2">
      <c r="A636">
        <v>10487</v>
      </c>
      <c r="B636">
        <v>19</v>
      </c>
      <c r="C636" s="6">
        <v>7.3</v>
      </c>
      <c r="D636" s="6">
        <v>5</v>
      </c>
      <c r="E636" s="8">
        <v>0</v>
      </c>
    </row>
    <row r="637" spans="1:5" x14ac:dyDescent="0.2">
      <c r="A637">
        <v>10487</v>
      </c>
      <c r="B637">
        <v>26</v>
      </c>
      <c r="C637" s="6">
        <v>24.9</v>
      </c>
      <c r="D637" s="6">
        <v>30</v>
      </c>
      <c r="E637" s="8">
        <v>0</v>
      </c>
    </row>
    <row r="638" spans="1:5" x14ac:dyDescent="0.2">
      <c r="A638">
        <v>10487</v>
      </c>
      <c r="B638">
        <v>54</v>
      </c>
      <c r="C638" s="6">
        <v>5.9</v>
      </c>
      <c r="D638" s="6">
        <v>24</v>
      </c>
      <c r="E638" s="8">
        <v>0.25</v>
      </c>
    </row>
    <row r="639" spans="1:5" x14ac:dyDescent="0.2">
      <c r="A639">
        <v>10488</v>
      </c>
      <c r="B639">
        <v>59</v>
      </c>
      <c r="C639" s="6">
        <v>44</v>
      </c>
      <c r="D639" s="6">
        <v>30</v>
      </c>
      <c r="E639" s="8">
        <v>0</v>
      </c>
    </row>
    <row r="640" spans="1:5" x14ac:dyDescent="0.2">
      <c r="A640">
        <v>10488</v>
      </c>
      <c r="B640">
        <v>73</v>
      </c>
      <c r="C640" s="6">
        <v>12</v>
      </c>
      <c r="D640" s="6">
        <v>20</v>
      </c>
      <c r="E640" s="8">
        <v>0.2</v>
      </c>
    </row>
    <row r="641" spans="1:5" x14ac:dyDescent="0.2">
      <c r="A641">
        <v>10489</v>
      </c>
      <c r="B641">
        <v>11</v>
      </c>
      <c r="C641" s="6">
        <v>16.8</v>
      </c>
      <c r="D641" s="6">
        <v>15</v>
      </c>
      <c r="E641" s="8">
        <v>0.25</v>
      </c>
    </row>
    <row r="642" spans="1:5" x14ac:dyDescent="0.2">
      <c r="A642">
        <v>10489</v>
      </c>
      <c r="B642">
        <v>16</v>
      </c>
      <c r="C642" s="6">
        <v>13.9</v>
      </c>
      <c r="D642" s="6">
        <v>18</v>
      </c>
      <c r="E642" s="8">
        <v>0</v>
      </c>
    </row>
    <row r="643" spans="1:5" x14ac:dyDescent="0.2">
      <c r="A643">
        <v>10490</v>
      </c>
      <c r="B643">
        <v>59</v>
      </c>
      <c r="C643" s="6">
        <v>44</v>
      </c>
      <c r="D643" s="6">
        <v>60</v>
      </c>
      <c r="E643" s="8">
        <v>0</v>
      </c>
    </row>
    <row r="644" spans="1:5" x14ac:dyDescent="0.2">
      <c r="A644">
        <v>10490</v>
      </c>
      <c r="B644">
        <v>68</v>
      </c>
      <c r="C644" s="6">
        <v>10</v>
      </c>
      <c r="D644" s="6">
        <v>30</v>
      </c>
      <c r="E644" s="8">
        <v>0</v>
      </c>
    </row>
    <row r="645" spans="1:5" x14ac:dyDescent="0.2">
      <c r="A645">
        <v>10490</v>
      </c>
      <c r="B645">
        <v>75</v>
      </c>
      <c r="C645" s="6">
        <v>6.2</v>
      </c>
      <c r="D645" s="6">
        <v>36</v>
      </c>
      <c r="E645" s="8">
        <v>0</v>
      </c>
    </row>
    <row r="646" spans="1:5" x14ac:dyDescent="0.2">
      <c r="A646">
        <v>10491</v>
      </c>
      <c r="B646">
        <v>44</v>
      </c>
      <c r="C646" s="6">
        <v>15.5</v>
      </c>
      <c r="D646" s="6">
        <v>15</v>
      </c>
      <c r="E646" s="8">
        <v>0.15</v>
      </c>
    </row>
    <row r="647" spans="1:5" x14ac:dyDescent="0.2">
      <c r="A647">
        <v>10491</v>
      </c>
      <c r="B647">
        <v>77</v>
      </c>
      <c r="C647" s="6">
        <v>10.4</v>
      </c>
      <c r="D647" s="6">
        <v>7</v>
      </c>
      <c r="E647" s="8">
        <v>0.15</v>
      </c>
    </row>
    <row r="648" spans="1:5" x14ac:dyDescent="0.2">
      <c r="A648">
        <v>10492</v>
      </c>
      <c r="B648">
        <v>25</v>
      </c>
      <c r="C648" s="6">
        <v>11.2</v>
      </c>
      <c r="D648" s="6">
        <v>60</v>
      </c>
      <c r="E648" s="8">
        <v>0.05</v>
      </c>
    </row>
    <row r="649" spans="1:5" x14ac:dyDescent="0.2">
      <c r="A649">
        <v>10492</v>
      </c>
      <c r="B649">
        <v>42</v>
      </c>
      <c r="C649" s="6">
        <v>11.2</v>
      </c>
      <c r="D649" s="6">
        <v>20</v>
      </c>
      <c r="E649" s="8">
        <v>0.05</v>
      </c>
    </row>
    <row r="650" spans="1:5" x14ac:dyDescent="0.2">
      <c r="A650">
        <v>10493</v>
      </c>
      <c r="B650">
        <v>65</v>
      </c>
      <c r="C650" s="6">
        <v>16.8</v>
      </c>
      <c r="D650" s="6">
        <v>15</v>
      </c>
      <c r="E650" s="8">
        <v>0.1</v>
      </c>
    </row>
    <row r="651" spans="1:5" x14ac:dyDescent="0.2">
      <c r="A651">
        <v>10493</v>
      </c>
      <c r="B651">
        <v>66</v>
      </c>
      <c r="C651" s="6">
        <v>13.6</v>
      </c>
      <c r="D651" s="6">
        <v>10</v>
      </c>
      <c r="E651" s="8">
        <v>0.1</v>
      </c>
    </row>
    <row r="652" spans="1:5" x14ac:dyDescent="0.2">
      <c r="A652">
        <v>10493</v>
      </c>
      <c r="B652">
        <v>69</v>
      </c>
      <c r="C652" s="6">
        <v>28.8</v>
      </c>
      <c r="D652" s="6">
        <v>10</v>
      </c>
      <c r="E652" s="8">
        <v>0.1</v>
      </c>
    </row>
    <row r="653" spans="1:5" x14ac:dyDescent="0.2">
      <c r="A653">
        <v>10494</v>
      </c>
      <c r="B653">
        <v>56</v>
      </c>
      <c r="C653" s="6">
        <v>30.4</v>
      </c>
      <c r="D653" s="6">
        <v>30</v>
      </c>
      <c r="E653" s="8">
        <v>0</v>
      </c>
    </row>
    <row r="654" spans="1:5" x14ac:dyDescent="0.2">
      <c r="A654">
        <v>10495</v>
      </c>
      <c r="B654">
        <v>23</v>
      </c>
      <c r="C654" s="6">
        <v>7.2</v>
      </c>
      <c r="D654" s="6">
        <v>10</v>
      </c>
      <c r="E654" s="8">
        <v>0</v>
      </c>
    </row>
    <row r="655" spans="1:5" x14ac:dyDescent="0.2">
      <c r="A655">
        <v>10495</v>
      </c>
      <c r="B655">
        <v>41</v>
      </c>
      <c r="C655" s="6">
        <v>7.7</v>
      </c>
      <c r="D655" s="6">
        <v>20</v>
      </c>
      <c r="E655" s="8">
        <v>0</v>
      </c>
    </row>
    <row r="656" spans="1:5" x14ac:dyDescent="0.2">
      <c r="A656">
        <v>10495</v>
      </c>
      <c r="B656">
        <v>77</v>
      </c>
      <c r="C656" s="6">
        <v>10.4</v>
      </c>
      <c r="D656" s="6">
        <v>5</v>
      </c>
      <c r="E656" s="8">
        <v>0</v>
      </c>
    </row>
    <row r="657" spans="1:5" x14ac:dyDescent="0.2">
      <c r="A657">
        <v>10496</v>
      </c>
      <c r="B657">
        <v>31</v>
      </c>
      <c r="C657" s="6">
        <v>10</v>
      </c>
      <c r="D657" s="6">
        <v>20</v>
      </c>
      <c r="E657" s="8">
        <v>0.05</v>
      </c>
    </row>
    <row r="658" spans="1:5" x14ac:dyDescent="0.2">
      <c r="A658">
        <v>10497</v>
      </c>
      <c r="B658">
        <v>56</v>
      </c>
      <c r="C658" s="6">
        <v>30.4</v>
      </c>
      <c r="D658" s="6">
        <v>14</v>
      </c>
      <c r="E658" s="8">
        <v>0</v>
      </c>
    </row>
    <row r="659" spans="1:5" x14ac:dyDescent="0.2">
      <c r="A659">
        <v>10497</v>
      </c>
      <c r="B659">
        <v>72</v>
      </c>
      <c r="C659" s="6">
        <v>27.8</v>
      </c>
      <c r="D659" s="6">
        <v>25</v>
      </c>
      <c r="E659" s="8">
        <v>0</v>
      </c>
    </row>
    <row r="660" spans="1:5" x14ac:dyDescent="0.2">
      <c r="A660">
        <v>10497</v>
      </c>
      <c r="B660">
        <v>77</v>
      </c>
      <c r="C660" s="6">
        <v>10.4</v>
      </c>
      <c r="D660" s="6">
        <v>25</v>
      </c>
      <c r="E660" s="8">
        <v>0</v>
      </c>
    </row>
    <row r="661" spans="1:5" x14ac:dyDescent="0.2">
      <c r="A661">
        <v>10498</v>
      </c>
      <c r="B661">
        <v>24</v>
      </c>
      <c r="C661" s="6">
        <v>4.5</v>
      </c>
      <c r="D661" s="6">
        <v>14</v>
      </c>
      <c r="E661" s="8">
        <v>0</v>
      </c>
    </row>
    <row r="662" spans="1:5" x14ac:dyDescent="0.2">
      <c r="A662">
        <v>10498</v>
      </c>
      <c r="B662">
        <v>40</v>
      </c>
      <c r="C662" s="6">
        <v>18.399999999999999</v>
      </c>
      <c r="D662" s="6">
        <v>5</v>
      </c>
      <c r="E662" s="8">
        <v>0</v>
      </c>
    </row>
    <row r="663" spans="1:5" x14ac:dyDescent="0.2">
      <c r="A663">
        <v>10498</v>
      </c>
      <c r="B663">
        <v>42</v>
      </c>
      <c r="C663" s="6">
        <v>14</v>
      </c>
      <c r="D663" s="6">
        <v>30</v>
      </c>
      <c r="E663" s="8">
        <v>0</v>
      </c>
    </row>
    <row r="664" spans="1:5" x14ac:dyDescent="0.2">
      <c r="A664">
        <v>10499</v>
      </c>
      <c r="B664">
        <v>28</v>
      </c>
      <c r="C664" s="6">
        <v>45.6</v>
      </c>
      <c r="D664" s="6">
        <v>20</v>
      </c>
      <c r="E664" s="8">
        <v>0</v>
      </c>
    </row>
    <row r="665" spans="1:5" x14ac:dyDescent="0.2">
      <c r="A665">
        <v>10499</v>
      </c>
      <c r="B665">
        <v>49</v>
      </c>
      <c r="C665" s="6">
        <v>20</v>
      </c>
      <c r="D665" s="6">
        <v>25</v>
      </c>
      <c r="E665" s="8">
        <v>0</v>
      </c>
    </row>
    <row r="666" spans="1:5" x14ac:dyDescent="0.2">
      <c r="A666">
        <v>10500</v>
      </c>
      <c r="B666">
        <v>15</v>
      </c>
      <c r="C666" s="6">
        <v>15.5</v>
      </c>
      <c r="D666" s="6">
        <v>12</v>
      </c>
      <c r="E666" s="8">
        <v>0.05</v>
      </c>
    </row>
    <row r="667" spans="1:5" x14ac:dyDescent="0.2">
      <c r="A667">
        <v>10500</v>
      </c>
      <c r="B667">
        <v>28</v>
      </c>
      <c r="C667" s="6">
        <v>45.6</v>
      </c>
      <c r="D667" s="6">
        <v>8</v>
      </c>
      <c r="E667" s="8">
        <v>0.05</v>
      </c>
    </row>
    <row r="668" spans="1:5" x14ac:dyDescent="0.2">
      <c r="A668">
        <v>10501</v>
      </c>
      <c r="B668">
        <v>54</v>
      </c>
      <c r="C668" s="6">
        <v>7.45</v>
      </c>
      <c r="D668" s="6">
        <v>20</v>
      </c>
      <c r="E668" s="8">
        <v>0</v>
      </c>
    </row>
    <row r="669" spans="1:5" x14ac:dyDescent="0.2">
      <c r="A669">
        <v>10502</v>
      </c>
      <c r="B669">
        <v>45</v>
      </c>
      <c r="C669" s="6">
        <v>9.5</v>
      </c>
      <c r="D669" s="6">
        <v>21</v>
      </c>
      <c r="E669" s="8">
        <v>0</v>
      </c>
    </row>
    <row r="670" spans="1:5" x14ac:dyDescent="0.2">
      <c r="A670">
        <v>10502</v>
      </c>
      <c r="B670">
        <v>53</v>
      </c>
      <c r="C670" s="6">
        <v>32.799999999999997</v>
      </c>
      <c r="D670" s="6">
        <v>6</v>
      </c>
      <c r="E670" s="8">
        <v>0</v>
      </c>
    </row>
    <row r="671" spans="1:5" x14ac:dyDescent="0.2">
      <c r="A671">
        <v>10502</v>
      </c>
      <c r="B671">
        <v>67</v>
      </c>
      <c r="C671" s="6">
        <v>14</v>
      </c>
      <c r="D671" s="6">
        <v>30</v>
      </c>
      <c r="E671" s="8">
        <v>0</v>
      </c>
    </row>
    <row r="672" spans="1:5" x14ac:dyDescent="0.2">
      <c r="A672">
        <v>10503</v>
      </c>
      <c r="B672">
        <v>14</v>
      </c>
      <c r="C672" s="6">
        <v>23.25</v>
      </c>
      <c r="D672" s="6">
        <v>70</v>
      </c>
      <c r="E672" s="8">
        <v>0</v>
      </c>
    </row>
    <row r="673" spans="1:5" x14ac:dyDescent="0.2">
      <c r="A673">
        <v>10503</v>
      </c>
      <c r="B673">
        <v>65</v>
      </c>
      <c r="C673" s="6">
        <v>21.05</v>
      </c>
      <c r="D673" s="6">
        <v>20</v>
      </c>
      <c r="E673" s="8">
        <v>0</v>
      </c>
    </row>
    <row r="674" spans="1:5" x14ac:dyDescent="0.2">
      <c r="A674">
        <v>10504</v>
      </c>
      <c r="B674">
        <v>2</v>
      </c>
      <c r="C674" s="6">
        <v>19</v>
      </c>
      <c r="D674" s="6">
        <v>12</v>
      </c>
      <c r="E674" s="8">
        <v>0</v>
      </c>
    </row>
    <row r="675" spans="1:5" x14ac:dyDescent="0.2">
      <c r="A675">
        <v>10504</v>
      </c>
      <c r="B675">
        <v>21</v>
      </c>
      <c r="C675" s="6">
        <v>10</v>
      </c>
      <c r="D675" s="6">
        <v>12</v>
      </c>
      <c r="E675" s="8">
        <v>0</v>
      </c>
    </row>
    <row r="676" spans="1:5" x14ac:dyDescent="0.2">
      <c r="A676">
        <v>10504</v>
      </c>
      <c r="B676">
        <v>53</v>
      </c>
      <c r="C676" s="6">
        <v>32.799999999999997</v>
      </c>
      <c r="D676" s="6">
        <v>10</v>
      </c>
      <c r="E676" s="8">
        <v>0</v>
      </c>
    </row>
    <row r="677" spans="1:5" x14ac:dyDescent="0.2">
      <c r="A677">
        <v>10504</v>
      </c>
      <c r="B677">
        <v>61</v>
      </c>
      <c r="C677" s="6">
        <v>28.5</v>
      </c>
      <c r="D677" s="6">
        <v>25</v>
      </c>
      <c r="E677" s="8">
        <v>0</v>
      </c>
    </row>
    <row r="678" spans="1:5" x14ac:dyDescent="0.2">
      <c r="A678">
        <v>10505</v>
      </c>
      <c r="B678">
        <v>62</v>
      </c>
      <c r="C678" s="6">
        <v>49.3</v>
      </c>
      <c r="D678" s="6">
        <v>3</v>
      </c>
      <c r="E678" s="8">
        <v>0</v>
      </c>
    </row>
    <row r="679" spans="1:5" x14ac:dyDescent="0.2">
      <c r="A679">
        <v>10506</v>
      </c>
      <c r="B679">
        <v>25</v>
      </c>
      <c r="C679" s="6">
        <v>14</v>
      </c>
      <c r="D679" s="6">
        <v>18</v>
      </c>
      <c r="E679" s="8">
        <v>0.1</v>
      </c>
    </row>
    <row r="680" spans="1:5" x14ac:dyDescent="0.2">
      <c r="A680">
        <v>10506</v>
      </c>
      <c r="B680">
        <v>70</v>
      </c>
      <c r="C680" s="6">
        <v>15</v>
      </c>
      <c r="D680" s="6">
        <v>14</v>
      </c>
      <c r="E680" s="8">
        <v>0.1</v>
      </c>
    </row>
    <row r="681" spans="1:5" x14ac:dyDescent="0.2">
      <c r="A681">
        <v>10507</v>
      </c>
      <c r="B681">
        <v>43</v>
      </c>
      <c r="C681" s="6">
        <v>46</v>
      </c>
      <c r="D681" s="6">
        <v>15</v>
      </c>
      <c r="E681" s="8">
        <v>0.15</v>
      </c>
    </row>
    <row r="682" spans="1:5" x14ac:dyDescent="0.2">
      <c r="A682">
        <v>10507</v>
      </c>
      <c r="B682">
        <v>48</v>
      </c>
      <c r="C682" s="6">
        <v>12.75</v>
      </c>
      <c r="D682" s="6">
        <v>15</v>
      </c>
      <c r="E682" s="8">
        <v>0.15</v>
      </c>
    </row>
    <row r="683" spans="1:5" x14ac:dyDescent="0.2">
      <c r="A683">
        <v>10508</v>
      </c>
      <c r="B683">
        <v>13</v>
      </c>
      <c r="C683" s="6">
        <v>6</v>
      </c>
      <c r="D683" s="6">
        <v>10</v>
      </c>
      <c r="E683" s="8">
        <v>0</v>
      </c>
    </row>
    <row r="684" spans="1:5" x14ac:dyDescent="0.2">
      <c r="A684">
        <v>10508</v>
      </c>
      <c r="B684">
        <v>39</v>
      </c>
      <c r="C684" s="6">
        <v>18</v>
      </c>
      <c r="D684" s="6">
        <v>10</v>
      </c>
      <c r="E684" s="8">
        <v>0</v>
      </c>
    </row>
    <row r="685" spans="1:5" x14ac:dyDescent="0.2">
      <c r="A685">
        <v>10509</v>
      </c>
      <c r="B685">
        <v>28</v>
      </c>
      <c r="C685" s="6">
        <v>45.6</v>
      </c>
      <c r="D685" s="6">
        <v>3</v>
      </c>
      <c r="E685" s="8">
        <v>0</v>
      </c>
    </row>
    <row r="686" spans="1:5" x14ac:dyDescent="0.2">
      <c r="A686">
        <v>10510</v>
      </c>
      <c r="B686">
        <v>29</v>
      </c>
      <c r="C686" s="6">
        <v>123.79</v>
      </c>
      <c r="D686" s="6">
        <v>36</v>
      </c>
      <c r="E686" s="8">
        <v>0</v>
      </c>
    </row>
    <row r="687" spans="1:5" x14ac:dyDescent="0.2">
      <c r="A687">
        <v>10510</v>
      </c>
      <c r="B687">
        <v>75</v>
      </c>
      <c r="C687" s="6">
        <v>7.75</v>
      </c>
      <c r="D687" s="6">
        <v>36</v>
      </c>
      <c r="E687" s="8">
        <v>0.1</v>
      </c>
    </row>
    <row r="688" spans="1:5" x14ac:dyDescent="0.2">
      <c r="A688">
        <v>10511</v>
      </c>
      <c r="B688">
        <v>4</v>
      </c>
      <c r="C688" s="6">
        <v>22</v>
      </c>
      <c r="D688" s="6">
        <v>50</v>
      </c>
      <c r="E688" s="8">
        <v>0.15</v>
      </c>
    </row>
    <row r="689" spans="1:5" x14ac:dyDescent="0.2">
      <c r="A689">
        <v>10511</v>
      </c>
      <c r="B689">
        <v>7</v>
      </c>
      <c r="C689" s="6">
        <v>30</v>
      </c>
      <c r="D689" s="6">
        <v>50</v>
      </c>
      <c r="E689" s="8">
        <v>0.15</v>
      </c>
    </row>
    <row r="690" spans="1:5" x14ac:dyDescent="0.2">
      <c r="A690">
        <v>10511</v>
      </c>
      <c r="B690">
        <v>8</v>
      </c>
      <c r="C690" s="6">
        <v>40</v>
      </c>
      <c r="D690" s="6">
        <v>10</v>
      </c>
      <c r="E690" s="8">
        <v>0.15</v>
      </c>
    </row>
    <row r="691" spans="1:5" x14ac:dyDescent="0.2">
      <c r="A691">
        <v>10512</v>
      </c>
      <c r="B691">
        <v>24</v>
      </c>
      <c r="C691" s="6">
        <v>4.5</v>
      </c>
      <c r="D691" s="6">
        <v>10</v>
      </c>
      <c r="E691" s="8">
        <v>0.15</v>
      </c>
    </row>
    <row r="692" spans="1:5" x14ac:dyDescent="0.2">
      <c r="A692">
        <v>10512</v>
      </c>
      <c r="B692">
        <v>46</v>
      </c>
      <c r="C692" s="6">
        <v>12</v>
      </c>
      <c r="D692" s="6">
        <v>9</v>
      </c>
      <c r="E692" s="8">
        <v>0.15</v>
      </c>
    </row>
    <row r="693" spans="1:5" x14ac:dyDescent="0.2">
      <c r="A693">
        <v>10512</v>
      </c>
      <c r="B693">
        <v>47</v>
      </c>
      <c r="C693" s="6">
        <v>9.5</v>
      </c>
      <c r="D693" s="6">
        <v>6</v>
      </c>
      <c r="E693" s="8">
        <v>0.15</v>
      </c>
    </row>
    <row r="694" spans="1:5" x14ac:dyDescent="0.2">
      <c r="A694">
        <v>10512</v>
      </c>
      <c r="B694">
        <v>60</v>
      </c>
      <c r="C694" s="6">
        <v>34</v>
      </c>
      <c r="D694" s="6">
        <v>12</v>
      </c>
      <c r="E694" s="8">
        <v>0.15</v>
      </c>
    </row>
    <row r="695" spans="1:5" x14ac:dyDescent="0.2">
      <c r="A695">
        <v>10513</v>
      </c>
      <c r="B695">
        <v>21</v>
      </c>
      <c r="C695" s="6">
        <v>10</v>
      </c>
      <c r="D695" s="6">
        <v>40</v>
      </c>
      <c r="E695" s="8">
        <v>0.2</v>
      </c>
    </row>
    <row r="696" spans="1:5" x14ac:dyDescent="0.2">
      <c r="A696">
        <v>10513</v>
      </c>
      <c r="B696">
        <v>32</v>
      </c>
      <c r="C696" s="6">
        <v>32</v>
      </c>
      <c r="D696" s="6">
        <v>50</v>
      </c>
      <c r="E696" s="8">
        <v>0.2</v>
      </c>
    </row>
    <row r="697" spans="1:5" x14ac:dyDescent="0.2">
      <c r="A697">
        <v>10513</v>
      </c>
      <c r="B697">
        <v>61</v>
      </c>
      <c r="C697" s="6">
        <v>28.5</v>
      </c>
      <c r="D697" s="6">
        <v>15</v>
      </c>
      <c r="E697" s="8">
        <v>0.2</v>
      </c>
    </row>
    <row r="698" spans="1:5" x14ac:dyDescent="0.2">
      <c r="A698">
        <v>10514</v>
      </c>
      <c r="B698">
        <v>20</v>
      </c>
      <c r="C698" s="6">
        <v>81</v>
      </c>
      <c r="D698" s="6">
        <v>39</v>
      </c>
      <c r="E698" s="8">
        <v>0</v>
      </c>
    </row>
    <row r="699" spans="1:5" x14ac:dyDescent="0.2">
      <c r="A699">
        <v>10514</v>
      </c>
      <c r="B699">
        <v>28</v>
      </c>
      <c r="C699" s="6">
        <v>45.6</v>
      </c>
      <c r="D699" s="6">
        <v>35</v>
      </c>
      <c r="E699" s="8">
        <v>0</v>
      </c>
    </row>
    <row r="700" spans="1:5" x14ac:dyDescent="0.2">
      <c r="A700">
        <v>10514</v>
      </c>
      <c r="B700">
        <v>56</v>
      </c>
      <c r="C700" s="6">
        <v>38</v>
      </c>
      <c r="D700" s="6">
        <v>70</v>
      </c>
      <c r="E700" s="8">
        <v>0</v>
      </c>
    </row>
    <row r="701" spans="1:5" x14ac:dyDescent="0.2">
      <c r="A701">
        <v>10514</v>
      </c>
      <c r="B701">
        <v>65</v>
      </c>
      <c r="C701" s="6">
        <v>21.05</v>
      </c>
      <c r="D701" s="6">
        <v>39</v>
      </c>
      <c r="E701" s="8">
        <v>0</v>
      </c>
    </row>
    <row r="702" spans="1:5" x14ac:dyDescent="0.2">
      <c r="A702">
        <v>10514</v>
      </c>
      <c r="B702">
        <v>75</v>
      </c>
      <c r="C702" s="6">
        <v>7.75</v>
      </c>
      <c r="D702" s="6">
        <v>50</v>
      </c>
      <c r="E702" s="8">
        <v>0</v>
      </c>
    </row>
    <row r="703" spans="1:5" x14ac:dyDescent="0.2">
      <c r="A703">
        <v>10515</v>
      </c>
      <c r="B703">
        <v>9</v>
      </c>
      <c r="C703" s="6">
        <v>97</v>
      </c>
      <c r="D703" s="6">
        <v>16</v>
      </c>
      <c r="E703" s="8">
        <v>0.15</v>
      </c>
    </row>
    <row r="704" spans="1:5" x14ac:dyDescent="0.2">
      <c r="A704">
        <v>10515</v>
      </c>
      <c r="B704">
        <v>16</v>
      </c>
      <c r="C704" s="6">
        <v>17.45</v>
      </c>
      <c r="D704" s="6">
        <v>50</v>
      </c>
      <c r="E704" s="8">
        <v>0</v>
      </c>
    </row>
    <row r="705" spans="1:5" x14ac:dyDescent="0.2">
      <c r="A705">
        <v>10515</v>
      </c>
      <c r="B705">
        <v>27</v>
      </c>
      <c r="C705" s="6">
        <v>43.9</v>
      </c>
      <c r="D705" s="6">
        <v>120</v>
      </c>
      <c r="E705" s="8">
        <v>0</v>
      </c>
    </row>
    <row r="706" spans="1:5" x14ac:dyDescent="0.2">
      <c r="A706">
        <v>10515</v>
      </c>
      <c r="B706">
        <v>33</v>
      </c>
      <c r="C706" s="6">
        <v>2.5</v>
      </c>
      <c r="D706" s="6">
        <v>16</v>
      </c>
      <c r="E706" s="8">
        <v>0.15</v>
      </c>
    </row>
    <row r="707" spans="1:5" x14ac:dyDescent="0.2">
      <c r="A707">
        <v>10515</v>
      </c>
      <c r="B707">
        <v>60</v>
      </c>
      <c r="C707" s="6">
        <v>34</v>
      </c>
      <c r="D707" s="6">
        <v>84</v>
      </c>
      <c r="E707" s="8">
        <v>0.15</v>
      </c>
    </row>
    <row r="708" spans="1:5" x14ac:dyDescent="0.2">
      <c r="A708">
        <v>10516</v>
      </c>
      <c r="B708">
        <v>18</v>
      </c>
      <c r="C708" s="6">
        <v>62.5</v>
      </c>
      <c r="D708" s="6">
        <v>25</v>
      </c>
      <c r="E708" s="8">
        <v>0.1</v>
      </c>
    </row>
    <row r="709" spans="1:5" x14ac:dyDescent="0.2">
      <c r="A709">
        <v>10516</v>
      </c>
      <c r="B709">
        <v>41</v>
      </c>
      <c r="C709" s="6">
        <v>9.65</v>
      </c>
      <c r="D709" s="6">
        <v>80</v>
      </c>
      <c r="E709" s="8">
        <v>0.1</v>
      </c>
    </row>
    <row r="710" spans="1:5" x14ac:dyDescent="0.2">
      <c r="A710">
        <v>10516</v>
      </c>
      <c r="B710">
        <v>42</v>
      </c>
      <c r="C710" s="6">
        <v>14</v>
      </c>
      <c r="D710" s="6">
        <v>20</v>
      </c>
      <c r="E710" s="8">
        <v>0</v>
      </c>
    </row>
    <row r="711" spans="1:5" x14ac:dyDescent="0.2">
      <c r="A711">
        <v>10517</v>
      </c>
      <c r="B711">
        <v>52</v>
      </c>
      <c r="C711" s="6">
        <v>7</v>
      </c>
      <c r="D711" s="6">
        <v>6</v>
      </c>
      <c r="E711" s="8">
        <v>0</v>
      </c>
    </row>
    <row r="712" spans="1:5" x14ac:dyDescent="0.2">
      <c r="A712">
        <v>10517</v>
      </c>
      <c r="B712">
        <v>59</v>
      </c>
      <c r="C712" s="6">
        <v>55</v>
      </c>
      <c r="D712" s="6">
        <v>4</v>
      </c>
      <c r="E712" s="8">
        <v>0</v>
      </c>
    </row>
    <row r="713" spans="1:5" x14ac:dyDescent="0.2">
      <c r="A713">
        <v>10517</v>
      </c>
      <c r="B713">
        <v>70</v>
      </c>
      <c r="C713" s="6">
        <v>15</v>
      </c>
      <c r="D713" s="6">
        <v>6</v>
      </c>
      <c r="E713" s="8">
        <v>0</v>
      </c>
    </row>
    <row r="714" spans="1:5" x14ac:dyDescent="0.2">
      <c r="A714">
        <v>10518</v>
      </c>
      <c r="B714">
        <v>24</v>
      </c>
      <c r="C714" s="6">
        <v>4.5</v>
      </c>
      <c r="D714" s="6">
        <v>5</v>
      </c>
      <c r="E714" s="8">
        <v>0</v>
      </c>
    </row>
    <row r="715" spans="1:5" x14ac:dyDescent="0.2">
      <c r="A715">
        <v>10518</v>
      </c>
      <c r="B715">
        <v>38</v>
      </c>
      <c r="C715" s="6">
        <v>263.5</v>
      </c>
      <c r="D715" s="6">
        <v>15</v>
      </c>
      <c r="E715" s="8">
        <v>0</v>
      </c>
    </row>
    <row r="716" spans="1:5" x14ac:dyDescent="0.2">
      <c r="A716">
        <v>10518</v>
      </c>
      <c r="B716">
        <v>44</v>
      </c>
      <c r="C716" s="6">
        <v>19.45</v>
      </c>
      <c r="D716" s="6">
        <v>9</v>
      </c>
      <c r="E716" s="8">
        <v>0</v>
      </c>
    </row>
    <row r="717" spans="1:5" x14ac:dyDescent="0.2">
      <c r="A717">
        <v>10519</v>
      </c>
      <c r="B717">
        <v>10</v>
      </c>
      <c r="C717" s="6">
        <v>31</v>
      </c>
      <c r="D717" s="6">
        <v>16</v>
      </c>
      <c r="E717" s="8">
        <v>0.05</v>
      </c>
    </row>
    <row r="718" spans="1:5" x14ac:dyDescent="0.2">
      <c r="A718">
        <v>10519</v>
      </c>
      <c r="B718">
        <v>56</v>
      </c>
      <c r="C718" s="6">
        <v>38</v>
      </c>
      <c r="D718" s="6">
        <v>40</v>
      </c>
      <c r="E718" s="8">
        <v>0</v>
      </c>
    </row>
    <row r="719" spans="1:5" x14ac:dyDescent="0.2">
      <c r="A719">
        <v>10519</v>
      </c>
      <c r="B719">
        <v>60</v>
      </c>
      <c r="C719" s="6">
        <v>34</v>
      </c>
      <c r="D719" s="6">
        <v>10</v>
      </c>
      <c r="E719" s="8">
        <v>0.05</v>
      </c>
    </row>
    <row r="720" spans="1:5" x14ac:dyDescent="0.2">
      <c r="A720">
        <v>10520</v>
      </c>
      <c r="B720">
        <v>24</v>
      </c>
      <c r="C720" s="6">
        <v>4.5</v>
      </c>
      <c r="D720" s="6">
        <v>8</v>
      </c>
      <c r="E720" s="8">
        <v>0</v>
      </c>
    </row>
    <row r="721" spans="1:5" x14ac:dyDescent="0.2">
      <c r="A721">
        <v>10520</v>
      </c>
      <c r="B721">
        <v>53</v>
      </c>
      <c r="C721" s="6">
        <v>32.799999999999997</v>
      </c>
      <c r="D721" s="6">
        <v>5</v>
      </c>
      <c r="E721" s="8">
        <v>0</v>
      </c>
    </row>
    <row r="722" spans="1:5" x14ac:dyDescent="0.2">
      <c r="A722">
        <v>10521</v>
      </c>
      <c r="B722">
        <v>35</v>
      </c>
      <c r="C722" s="6">
        <v>18</v>
      </c>
      <c r="D722" s="6">
        <v>3</v>
      </c>
      <c r="E722" s="8">
        <v>0</v>
      </c>
    </row>
    <row r="723" spans="1:5" x14ac:dyDescent="0.2">
      <c r="A723">
        <v>10521</v>
      </c>
      <c r="B723">
        <v>41</v>
      </c>
      <c r="C723" s="6">
        <v>9.65</v>
      </c>
      <c r="D723" s="6">
        <v>10</v>
      </c>
      <c r="E723" s="8">
        <v>0</v>
      </c>
    </row>
    <row r="724" spans="1:5" x14ac:dyDescent="0.2">
      <c r="A724">
        <v>10521</v>
      </c>
      <c r="B724">
        <v>68</v>
      </c>
      <c r="C724" s="6">
        <v>12.5</v>
      </c>
      <c r="D724" s="6">
        <v>6</v>
      </c>
      <c r="E724" s="8">
        <v>0</v>
      </c>
    </row>
    <row r="725" spans="1:5" x14ac:dyDescent="0.2">
      <c r="A725">
        <v>10522</v>
      </c>
      <c r="B725">
        <v>1</v>
      </c>
      <c r="C725" s="6">
        <v>18</v>
      </c>
      <c r="D725" s="6">
        <v>40</v>
      </c>
      <c r="E725" s="8">
        <v>0.2</v>
      </c>
    </row>
    <row r="726" spans="1:5" x14ac:dyDescent="0.2">
      <c r="A726">
        <v>10522</v>
      </c>
      <c r="B726">
        <v>8</v>
      </c>
      <c r="C726" s="6">
        <v>40</v>
      </c>
      <c r="D726" s="6">
        <v>24</v>
      </c>
      <c r="E726" s="8">
        <v>0</v>
      </c>
    </row>
    <row r="727" spans="1:5" x14ac:dyDescent="0.2">
      <c r="A727">
        <v>10522</v>
      </c>
      <c r="B727">
        <v>30</v>
      </c>
      <c r="C727" s="6">
        <v>25.89</v>
      </c>
      <c r="D727" s="6">
        <v>20</v>
      </c>
      <c r="E727" s="8">
        <v>0.2</v>
      </c>
    </row>
    <row r="728" spans="1:5" x14ac:dyDescent="0.2">
      <c r="A728">
        <v>10522</v>
      </c>
      <c r="B728">
        <v>40</v>
      </c>
      <c r="C728" s="6">
        <v>18.399999999999999</v>
      </c>
      <c r="D728" s="6">
        <v>25</v>
      </c>
      <c r="E728" s="8">
        <v>0.2</v>
      </c>
    </row>
    <row r="729" spans="1:5" x14ac:dyDescent="0.2">
      <c r="A729">
        <v>10523</v>
      </c>
      <c r="B729">
        <v>17</v>
      </c>
      <c r="C729" s="6">
        <v>39</v>
      </c>
      <c r="D729" s="6">
        <v>25</v>
      </c>
      <c r="E729" s="8">
        <v>0.1</v>
      </c>
    </row>
    <row r="730" spans="1:5" x14ac:dyDescent="0.2">
      <c r="A730">
        <v>10523</v>
      </c>
      <c r="B730">
        <v>20</v>
      </c>
      <c r="C730" s="6">
        <v>81</v>
      </c>
      <c r="D730" s="6">
        <v>15</v>
      </c>
      <c r="E730" s="8">
        <v>0.1</v>
      </c>
    </row>
    <row r="731" spans="1:5" x14ac:dyDescent="0.2">
      <c r="A731">
        <v>10523</v>
      </c>
      <c r="B731">
        <v>37</v>
      </c>
      <c r="C731" s="6">
        <v>26</v>
      </c>
      <c r="D731" s="6">
        <v>18</v>
      </c>
      <c r="E731" s="8">
        <v>0.1</v>
      </c>
    </row>
    <row r="732" spans="1:5" x14ac:dyDescent="0.2">
      <c r="A732">
        <v>10523</v>
      </c>
      <c r="B732">
        <v>41</v>
      </c>
      <c r="C732" s="6">
        <v>9.65</v>
      </c>
      <c r="D732" s="6">
        <v>6</v>
      </c>
      <c r="E732" s="8">
        <v>0.1</v>
      </c>
    </row>
    <row r="733" spans="1:5" x14ac:dyDescent="0.2">
      <c r="A733">
        <v>10524</v>
      </c>
      <c r="B733">
        <v>10</v>
      </c>
      <c r="C733" s="6">
        <v>31</v>
      </c>
      <c r="D733" s="6">
        <v>2</v>
      </c>
      <c r="E733" s="8">
        <v>0</v>
      </c>
    </row>
    <row r="734" spans="1:5" x14ac:dyDescent="0.2">
      <c r="A734">
        <v>10524</v>
      </c>
      <c r="B734">
        <v>30</v>
      </c>
      <c r="C734" s="6">
        <v>25.89</v>
      </c>
      <c r="D734" s="6">
        <v>10</v>
      </c>
      <c r="E734" s="8">
        <v>0</v>
      </c>
    </row>
    <row r="735" spans="1:5" x14ac:dyDescent="0.2">
      <c r="A735">
        <v>10524</v>
      </c>
      <c r="B735">
        <v>43</v>
      </c>
      <c r="C735" s="6">
        <v>46</v>
      </c>
      <c r="D735" s="6">
        <v>60</v>
      </c>
      <c r="E735" s="8">
        <v>0</v>
      </c>
    </row>
    <row r="736" spans="1:5" x14ac:dyDescent="0.2">
      <c r="A736">
        <v>10524</v>
      </c>
      <c r="B736">
        <v>54</v>
      </c>
      <c r="C736" s="6">
        <v>7.45</v>
      </c>
      <c r="D736" s="6">
        <v>15</v>
      </c>
      <c r="E736" s="8">
        <v>0</v>
      </c>
    </row>
    <row r="737" spans="1:5" x14ac:dyDescent="0.2">
      <c r="A737">
        <v>10525</v>
      </c>
      <c r="B737">
        <v>36</v>
      </c>
      <c r="C737" s="6">
        <v>19</v>
      </c>
      <c r="D737" s="6">
        <v>30</v>
      </c>
      <c r="E737" s="8">
        <v>0</v>
      </c>
    </row>
    <row r="738" spans="1:5" x14ac:dyDescent="0.2">
      <c r="A738">
        <v>10525</v>
      </c>
      <c r="B738">
        <v>40</v>
      </c>
      <c r="C738" s="6">
        <v>18.399999999999999</v>
      </c>
      <c r="D738" s="6">
        <v>15</v>
      </c>
      <c r="E738" s="8">
        <v>0.1</v>
      </c>
    </row>
    <row r="739" spans="1:5" x14ac:dyDescent="0.2">
      <c r="A739">
        <v>10526</v>
      </c>
      <c r="B739">
        <v>1</v>
      </c>
      <c r="C739" s="6">
        <v>18</v>
      </c>
      <c r="D739" s="6">
        <v>8</v>
      </c>
      <c r="E739" s="8">
        <v>0.15</v>
      </c>
    </row>
    <row r="740" spans="1:5" x14ac:dyDescent="0.2">
      <c r="A740">
        <v>10526</v>
      </c>
      <c r="B740">
        <v>13</v>
      </c>
      <c r="C740" s="6">
        <v>6</v>
      </c>
      <c r="D740" s="6">
        <v>10</v>
      </c>
      <c r="E740" s="8">
        <v>0</v>
      </c>
    </row>
    <row r="741" spans="1:5" x14ac:dyDescent="0.2">
      <c r="A741">
        <v>10526</v>
      </c>
      <c r="B741">
        <v>56</v>
      </c>
      <c r="C741" s="6">
        <v>38</v>
      </c>
      <c r="D741" s="6">
        <v>30</v>
      </c>
      <c r="E741" s="8">
        <v>0.15</v>
      </c>
    </row>
    <row r="742" spans="1:5" x14ac:dyDescent="0.2">
      <c r="A742">
        <v>10527</v>
      </c>
      <c r="B742">
        <v>4</v>
      </c>
      <c r="C742" s="6">
        <v>22</v>
      </c>
      <c r="D742" s="6">
        <v>50</v>
      </c>
      <c r="E742" s="8">
        <v>0.1</v>
      </c>
    </row>
    <row r="743" spans="1:5" x14ac:dyDescent="0.2">
      <c r="A743">
        <v>10527</v>
      </c>
      <c r="B743">
        <v>36</v>
      </c>
      <c r="C743" s="6">
        <v>19</v>
      </c>
      <c r="D743" s="6">
        <v>30</v>
      </c>
      <c r="E743" s="8">
        <v>0.1</v>
      </c>
    </row>
    <row r="744" spans="1:5" x14ac:dyDescent="0.2">
      <c r="A744">
        <v>10528</v>
      </c>
      <c r="B744">
        <v>11</v>
      </c>
      <c r="C744" s="6">
        <v>21</v>
      </c>
      <c r="D744" s="6">
        <v>3</v>
      </c>
      <c r="E744" s="8">
        <v>0</v>
      </c>
    </row>
    <row r="745" spans="1:5" x14ac:dyDescent="0.2">
      <c r="A745">
        <v>10528</v>
      </c>
      <c r="B745">
        <v>33</v>
      </c>
      <c r="C745" s="6">
        <v>2.5</v>
      </c>
      <c r="D745" s="6">
        <v>8</v>
      </c>
      <c r="E745" s="8">
        <v>0.2</v>
      </c>
    </row>
    <row r="746" spans="1:5" x14ac:dyDescent="0.2">
      <c r="A746">
        <v>10528</v>
      </c>
      <c r="B746">
        <v>72</v>
      </c>
      <c r="C746" s="6">
        <v>34.799999999999997</v>
      </c>
      <c r="D746" s="6">
        <v>9</v>
      </c>
      <c r="E746" s="8">
        <v>0</v>
      </c>
    </row>
    <row r="747" spans="1:5" x14ac:dyDescent="0.2">
      <c r="A747">
        <v>10529</v>
      </c>
      <c r="B747">
        <v>55</v>
      </c>
      <c r="C747" s="6">
        <v>24</v>
      </c>
      <c r="D747" s="6">
        <v>14</v>
      </c>
      <c r="E747" s="8">
        <v>0</v>
      </c>
    </row>
    <row r="748" spans="1:5" x14ac:dyDescent="0.2">
      <c r="A748">
        <v>10529</v>
      </c>
      <c r="B748">
        <v>68</v>
      </c>
      <c r="C748" s="6">
        <v>12.5</v>
      </c>
      <c r="D748" s="6">
        <v>20</v>
      </c>
      <c r="E748" s="8">
        <v>0</v>
      </c>
    </row>
    <row r="749" spans="1:5" x14ac:dyDescent="0.2">
      <c r="A749">
        <v>10529</v>
      </c>
      <c r="B749">
        <v>69</v>
      </c>
      <c r="C749" s="6">
        <v>36</v>
      </c>
      <c r="D749" s="6">
        <v>10</v>
      </c>
      <c r="E749" s="8">
        <v>0</v>
      </c>
    </row>
    <row r="750" spans="1:5" x14ac:dyDescent="0.2">
      <c r="A750">
        <v>10530</v>
      </c>
      <c r="B750">
        <v>17</v>
      </c>
      <c r="C750" s="6">
        <v>39</v>
      </c>
      <c r="D750" s="6">
        <v>40</v>
      </c>
      <c r="E750" s="8">
        <v>0</v>
      </c>
    </row>
    <row r="751" spans="1:5" x14ac:dyDescent="0.2">
      <c r="A751">
        <v>10530</v>
      </c>
      <c r="B751">
        <v>43</v>
      </c>
      <c r="C751" s="6">
        <v>46</v>
      </c>
      <c r="D751" s="6">
        <v>25</v>
      </c>
      <c r="E751" s="8">
        <v>0</v>
      </c>
    </row>
    <row r="752" spans="1:5" x14ac:dyDescent="0.2">
      <c r="A752">
        <v>10530</v>
      </c>
      <c r="B752">
        <v>61</v>
      </c>
      <c r="C752" s="6">
        <v>28.5</v>
      </c>
      <c r="D752" s="6">
        <v>20</v>
      </c>
      <c r="E752" s="8">
        <v>0</v>
      </c>
    </row>
    <row r="753" spans="1:5" x14ac:dyDescent="0.2">
      <c r="A753">
        <v>10530</v>
      </c>
      <c r="B753">
        <v>76</v>
      </c>
      <c r="C753" s="6">
        <v>18</v>
      </c>
      <c r="D753" s="6">
        <v>50</v>
      </c>
      <c r="E753" s="8">
        <v>0</v>
      </c>
    </row>
    <row r="754" spans="1:5" x14ac:dyDescent="0.2">
      <c r="A754">
        <v>10531</v>
      </c>
      <c r="B754">
        <v>59</v>
      </c>
      <c r="C754" s="6">
        <v>55</v>
      </c>
      <c r="D754" s="6">
        <v>2</v>
      </c>
      <c r="E754" s="8">
        <v>0</v>
      </c>
    </row>
    <row r="755" spans="1:5" x14ac:dyDescent="0.2">
      <c r="A755">
        <v>10532</v>
      </c>
      <c r="B755">
        <v>30</v>
      </c>
      <c r="C755" s="6">
        <v>25.89</v>
      </c>
      <c r="D755" s="6">
        <v>15</v>
      </c>
      <c r="E755" s="8">
        <v>0</v>
      </c>
    </row>
    <row r="756" spans="1:5" x14ac:dyDescent="0.2">
      <c r="A756">
        <v>10532</v>
      </c>
      <c r="B756">
        <v>66</v>
      </c>
      <c r="C756" s="6">
        <v>17</v>
      </c>
      <c r="D756" s="6">
        <v>24</v>
      </c>
      <c r="E756" s="8">
        <v>0</v>
      </c>
    </row>
    <row r="757" spans="1:5" x14ac:dyDescent="0.2">
      <c r="A757">
        <v>10533</v>
      </c>
      <c r="B757">
        <v>4</v>
      </c>
      <c r="C757" s="6">
        <v>22</v>
      </c>
      <c r="D757" s="6">
        <v>50</v>
      </c>
      <c r="E757" s="8">
        <v>0.05</v>
      </c>
    </row>
    <row r="758" spans="1:5" x14ac:dyDescent="0.2">
      <c r="A758">
        <v>10533</v>
      </c>
      <c r="B758">
        <v>72</v>
      </c>
      <c r="C758" s="6">
        <v>34.799999999999997</v>
      </c>
      <c r="D758" s="6">
        <v>24</v>
      </c>
      <c r="E758" s="8">
        <v>0</v>
      </c>
    </row>
    <row r="759" spans="1:5" x14ac:dyDescent="0.2">
      <c r="A759">
        <v>10533</v>
      </c>
      <c r="B759">
        <v>73</v>
      </c>
      <c r="C759" s="6">
        <v>15</v>
      </c>
      <c r="D759" s="6">
        <v>24</v>
      </c>
      <c r="E759" s="8">
        <v>0.05</v>
      </c>
    </row>
    <row r="760" spans="1:5" x14ac:dyDescent="0.2">
      <c r="A760">
        <v>10534</v>
      </c>
      <c r="B760">
        <v>30</v>
      </c>
      <c r="C760" s="6">
        <v>25.89</v>
      </c>
      <c r="D760" s="6">
        <v>10</v>
      </c>
      <c r="E760" s="8">
        <v>0</v>
      </c>
    </row>
    <row r="761" spans="1:5" x14ac:dyDescent="0.2">
      <c r="A761">
        <v>10534</v>
      </c>
      <c r="B761">
        <v>40</v>
      </c>
      <c r="C761" s="6">
        <v>18.399999999999999</v>
      </c>
      <c r="D761" s="6">
        <v>10</v>
      </c>
      <c r="E761" s="8">
        <v>0.2</v>
      </c>
    </row>
    <row r="762" spans="1:5" x14ac:dyDescent="0.2">
      <c r="A762">
        <v>10534</v>
      </c>
      <c r="B762">
        <v>54</v>
      </c>
      <c r="C762" s="6">
        <v>7.45</v>
      </c>
      <c r="D762" s="6">
        <v>10</v>
      </c>
      <c r="E762" s="8">
        <v>0.2</v>
      </c>
    </row>
    <row r="763" spans="1:5" x14ac:dyDescent="0.2">
      <c r="A763">
        <v>10535</v>
      </c>
      <c r="B763">
        <v>11</v>
      </c>
      <c r="C763" s="6">
        <v>21</v>
      </c>
      <c r="D763" s="6">
        <v>50</v>
      </c>
      <c r="E763" s="8">
        <v>0.1</v>
      </c>
    </row>
    <row r="764" spans="1:5" x14ac:dyDescent="0.2">
      <c r="A764">
        <v>10535</v>
      </c>
      <c r="B764">
        <v>40</v>
      </c>
      <c r="C764" s="6">
        <v>18.399999999999999</v>
      </c>
      <c r="D764" s="6">
        <v>10</v>
      </c>
      <c r="E764" s="8">
        <v>0.1</v>
      </c>
    </row>
    <row r="765" spans="1:5" x14ac:dyDescent="0.2">
      <c r="A765">
        <v>10535</v>
      </c>
      <c r="B765">
        <v>57</v>
      </c>
      <c r="C765" s="6">
        <v>19.5</v>
      </c>
      <c r="D765" s="6">
        <v>5</v>
      </c>
      <c r="E765" s="8">
        <v>0.1</v>
      </c>
    </row>
    <row r="766" spans="1:5" x14ac:dyDescent="0.2">
      <c r="A766">
        <v>10535</v>
      </c>
      <c r="B766">
        <v>59</v>
      </c>
      <c r="C766" s="6">
        <v>55</v>
      </c>
      <c r="D766" s="6">
        <v>15</v>
      </c>
      <c r="E766" s="8">
        <v>0.1</v>
      </c>
    </row>
    <row r="767" spans="1:5" x14ac:dyDescent="0.2">
      <c r="A767">
        <v>10536</v>
      </c>
      <c r="B767">
        <v>12</v>
      </c>
      <c r="C767" s="6">
        <v>38</v>
      </c>
      <c r="D767" s="6">
        <v>15</v>
      </c>
      <c r="E767" s="8">
        <v>0.25</v>
      </c>
    </row>
    <row r="768" spans="1:5" x14ac:dyDescent="0.2">
      <c r="A768">
        <v>10536</v>
      </c>
      <c r="B768">
        <v>31</v>
      </c>
      <c r="C768" s="6">
        <v>12.5</v>
      </c>
      <c r="D768" s="6">
        <v>20</v>
      </c>
      <c r="E768" s="8">
        <v>0</v>
      </c>
    </row>
    <row r="769" spans="1:5" x14ac:dyDescent="0.2">
      <c r="A769">
        <v>10536</v>
      </c>
      <c r="B769">
        <v>33</v>
      </c>
      <c r="C769" s="6">
        <v>2.5</v>
      </c>
      <c r="D769" s="6">
        <v>30</v>
      </c>
      <c r="E769" s="8">
        <v>0</v>
      </c>
    </row>
    <row r="770" spans="1:5" x14ac:dyDescent="0.2">
      <c r="A770">
        <v>10536</v>
      </c>
      <c r="B770">
        <v>60</v>
      </c>
      <c r="C770" s="6">
        <v>34</v>
      </c>
      <c r="D770" s="6">
        <v>35</v>
      </c>
      <c r="E770" s="8">
        <v>0.25</v>
      </c>
    </row>
    <row r="771" spans="1:5" x14ac:dyDescent="0.2">
      <c r="A771">
        <v>10537</v>
      </c>
      <c r="B771">
        <v>31</v>
      </c>
      <c r="C771" s="6">
        <v>12.5</v>
      </c>
      <c r="D771" s="6">
        <v>30</v>
      </c>
      <c r="E771" s="8">
        <v>0</v>
      </c>
    </row>
    <row r="772" spans="1:5" x14ac:dyDescent="0.2">
      <c r="A772">
        <v>10537</v>
      </c>
      <c r="B772">
        <v>51</v>
      </c>
      <c r="C772" s="6">
        <v>53</v>
      </c>
      <c r="D772" s="6">
        <v>6</v>
      </c>
      <c r="E772" s="8">
        <v>0</v>
      </c>
    </row>
    <row r="773" spans="1:5" x14ac:dyDescent="0.2">
      <c r="A773">
        <v>10537</v>
      </c>
      <c r="B773">
        <v>58</v>
      </c>
      <c r="C773" s="6">
        <v>13.25</v>
      </c>
      <c r="D773" s="6">
        <v>20</v>
      </c>
      <c r="E773" s="8">
        <v>0</v>
      </c>
    </row>
    <row r="774" spans="1:5" x14ac:dyDescent="0.2">
      <c r="A774">
        <v>10537</v>
      </c>
      <c r="B774">
        <v>72</v>
      </c>
      <c r="C774" s="6">
        <v>34.799999999999997</v>
      </c>
      <c r="D774" s="6">
        <v>21</v>
      </c>
      <c r="E774" s="8">
        <v>0</v>
      </c>
    </row>
    <row r="775" spans="1:5" x14ac:dyDescent="0.2">
      <c r="A775">
        <v>10537</v>
      </c>
      <c r="B775">
        <v>73</v>
      </c>
      <c r="C775" s="6">
        <v>15</v>
      </c>
      <c r="D775" s="6">
        <v>9</v>
      </c>
      <c r="E775" s="8">
        <v>0</v>
      </c>
    </row>
    <row r="776" spans="1:5" x14ac:dyDescent="0.2">
      <c r="A776">
        <v>10538</v>
      </c>
      <c r="B776">
        <v>70</v>
      </c>
      <c r="C776" s="6">
        <v>15</v>
      </c>
      <c r="D776" s="6">
        <v>7</v>
      </c>
      <c r="E776" s="8">
        <v>0</v>
      </c>
    </row>
    <row r="777" spans="1:5" x14ac:dyDescent="0.2">
      <c r="A777">
        <v>10538</v>
      </c>
      <c r="B777">
        <v>72</v>
      </c>
      <c r="C777" s="6">
        <v>34.799999999999997</v>
      </c>
      <c r="D777" s="6">
        <v>1</v>
      </c>
      <c r="E777" s="8">
        <v>0</v>
      </c>
    </row>
    <row r="778" spans="1:5" x14ac:dyDescent="0.2">
      <c r="A778">
        <v>10539</v>
      </c>
      <c r="B778">
        <v>13</v>
      </c>
      <c r="C778" s="6">
        <v>6</v>
      </c>
      <c r="D778" s="6">
        <v>8</v>
      </c>
      <c r="E778" s="8">
        <v>0</v>
      </c>
    </row>
    <row r="779" spans="1:5" x14ac:dyDescent="0.2">
      <c r="A779">
        <v>10539</v>
      </c>
      <c r="B779">
        <v>21</v>
      </c>
      <c r="C779" s="6">
        <v>10</v>
      </c>
      <c r="D779" s="6">
        <v>15</v>
      </c>
      <c r="E779" s="8">
        <v>0</v>
      </c>
    </row>
    <row r="780" spans="1:5" x14ac:dyDescent="0.2">
      <c r="A780">
        <v>10539</v>
      </c>
      <c r="B780">
        <v>33</v>
      </c>
      <c r="C780" s="6">
        <v>2.5</v>
      </c>
      <c r="D780" s="6">
        <v>15</v>
      </c>
      <c r="E780" s="8">
        <v>0</v>
      </c>
    </row>
    <row r="781" spans="1:5" x14ac:dyDescent="0.2">
      <c r="A781">
        <v>10539</v>
      </c>
      <c r="B781">
        <v>49</v>
      </c>
      <c r="C781" s="6">
        <v>20</v>
      </c>
      <c r="D781" s="6">
        <v>6</v>
      </c>
      <c r="E781" s="8">
        <v>0</v>
      </c>
    </row>
    <row r="782" spans="1:5" x14ac:dyDescent="0.2">
      <c r="A782">
        <v>10540</v>
      </c>
      <c r="B782">
        <v>3</v>
      </c>
      <c r="C782" s="6">
        <v>10</v>
      </c>
      <c r="D782" s="6">
        <v>60</v>
      </c>
      <c r="E782" s="8">
        <v>0</v>
      </c>
    </row>
    <row r="783" spans="1:5" x14ac:dyDescent="0.2">
      <c r="A783">
        <v>10540</v>
      </c>
      <c r="B783">
        <v>26</v>
      </c>
      <c r="C783" s="6">
        <v>31.23</v>
      </c>
      <c r="D783" s="6">
        <v>40</v>
      </c>
      <c r="E783" s="8">
        <v>0</v>
      </c>
    </row>
    <row r="784" spans="1:5" x14ac:dyDescent="0.2">
      <c r="A784">
        <v>10540</v>
      </c>
      <c r="B784">
        <v>38</v>
      </c>
      <c r="C784" s="6">
        <v>263.5</v>
      </c>
      <c r="D784" s="6">
        <v>30</v>
      </c>
      <c r="E784" s="8">
        <v>0</v>
      </c>
    </row>
    <row r="785" spans="1:5" x14ac:dyDescent="0.2">
      <c r="A785">
        <v>10540</v>
      </c>
      <c r="B785">
        <v>68</v>
      </c>
      <c r="C785" s="6">
        <v>12.5</v>
      </c>
      <c r="D785" s="6">
        <v>35</v>
      </c>
      <c r="E785" s="8">
        <v>0</v>
      </c>
    </row>
    <row r="786" spans="1:5" x14ac:dyDescent="0.2">
      <c r="A786">
        <v>10541</v>
      </c>
      <c r="B786">
        <v>24</v>
      </c>
      <c r="C786" s="6">
        <v>4.5</v>
      </c>
      <c r="D786" s="6">
        <v>35</v>
      </c>
      <c r="E786" s="8">
        <v>0.1</v>
      </c>
    </row>
    <row r="787" spans="1:5" x14ac:dyDescent="0.2">
      <c r="A787">
        <v>10541</v>
      </c>
      <c r="B787">
        <v>38</v>
      </c>
      <c r="C787" s="6">
        <v>263.5</v>
      </c>
      <c r="D787" s="6">
        <v>4</v>
      </c>
      <c r="E787" s="8">
        <v>0.1</v>
      </c>
    </row>
    <row r="788" spans="1:5" x14ac:dyDescent="0.2">
      <c r="A788">
        <v>10541</v>
      </c>
      <c r="B788">
        <v>65</v>
      </c>
      <c r="C788" s="6">
        <v>21.05</v>
      </c>
      <c r="D788" s="6">
        <v>36</v>
      </c>
      <c r="E788" s="8">
        <v>0.1</v>
      </c>
    </row>
    <row r="789" spans="1:5" x14ac:dyDescent="0.2">
      <c r="A789">
        <v>10541</v>
      </c>
      <c r="B789">
        <v>71</v>
      </c>
      <c r="C789" s="6">
        <v>21.5</v>
      </c>
      <c r="D789" s="6">
        <v>9</v>
      </c>
      <c r="E789" s="8">
        <v>0.1</v>
      </c>
    </row>
    <row r="790" spans="1:5" x14ac:dyDescent="0.2">
      <c r="A790">
        <v>10542</v>
      </c>
      <c r="B790">
        <v>11</v>
      </c>
      <c r="C790" s="6">
        <v>21</v>
      </c>
      <c r="D790" s="6">
        <v>15</v>
      </c>
      <c r="E790" s="8">
        <v>0.05</v>
      </c>
    </row>
    <row r="791" spans="1:5" x14ac:dyDescent="0.2">
      <c r="A791">
        <v>10542</v>
      </c>
      <c r="B791">
        <v>54</v>
      </c>
      <c r="C791" s="6">
        <v>7.45</v>
      </c>
      <c r="D791" s="6">
        <v>24</v>
      </c>
      <c r="E791" s="8">
        <v>0.05</v>
      </c>
    </row>
    <row r="792" spans="1:5" x14ac:dyDescent="0.2">
      <c r="A792">
        <v>10543</v>
      </c>
      <c r="B792">
        <v>12</v>
      </c>
      <c r="C792" s="6">
        <v>38</v>
      </c>
      <c r="D792" s="6">
        <v>30</v>
      </c>
      <c r="E792" s="8">
        <v>0.15</v>
      </c>
    </row>
    <row r="793" spans="1:5" x14ac:dyDescent="0.2">
      <c r="A793">
        <v>10543</v>
      </c>
      <c r="B793">
        <v>23</v>
      </c>
      <c r="C793" s="6">
        <v>9</v>
      </c>
      <c r="D793" s="6">
        <v>70</v>
      </c>
      <c r="E793" s="8">
        <v>0.15</v>
      </c>
    </row>
    <row r="794" spans="1:5" x14ac:dyDescent="0.2">
      <c r="A794">
        <v>10544</v>
      </c>
      <c r="B794">
        <v>28</v>
      </c>
      <c r="C794" s="6">
        <v>45.6</v>
      </c>
      <c r="D794" s="6">
        <v>7</v>
      </c>
      <c r="E794" s="8">
        <v>0</v>
      </c>
    </row>
    <row r="795" spans="1:5" x14ac:dyDescent="0.2">
      <c r="A795">
        <v>10544</v>
      </c>
      <c r="B795">
        <v>67</v>
      </c>
      <c r="C795" s="6">
        <v>14</v>
      </c>
      <c r="D795" s="6">
        <v>7</v>
      </c>
      <c r="E795" s="8">
        <v>0</v>
      </c>
    </row>
    <row r="796" spans="1:5" x14ac:dyDescent="0.2">
      <c r="A796">
        <v>10545</v>
      </c>
      <c r="B796">
        <v>11</v>
      </c>
      <c r="C796" s="6">
        <v>21</v>
      </c>
      <c r="D796" s="6">
        <v>10</v>
      </c>
      <c r="E796" s="8">
        <v>0</v>
      </c>
    </row>
    <row r="797" spans="1:5" x14ac:dyDescent="0.2">
      <c r="A797">
        <v>10546</v>
      </c>
      <c r="B797">
        <v>7</v>
      </c>
      <c r="C797" s="6">
        <v>30</v>
      </c>
      <c r="D797" s="6">
        <v>10</v>
      </c>
      <c r="E797" s="8">
        <v>0</v>
      </c>
    </row>
    <row r="798" spans="1:5" x14ac:dyDescent="0.2">
      <c r="A798">
        <v>10546</v>
      </c>
      <c r="B798">
        <v>35</v>
      </c>
      <c r="C798" s="6">
        <v>18</v>
      </c>
      <c r="D798" s="6">
        <v>30</v>
      </c>
      <c r="E798" s="8">
        <v>0</v>
      </c>
    </row>
    <row r="799" spans="1:5" x14ac:dyDescent="0.2">
      <c r="A799">
        <v>10546</v>
      </c>
      <c r="B799">
        <v>62</v>
      </c>
      <c r="C799" s="6">
        <v>49.3</v>
      </c>
      <c r="D799" s="6">
        <v>40</v>
      </c>
      <c r="E799" s="8">
        <v>0</v>
      </c>
    </row>
    <row r="800" spans="1:5" x14ac:dyDescent="0.2">
      <c r="A800">
        <v>10547</v>
      </c>
      <c r="B800">
        <v>32</v>
      </c>
      <c r="C800" s="6">
        <v>32</v>
      </c>
      <c r="D800" s="6">
        <v>24</v>
      </c>
      <c r="E800" s="8">
        <v>0.15</v>
      </c>
    </row>
    <row r="801" spans="1:5" x14ac:dyDescent="0.2">
      <c r="A801">
        <v>10547</v>
      </c>
      <c r="B801">
        <v>36</v>
      </c>
      <c r="C801" s="6">
        <v>19</v>
      </c>
      <c r="D801" s="6">
        <v>60</v>
      </c>
      <c r="E801" s="8">
        <v>0</v>
      </c>
    </row>
    <row r="802" spans="1:5" x14ac:dyDescent="0.2">
      <c r="A802">
        <v>10548</v>
      </c>
      <c r="B802">
        <v>34</v>
      </c>
      <c r="C802" s="6">
        <v>14</v>
      </c>
      <c r="D802" s="6">
        <v>10</v>
      </c>
      <c r="E802" s="8">
        <v>0.25</v>
      </c>
    </row>
    <row r="803" spans="1:5" x14ac:dyDescent="0.2">
      <c r="A803">
        <v>10548</v>
      </c>
      <c r="B803">
        <v>41</v>
      </c>
      <c r="C803" s="6">
        <v>9.65</v>
      </c>
      <c r="D803" s="6">
        <v>14</v>
      </c>
      <c r="E803" s="8">
        <v>0</v>
      </c>
    </row>
    <row r="804" spans="1:5" x14ac:dyDescent="0.2">
      <c r="A804">
        <v>10549</v>
      </c>
      <c r="B804">
        <v>31</v>
      </c>
      <c r="C804" s="6">
        <v>12.5</v>
      </c>
      <c r="D804" s="6">
        <v>55</v>
      </c>
      <c r="E804" s="8">
        <v>0.15</v>
      </c>
    </row>
    <row r="805" spans="1:5" x14ac:dyDescent="0.2">
      <c r="A805">
        <v>10549</v>
      </c>
      <c r="B805">
        <v>45</v>
      </c>
      <c r="C805" s="6">
        <v>9.5</v>
      </c>
      <c r="D805" s="6">
        <v>100</v>
      </c>
      <c r="E805" s="8">
        <v>0.15</v>
      </c>
    </row>
    <row r="806" spans="1:5" x14ac:dyDescent="0.2">
      <c r="A806">
        <v>10549</v>
      </c>
      <c r="B806">
        <v>51</v>
      </c>
      <c r="C806" s="6">
        <v>53</v>
      </c>
      <c r="D806" s="6">
        <v>48</v>
      </c>
      <c r="E806" s="8">
        <v>0.15</v>
      </c>
    </row>
    <row r="807" spans="1:5" x14ac:dyDescent="0.2">
      <c r="A807">
        <v>10550</v>
      </c>
      <c r="B807">
        <v>17</v>
      </c>
      <c r="C807" s="6">
        <v>39</v>
      </c>
      <c r="D807" s="6">
        <v>8</v>
      </c>
      <c r="E807" s="8">
        <v>0.1</v>
      </c>
    </row>
    <row r="808" spans="1:5" x14ac:dyDescent="0.2">
      <c r="A808">
        <v>10550</v>
      </c>
      <c r="B808">
        <v>19</v>
      </c>
      <c r="C808" s="6">
        <v>9.1999999999999993</v>
      </c>
      <c r="D808" s="6">
        <v>10</v>
      </c>
      <c r="E808" s="8">
        <v>0</v>
      </c>
    </row>
    <row r="809" spans="1:5" x14ac:dyDescent="0.2">
      <c r="A809">
        <v>10550</v>
      </c>
      <c r="B809">
        <v>21</v>
      </c>
      <c r="C809" s="6">
        <v>10</v>
      </c>
      <c r="D809" s="6">
        <v>6</v>
      </c>
      <c r="E809" s="8">
        <v>0.1</v>
      </c>
    </row>
    <row r="810" spans="1:5" x14ac:dyDescent="0.2">
      <c r="A810">
        <v>10550</v>
      </c>
      <c r="B810">
        <v>61</v>
      </c>
      <c r="C810" s="6">
        <v>28.5</v>
      </c>
      <c r="D810" s="6">
        <v>10</v>
      </c>
      <c r="E810" s="8">
        <v>0.1</v>
      </c>
    </row>
    <row r="811" spans="1:5" x14ac:dyDescent="0.2">
      <c r="A811">
        <v>10551</v>
      </c>
      <c r="B811">
        <v>16</v>
      </c>
      <c r="C811" s="6">
        <v>17.45</v>
      </c>
      <c r="D811" s="6">
        <v>40</v>
      </c>
      <c r="E811" s="8">
        <v>0.15</v>
      </c>
    </row>
    <row r="812" spans="1:5" x14ac:dyDescent="0.2">
      <c r="A812">
        <v>10551</v>
      </c>
      <c r="B812">
        <v>35</v>
      </c>
      <c r="C812" s="6">
        <v>18</v>
      </c>
      <c r="D812" s="6">
        <v>20</v>
      </c>
      <c r="E812" s="8">
        <v>0.15</v>
      </c>
    </row>
    <row r="813" spans="1:5" x14ac:dyDescent="0.2">
      <c r="A813">
        <v>10551</v>
      </c>
      <c r="B813">
        <v>44</v>
      </c>
      <c r="C813" s="6">
        <v>19.45</v>
      </c>
      <c r="D813" s="6">
        <v>40</v>
      </c>
      <c r="E813" s="8">
        <v>0</v>
      </c>
    </row>
    <row r="814" spans="1:5" x14ac:dyDescent="0.2">
      <c r="A814">
        <v>10552</v>
      </c>
      <c r="B814">
        <v>69</v>
      </c>
      <c r="C814" s="6">
        <v>36</v>
      </c>
      <c r="D814" s="6">
        <v>18</v>
      </c>
      <c r="E814" s="8">
        <v>0</v>
      </c>
    </row>
    <row r="815" spans="1:5" x14ac:dyDescent="0.2">
      <c r="A815">
        <v>10552</v>
      </c>
      <c r="B815">
        <v>75</v>
      </c>
      <c r="C815" s="6">
        <v>7.75</v>
      </c>
      <c r="D815" s="6">
        <v>30</v>
      </c>
      <c r="E815" s="8">
        <v>0</v>
      </c>
    </row>
    <row r="816" spans="1:5" x14ac:dyDescent="0.2">
      <c r="A816">
        <v>10553</v>
      </c>
      <c r="B816">
        <v>11</v>
      </c>
      <c r="C816" s="6">
        <v>21</v>
      </c>
      <c r="D816" s="6">
        <v>15</v>
      </c>
      <c r="E816" s="8">
        <v>0</v>
      </c>
    </row>
    <row r="817" spans="1:5" x14ac:dyDescent="0.2">
      <c r="A817">
        <v>10553</v>
      </c>
      <c r="B817">
        <v>16</v>
      </c>
      <c r="C817" s="6">
        <v>17.45</v>
      </c>
      <c r="D817" s="6">
        <v>14</v>
      </c>
      <c r="E817" s="8">
        <v>0</v>
      </c>
    </row>
    <row r="818" spans="1:5" x14ac:dyDescent="0.2">
      <c r="A818">
        <v>10553</v>
      </c>
      <c r="B818">
        <v>22</v>
      </c>
      <c r="C818" s="6">
        <v>21</v>
      </c>
      <c r="D818" s="6">
        <v>24</v>
      </c>
      <c r="E818" s="8">
        <v>0</v>
      </c>
    </row>
    <row r="819" spans="1:5" x14ac:dyDescent="0.2">
      <c r="A819">
        <v>10553</v>
      </c>
      <c r="B819">
        <v>31</v>
      </c>
      <c r="C819" s="6">
        <v>12.5</v>
      </c>
      <c r="D819" s="6">
        <v>30</v>
      </c>
      <c r="E819" s="8">
        <v>0</v>
      </c>
    </row>
    <row r="820" spans="1:5" x14ac:dyDescent="0.2">
      <c r="A820">
        <v>10553</v>
      </c>
      <c r="B820">
        <v>35</v>
      </c>
      <c r="C820" s="6">
        <v>18</v>
      </c>
      <c r="D820" s="6">
        <v>6</v>
      </c>
      <c r="E820" s="8">
        <v>0</v>
      </c>
    </row>
    <row r="821" spans="1:5" x14ac:dyDescent="0.2">
      <c r="A821">
        <v>10554</v>
      </c>
      <c r="B821">
        <v>16</v>
      </c>
      <c r="C821" s="6">
        <v>17.45</v>
      </c>
      <c r="D821" s="6">
        <v>30</v>
      </c>
      <c r="E821" s="8">
        <v>0.05</v>
      </c>
    </row>
    <row r="822" spans="1:5" x14ac:dyDescent="0.2">
      <c r="A822">
        <v>10554</v>
      </c>
      <c r="B822">
        <v>23</v>
      </c>
      <c r="C822" s="6">
        <v>9</v>
      </c>
      <c r="D822" s="6">
        <v>20</v>
      </c>
      <c r="E822" s="8">
        <v>0.05</v>
      </c>
    </row>
    <row r="823" spans="1:5" x14ac:dyDescent="0.2">
      <c r="A823">
        <v>10554</v>
      </c>
      <c r="B823">
        <v>62</v>
      </c>
      <c r="C823" s="6">
        <v>49.3</v>
      </c>
      <c r="D823" s="6">
        <v>20</v>
      </c>
      <c r="E823" s="8">
        <v>0.05</v>
      </c>
    </row>
    <row r="824" spans="1:5" x14ac:dyDescent="0.2">
      <c r="A824">
        <v>10554</v>
      </c>
      <c r="B824">
        <v>77</v>
      </c>
      <c r="C824" s="6">
        <v>13</v>
      </c>
      <c r="D824" s="6">
        <v>10</v>
      </c>
      <c r="E824" s="8">
        <v>0.05</v>
      </c>
    </row>
    <row r="825" spans="1:5" x14ac:dyDescent="0.2">
      <c r="A825">
        <v>10555</v>
      </c>
      <c r="B825">
        <v>14</v>
      </c>
      <c r="C825" s="6">
        <v>23.25</v>
      </c>
      <c r="D825" s="6">
        <v>30</v>
      </c>
      <c r="E825" s="8">
        <v>0.2</v>
      </c>
    </row>
    <row r="826" spans="1:5" x14ac:dyDescent="0.2">
      <c r="A826">
        <v>10555</v>
      </c>
      <c r="B826">
        <v>19</v>
      </c>
      <c r="C826" s="6">
        <v>9.1999999999999993</v>
      </c>
      <c r="D826" s="6">
        <v>35</v>
      </c>
      <c r="E826" s="8">
        <v>0.2</v>
      </c>
    </row>
    <row r="827" spans="1:5" x14ac:dyDescent="0.2">
      <c r="A827">
        <v>10555</v>
      </c>
      <c r="B827">
        <v>24</v>
      </c>
      <c r="C827" s="6">
        <v>4.5</v>
      </c>
      <c r="D827" s="6">
        <v>18</v>
      </c>
      <c r="E827" s="8">
        <v>0.2</v>
      </c>
    </row>
    <row r="828" spans="1:5" x14ac:dyDescent="0.2">
      <c r="A828">
        <v>10555</v>
      </c>
      <c r="B828">
        <v>51</v>
      </c>
      <c r="C828" s="6">
        <v>53</v>
      </c>
      <c r="D828" s="6">
        <v>20</v>
      </c>
      <c r="E828" s="8">
        <v>0.2</v>
      </c>
    </row>
    <row r="829" spans="1:5" x14ac:dyDescent="0.2">
      <c r="A829">
        <v>10555</v>
      </c>
      <c r="B829">
        <v>56</v>
      </c>
      <c r="C829" s="6">
        <v>38</v>
      </c>
      <c r="D829" s="6">
        <v>40</v>
      </c>
      <c r="E829" s="8">
        <v>0.2</v>
      </c>
    </row>
    <row r="830" spans="1:5" x14ac:dyDescent="0.2">
      <c r="A830">
        <v>10556</v>
      </c>
      <c r="B830">
        <v>72</v>
      </c>
      <c r="C830" s="6">
        <v>34.799999999999997</v>
      </c>
      <c r="D830" s="6">
        <v>24</v>
      </c>
      <c r="E830" s="8">
        <v>0</v>
      </c>
    </row>
    <row r="831" spans="1:5" x14ac:dyDescent="0.2">
      <c r="A831">
        <v>10557</v>
      </c>
      <c r="B831">
        <v>64</v>
      </c>
      <c r="C831" s="6">
        <v>33.25</v>
      </c>
      <c r="D831" s="6">
        <v>30</v>
      </c>
      <c r="E831" s="8">
        <v>0</v>
      </c>
    </row>
    <row r="832" spans="1:5" x14ac:dyDescent="0.2">
      <c r="A832">
        <v>10557</v>
      </c>
      <c r="B832">
        <v>75</v>
      </c>
      <c r="C832" s="6">
        <v>7.75</v>
      </c>
      <c r="D832" s="6">
        <v>20</v>
      </c>
      <c r="E832" s="8">
        <v>0</v>
      </c>
    </row>
    <row r="833" spans="1:5" x14ac:dyDescent="0.2">
      <c r="A833">
        <v>10558</v>
      </c>
      <c r="B833">
        <v>47</v>
      </c>
      <c r="C833" s="6">
        <v>9.5</v>
      </c>
      <c r="D833" s="6">
        <v>25</v>
      </c>
      <c r="E833" s="8">
        <v>0</v>
      </c>
    </row>
    <row r="834" spans="1:5" x14ac:dyDescent="0.2">
      <c r="A834">
        <v>10558</v>
      </c>
      <c r="B834">
        <v>51</v>
      </c>
      <c r="C834" s="6">
        <v>53</v>
      </c>
      <c r="D834" s="6">
        <v>20</v>
      </c>
      <c r="E834" s="8">
        <v>0</v>
      </c>
    </row>
    <row r="835" spans="1:5" x14ac:dyDescent="0.2">
      <c r="A835">
        <v>10558</v>
      </c>
      <c r="B835">
        <v>52</v>
      </c>
      <c r="C835" s="6">
        <v>7</v>
      </c>
      <c r="D835" s="6">
        <v>30</v>
      </c>
      <c r="E835" s="8">
        <v>0</v>
      </c>
    </row>
    <row r="836" spans="1:5" x14ac:dyDescent="0.2">
      <c r="A836">
        <v>10558</v>
      </c>
      <c r="B836">
        <v>53</v>
      </c>
      <c r="C836" s="6">
        <v>32.799999999999997</v>
      </c>
      <c r="D836" s="6">
        <v>18</v>
      </c>
      <c r="E836" s="8">
        <v>0</v>
      </c>
    </row>
    <row r="837" spans="1:5" x14ac:dyDescent="0.2">
      <c r="A837">
        <v>10558</v>
      </c>
      <c r="B837">
        <v>73</v>
      </c>
      <c r="C837" s="6">
        <v>15</v>
      </c>
      <c r="D837" s="6">
        <v>3</v>
      </c>
      <c r="E837" s="8">
        <v>0</v>
      </c>
    </row>
    <row r="838" spans="1:5" x14ac:dyDescent="0.2">
      <c r="A838">
        <v>10559</v>
      </c>
      <c r="B838">
        <v>41</v>
      </c>
      <c r="C838" s="6">
        <v>9.65</v>
      </c>
      <c r="D838" s="6">
        <v>12</v>
      </c>
      <c r="E838" s="8">
        <v>0.05</v>
      </c>
    </row>
    <row r="839" spans="1:5" x14ac:dyDescent="0.2">
      <c r="A839">
        <v>10559</v>
      </c>
      <c r="B839">
        <v>55</v>
      </c>
      <c r="C839" s="6">
        <v>24</v>
      </c>
      <c r="D839" s="6">
        <v>18</v>
      </c>
      <c r="E839" s="8">
        <v>0.05</v>
      </c>
    </row>
    <row r="840" spans="1:5" x14ac:dyDescent="0.2">
      <c r="A840">
        <v>10560</v>
      </c>
      <c r="B840">
        <v>30</v>
      </c>
      <c r="C840" s="6">
        <v>25.89</v>
      </c>
      <c r="D840" s="6">
        <v>20</v>
      </c>
      <c r="E840" s="8">
        <v>0</v>
      </c>
    </row>
    <row r="841" spans="1:5" x14ac:dyDescent="0.2">
      <c r="A841">
        <v>10560</v>
      </c>
      <c r="B841">
        <v>62</v>
      </c>
      <c r="C841" s="6">
        <v>49.3</v>
      </c>
      <c r="D841" s="6">
        <v>15</v>
      </c>
      <c r="E841" s="8">
        <v>0.25</v>
      </c>
    </row>
    <row r="842" spans="1:5" x14ac:dyDescent="0.2">
      <c r="A842">
        <v>10561</v>
      </c>
      <c r="B842">
        <v>44</v>
      </c>
      <c r="C842" s="6">
        <v>19.45</v>
      </c>
      <c r="D842" s="6">
        <v>10</v>
      </c>
      <c r="E842" s="8">
        <v>0</v>
      </c>
    </row>
    <row r="843" spans="1:5" x14ac:dyDescent="0.2">
      <c r="A843">
        <v>10561</v>
      </c>
      <c r="B843">
        <v>51</v>
      </c>
      <c r="C843" s="6">
        <v>53</v>
      </c>
      <c r="D843" s="6">
        <v>50</v>
      </c>
      <c r="E843" s="8">
        <v>0</v>
      </c>
    </row>
    <row r="844" spans="1:5" x14ac:dyDescent="0.2">
      <c r="A844">
        <v>10562</v>
      </c>
      <c r="B844">
        <v>33</v>
      </c>
      <c r="C844" s="6">
        <v>2.5</v>
      </c>
      <c r="D844" s="6">
        <v>20</v>
      </c>
      <c r="E844" s="8">
        <v>0.1</v>
      </c>
    </row>
    <row r="845" spans="1:5" x14ac:dyDescent="0.2">
      <c r="A845">
        <v>10562</v>
      </c>
      <c r="B845">
        <v>62</v>
      </c>
      <c r="C845" s="6">
        <v>49.3</v>
      </c>
      <c r="D845" s="6">
        <v>10</v>
      </c>
      <c r="E845" s="8">
        <v>0.1</v>
      </c>
    </row>
    <row r="846" spans="1:5" x14ac:dyDescent="0.2">
      <c r="A846">
        <v>10563</v>
      </c>
      <c r="B846">
        <v>36</v>
      </c>
      <c r="C846" s="6">
        <v>19</v>
      </c>
      <c r="D846" s="6">
        <v>25</v>
      </c>
      <c r="E846" s="8">
        <v>0</v>
      </c>
    </row>
    <row r="847" spans="1:5" x14ac:dyDescent="0.2">
      <c r="A847">
        <v>10563</v>
      </c>
      <c r="B847">
        <v>52</v>
      </c>
      <c r="C847" s="6">
        <v>7</v>
      </c>
      <c r="D847" s="6">
        <v>70</v>
      </c>
      <c r="E847" s="8">
        <v>0</v>
      </c>
    </row>
    <row r="848" spans="1:5" x14ac:dyDescent="0.2">
      <c r="A848">
        <v>10564</v>
      </c>
      <c r="B848">
        <v>17</v>
      </c>
      <c r="C848" s="6">
        <v>39</v>
      </c>
      <c r="D848" s="6">
        <v>16</v>
      </c>
      <c r="E848" s="8">
        <v>0.05</v>
      </c>
    </row>
    <row r="849" spans="1:5" x14ac:dyDescent="0.2">
      <c r="A849">
        <v>10564</v>
      </c>
      <c r="B849">
        <v>31</v>
      </c>
      <c r="C849" s="6">
        <v>12.5</v>
      </c>
      <c r="D849" s="6">
        <v>6</v>
      </c>
      <c r="E849" s="8">
        <v>0.05</v>
      </c>
    </row>
    <row r="850" spans="1:5" x14ac:dyDescent="0.2">
      <c r="A850">
        <v>10564</v>
      </c>
      <c r="B850">
        <v>55</v>
      </c>
      <c r="C850" s="6">
        <v>24</v>
      </c>
      <c r="D850" s="6">
        <v>25</v>
      </c>
      <c r="E850" s="8">
        <v>0.05</v>
      </c>
    </row>
    <row r="851" spans="1:5" x14ac:dyDescent="0.2">
      <c r="A851">
        <v>10565</v>
      </c>
      <c r="B851">
        <v>24</v>
      </c>
      <c r="C851" s="6">
        <v>4.5</v>
      </c>
      <c r="D851" s="6">
        <v>25</v>
      </c>
      <c r="E851" s="8">
        <v>0.1</v>
      </c>
    </row>
    <row r="852" spans="1:5" x14ac:dyDescent="0.2">
      <c r="A852">
        <v>10565</v>
      </c>
      <c r="B852">
        <v>64</v>
      </c>
      <c r="C852" s="6">
        <v>33.25</v>
      </c>
      <c r="D852" s="6">
        <v>18</v>
      </c>
      <c r="E852" s="8">
        <v>0.1</v>
      </c>
    </row>
    <row r="853" spans="1:5" x14ac:dyDescent="0.2">
      <c r="A853">
        <v>10566</v>
      </c>
      <c r="B853">
        <v>11</v>
      </c>
      <c r="C853" s="6">
        <v>21</v>
      </c>
      <c r="D853" s="6">
        <v>35</v>
      </c>
      <c r="E853" s="8">
        <v>0.15</v>
      </c>
    </row>
    <row r="854" spans="1:5" x14ac:dyDescent="0.2">
      <c r="A854">
        <v>10566</v>
      </c>
      <c r="B854">
        <v>18</v>
      </c>
      <c r="C854" s="6">
        <v>62.5</v>
      </c>
      <c r="D854" s="6">
        <v>18</v>
      </c>
      <c r="E854" s="8">
        <v>0.15</v>
      </c>
    </row>
    <row r="855" spans="1:5" x14ac:dyDescent="0.2">
      <c r="A855">
        <v>10566</v>
      </c>
      <c r="B855">
        <v>76</v>
      </c>
      <c r="C855" s="6">
        <v>18</v>
      </c>
      <c r="D855" s="6">
        <v>10</v>
      </c>
      <c r="E855" s="8">
        <v>0</v>
      </c>
    </row>
    <row r="856" spans="1:5" x14ac:dyDescent="0.2">
      <c r="A856">
        <v>10567</v>
      </c>
      <c r="B856">
        <v>31</v>
      </c>
      <c r="C856" s="6">
        <v>12.5</v>
      </c>
      <c r="D856" s="6">
        <v>60</v>
      </c>
      <c r="E856" s="8">
        <v>0.2</v>
      </c>
    </row>
    <row r="857" spans="1:5" x14ac:dyDescent="0.2">
      <c r="A857">
        <v>10567</v>
      </c>
      <c r="B857">
        <v>51</v>
      </c>
      <c r="C857" s="6">
        <v>53</v>
      </c>
      <c r="D857" s="6">
        <v>3</v>
      </c>
      <c r="E857" s="8">
        <v>0</v>
      </c>
    </row>
    <row r="858" spans="1:5" x14ac:dyDescent="0.2">
      <c r="A858">
        <v>10567</v>
      </c>
      <c r="B858">
        <v>59</v>
      </c>
      <c r="C858" s="6">
        <v>55</v>
      </c>
      <c r="D858" s="6">
        <v>40</v>
      </c>
      <c r="E858" s="8">
        <v>0.2</v>
      </c>
    </row>
    <row r="859" spans="1:5" x14ac:dyDescent="0.2">
      <c r="A859">
        <v>10568</v>
      </c>
      <c r="B859">
        <v>10</v>
      </c>
      <c r="C859" s="6">
        <v>31</v>
      </c>
      <c r="D859" s="6">
        <v>5</v>
      </c>
      <c r="E859" s="8">
        <v>0</v>
      </c>
    </row>
    <row r="860" spans="1:5" x14ac:dyDescent="0.2">
      <c r="A860">
        <v>10569</v>
      </c>
      <c r="B860">
        <v>31</v>
      </c>
      <c r="C860" s="6">
        <v>12.5</v>
      </c>
      <c r="D860" s="6">
        <v>35</v>
      </c>
      <c r="E860" s="8">
        <v>0.2</v>
      </c>
    </row>
    <row r="861" spans="1:5" x14ac:dyDescent="0.2">
      <c r="A861">
        <v>10569</v>
      </c>
      <c r="B861">
        <v>76</v>
      </c>
      <c r="C861" s="6">
        <v>18</v>
      </c>
      <c r="D861" s="6">
        <v>30</v>
      </c>
      <c r="E861" s="8">
        <v>0</v>
      </c>
    </row>
    <row r="862" spans="1:5" x14ac:dyDescent="0.2">
      <c r="A862">
        <v>10570</v>
      </c>
      <c r="B862">
        <v>11</v>
      </c>
      <c r="C862" s="6">
        <v>21</v>
      </c>
      <c r="D862" s="6">
        <v>15</v>
      </c>
      <c r="E862" s="8">
        <v>0.05</v>
      </c>
    </row>
    <row r="863" spans="1:5" x14ac:dyDescent="0.2">
      <c r="A863">
        <v>10570</v>
      </c>
      <c r="B863">
        <v>56</v>
      </c>
      <c r="C863" s="6">
        <v>38</v>
      </c>
      <c r="D863" s="6">
        <v>60</v>
      </c>
      <c r="E863" s="8">
        <v>0.05</v>
      </c>
    </row>
    <row r="864" spans="1:5" x14ac:dyDescent="0.2">
      <c r="A864">
        <v>10571</v>
      </c>
      <c r="B864">
        <v>14</v>
      </c>
      <c r="C864" s="6">
        <v>23.25</v>
      </c>
      <c r="D864" s="6">
        <v>11</v>
      </c>
      <c r="E864" s="8">
        <v>0.15</v>
      </c>
    </row>
    <row r="865" spans="1:5" x14ac:dyDescent="0.2">
      <c r="A865">
        <v>10571</v>
      </c>
      <c r="B865">
        <v>42</v>
      </c>
      <c r="C865" s="6">
        <v>14</v>
      </c>
      <c r="D865" s="6">
        <v>28</v>
      </c>
      <c r="E865" s="8">
        <v>0.15</v>
      </c>
    </row>
    <row r="866" spans="1:5" x14ac:dyDescent="0.2">
      <c r="A866">
        <v>10572</v>
      </c>
      <c r="B866">
        <v>16</v>
      </c>
      <c r="C866" s="6">
        <v>17.45</v>
      </c>
      <c r="D866" s="6">
        <v>12</v>
      </c>
      <c r="E866" s="8">
        <v>0.1</v>
      </c>
    </row>
    <row r="867" spans="1:5" x14ac:dyDescent="0.2">
      <c r="A867">
        <v>10572</v>
      </c>
      <c r="B867">
        <v>32</v>
      </c>
      <c r="C867" s="6">
        <v>32</v>
      </c>
      <c r="D867" s="6">
        <v>10</v>
      </c>
      <c r="E867" s="8">
        <v>0.1</v>
      </c>
    </row>
    <row r="868" spans="1:5" x14ac:dyDescent="0.2">
      <c r="A868">
        <v>10572</v>
      </c>
      <c r="B868">
        <v>40</v>
      </c>
      <c r="C868" s="6">
        <v>18.399999999999999</v>
      </c>
      <c r="D868" s="6">
        <v>50</v>
      </c>
      <c r="E868" s="8">
        <v>0</v>
      </c>
    </row>
    <row r="869" spans="1:5" x14ac:dyDescent="0.2">
      <c r="A869">
        <v>10572</v>
      </c>
      <c r="B869">
        <v>75</v>
      </c>
      <c r="C869" s="6">
        <v>7.75</v>
      </c>
      <c r="D869" s="6">
        <v>15</v>
      </c>
      <c r="E869" s="8">
        <v>0.1</v>
      </c>
    </row>
    <row r="870" spans="1:5" x14ac:dyDescent="0.2">
      <c r="A870">
        <v>10573</v>
      </c>
      <c r="B870">
        <v>17</v>
      </c>
      <c r="C870" s="6">
        <v>39</v>
      </c>
      <c r="D870" s="6">
        <v>18</v>
      </c>
      <c r="E870" s="8">
        <v>0</v>
      </c>
    </row>
    <row r="871" spans="1:5" x14ac:dyDescent="0.2">
      <c r="A871">
        <v>10573</v>
      </c>
      <c r="B871">
        <v>34</v>
      </c>
      <c r="C871" s="6">
        <v>14</v>
      </c>
      <c r="D871" s="6">
        <v>40</v>
      </c>
      <c r="E871" s="8">
        <v>0</v>
      </c>
    </row>
    <row r="872" spans="1:5" x14ac:dyDescent="0.2">
      <c r="A872">
        <v>10573</v>
      </c>
      <c r="B872">
        <v>53</v>
      </c>
      <c r="C872" s="6">
        <v>32.799999999999997</v>
      </c>
      <c r="D872" s="6">
        <v>25</v>
      </c>
      <c r="E872" s="8">
        <v>0</v>
      </c>
    </row>
    <row r="873" spans="1:5" x14ac:dyDescent="0.2">
      <c r="A873">
        <v>10574</v>
      </c>
      <c r="B873">
        <v>33</v>
      </c>
      <c r="C873" s="6">
        <v>2.5</v>
      </c>
      <c r="D873" s="6">
        <v>14</v>
      </c>
      <c r="E873" s="8">
        <v>0</v>
      </c>
    </row>
    <row r="874" spans="1:5" x14ac:dyDescent="0.2">
      <c r="A874">
        <v>10574</v>
      </c>
      <c r="B874">
        <v>40</v>
      </c>
      <c r="C874" s="6">
        <v>18.399999999999999</v>
      </c>
      <c r="D874" s="6">
        <v>2</v>
      </c>
      <c r="E874" s="8">
        <v>0</v>
      </c>
    </row>
    <row r="875" spans="1:5" x14ac:dyDescent="0.2">
      <c r="A875">
        <v>10574</v>
      </c>
      <c r="B875">
        <v>62</v>
      </c>
      <c r="C875" s="6">
        <v>49.3</v>
      </c>
      <c r="D875" s="6">
        <v>10</v>
      </c>
      <c r="E875" s="8">
        <v>0</v>
      </c>
    </row>
    <row r="876" spans="1:5" x14ac:dyDescent="0.2">
      <c r="A876">
        <v>10574</v>
      </c>
      <c r="B876">
        <v>64</v>
      </c>
      <c r="C876" s="6">
        <v>33.25</v>
      </c>
      <c r="D876" s="6">
        <v>6</v>
      </c>
      <c r="E876" s="8">
        <v>0</v>
      </c>
    </row>
    <row r="877" spans="1:5" x14ac:dyDescent="0.2">
      <c r="A877">
        <v>10575</v>
      </c>
      <c r="B877">
        <v>59</v>
      </c>
      <c r="C877" s="6">
        <v>55</v>
      </c>
      <c r="D877" s="6">
        <v>12</v>
      </c>
      <c r="E877" s="8">
        <v>0</v>
      </c>
    </row>
    <row r="878" spans="1:5" x14ac:dyDescent="0.2">
      <c r="A878">
        <v>10575</v>
      </c>
      <c r="B878">
        <v>63</v>
      </c>
      <c r="C878" s="6">
        <v>43.9</v>
      </c>
      <c r="D878" s="6">
        <v>6</v>
      </c>
      <c r="E878" s="8">
        <v>0</v>
      </c>
    </row>
    <row r="879" spans="1:5" x14ac:dyDescent="0.2">
      <c r="A879">
        <v>10575</v>
      </c>
      <c r="B879">
        <v>72</v>
      </c>
      <c r="C879" s="6">
        <v>34.799999999999997</v>
      </c>
      <c r="D879" s="6">
        <v>30</v>
      </c>
      <c r="E879" s="8">
        <v>0</v>
      </c>
    </row>
    <row r="880" spans="1:5" x14ac:dyDescent="0.2">
      <c r="A880">
        <v>10575</v>
      </c>
      <c r="B880">
        <v>76</v>
      </c>
      <c r="C880" s="6">
        <v>18</v>
      </c>
      <c r="D880" s="6">
        <v>10</v>
      </c>
      <c r="E880" s="8">
        <v>0</v>
      </c>
    </row>
    <row r="881" spans="1:5" x14ac:dyDescent="0.2">
      <c r="A881">
        <v>10576</v>
      </c>
      <c r="B881">
        <v>1</v>
      </c>
      <c r="C881" s="6">
        <v>18</v>
      </c>
      <c r="D881" s="6">
        <v>10</v>
      </c>
      <c r="E881" s="8">
        <v>0</v>
      </c>
    </row>
    <row r="882" spans="1:5" x14ac:dyDescent="0.2">
      <c r="A882">
        <v>10576</v>
      </c>
      <c r="B882">
        <v>31</v>
      </c>
      <c r="C882" s="6">
        <v>12.5</v>
      </c>
      <c r="D882" s="6">
        <v>20</v>
      </c>
      <c r="E882" s="8">
        <v>0</v>
      </c>
    </row>
    <row r="883" spans="1:5" x14ac:dyDescent="0.2">
      <c r="A883">
        <v>10576</v>
      </c>
      <c r="B883">
        <v>44</v>
      </c>
      <c r="C883" s="6">
        <v>19.45</v>
      </c>
      <c r="D883" s="6">
        <v>21</v>
      </c>
      <c r="E883" s="8">
        <v>0</v>
      </c>
    </row>
    <row r="884" spans="1:5" x14ac:dyDescent="0.2">
      <c r="A884">
        <v>10577</v>
      </c>
      <c r="B884">
        <v>39</v>
      </c>
      <c r="C884" s="6">
        <v>18</v>
      </c>
      <c r="D884" s="6">
        <v>10</v>
      </c>
      <c r="E884" s="8">
        <v>0</v>
      </c>
    </row>
    <row r="885" spans="1:5" x14ac:dyDescent="0.2">
      <c r="A885">
        <v>10577</v>
      </c>
      <c r="B885">
        <v>75</v>
      </c>
      <c r="C885" s="6">
        <v>7.75</v>
      </c>
      <c r="D885" s="6">
        <v>20</v>
      </c>
      <c r="E885" s="8">
        <v>0</v>
      </c>
    </row>
    <row r="886" spans="1:5" x14ac:dyDescent="0.2">
      <c r="A886">
        <v>10577</v>
      </c>
      <c r="B886">
        <v>77</v>
      </c>
      <c r="C886" s="6">
        <v>13</v>
      </c>
      <c r="D886" s="6">
        <v>18</v>
      </c>
      <c r="E886" s="8">
        <v>0</v>
      </c>
    </row>
    <row r="887" spans="1:5" x14ac:dyDescent="0.2">
      <c r="A887">
        <v>10578</v>
      </c>
      <c r="B887">
        <v>35</v>
      </c>
      <c r="C887" s="6">
        <v>18</v>
      </c>
      <c r="D887" s="6">
        <v>20</v>
      </c>
      <c r="E887" s="8">
        <v>0</v>
      </c>
    </row>
    <row r="888" spans="1:5" x14ac:dyDescent="0.2">
      <c r="A888">
        <v>10578</v>
      </c>
      <c r="B888">
        <v>57</v>
      </c>
      <c r="C888" s="6">
        <v>19.5</v>
      </c>
      <c r="D888" s="6">
        <v>6</v>
      </c>
      <c r="E888" s="8">
        <v>0</v>
      </c>
    </row>
    <row r="889" spans="1:5" x14ac:dyDescent="0.2">
      <c r="A889">
        <v>10579</v>
      </c>
      <c r="B889">
        <v>15</v>
      </c>
      <c r="C889" s="6">
        <v>15.5</v>
      </c>
      <c r="D889" s="6">
        <v>10</v>
      </c>
      <c r="E889" s="8">
        <v>0</v>
      </c>
    </row>
    <row r="890" spans="1:5" x14ac:dyDescent="0.2">
      <c r="A890">
        <v>10579</v>
      </c>
      <c r="B890">
        <v>75</v>
      </c>
      <c r="C890" s="6">
        <v>7.75</v>
      </c>
      <c r="D890" s="6">
        <v>21</v>
      </c>
      <c r="E890" s="8">
        <v>0</v>
      </c>
    </row>
    <row r="891" spans="1:5" x14ac:dyDescent="0.2">
      <c r="A891">
        <v>10580</v>
      </c>
      <c r="B891">
        <v>14</v>
      </c>
      <c r="C891" s="6">
        <v>23.25</v>
      </c>
      <c r="D891" s="6">
        <v>15</v>
      </c>
      <c r="E891" s="8">
        <v>0.05</v>
      </c>
    </row>
    <row r="892" spans="1:5" x14ac:dyDescent="0.2">
      <c r="A892">
        <v>10580</v>
      </c>
      <c r="B892">
        <v>41</v>
      </c>
      <c r="C892" s="6">
        <v>9.65</v>
      </c>
      <c r="D892" s="6">
        <v>9</v>
      </c>
      <c r="E892" s="8">
        <v>0.05</v>
      </c>
    </row>
    <row r="893" spans="1:5" x14ac:dyDescent="0.2">
      <c r="A893">
        <v>10580</v>
      </c>
      <c r="B893">
        <v>65</v>
      </c>
      <c r="C893" s="6">
        <v>21.05</v>
      </c>
      <c r="D893" s="6">
        <v>30</v>
      </c>
      <c r="E893" s="8">
        <v>0.05</v>
      </c>
    </row>
    <row r="894" spans="1:5" x14ac:dyDescent="0.2">
      <c r="A894">
        <v>10581</v>
      </c>
      <c r="B894">
        <v>75</v>
      </c>
      <c r="C894" s="6">
        <v>7.75</v>
      </c>
      <c r="D894" s="6">
        <v>50</v>
      </c>
      <c r="E894" s="8">
        <v>0.2</v>
      </c>
    </row>
    <row r="895" spans="1:5" x14ac:dyDescent="0.2">
      <c r="A895">
        <v>10582</v>
      </c>
      <c r="B895">
        <v>57</v>
      </c>
      <c r="C895" s="6">
        <v>19.5</v>
      </c>
      <c r="D895" s="6">
        <v>4</v>
      </c>
      <c r="E895" s="8">
        <v>0</v>
      </c>
    </row>
    <row r="896" spans="1:5" x14ac:dyDescent="0.2">
      <c r="A896">
        <v>10582</v>
      </c>
      <c r="B896">
        <v>76</v>
      </c>
      <c r="C896" s="6">
        <v>18</v>
      </c>
      <c r="D896" s="6">
        <v>14</v>
      </c>
      <c r="E896" s="8">
        <v>0</v>
      </c>
    </row>
    <row r="897" spans="1:5" x14ac:dyDescent="0.2">
      <c r="A897">
        <v>10583</v>
      </c>
      <c r="B897">
        <v>29</v>
      </c>
      <c r="C897" s="6">
        <v>123.79</v>
      </c>
      <c r="D897" s="6">
        <v>10</v>
      </c>
      <c r="E897" s="8">
        <v>0</v>
      </c>
    </row>
    <row r="898" spans="1:5" x14ac:dyDescent="0.2">
      <c r="A898">
        <v>10583</v>
      </c>
      <c r="B898">
        <v>60</v>
      </c>
      <c r="C898" s="6">
        <v>34</v>
      </c>
      <c r="D898" s="6">
        <v>24</v>
      </c>
      <c r="E898" s="8">
        <v>0.15</v>
      </c>
    </row>
    <row r="899" spans="1:5" x14ac:dyDescent="0.2">
      <c r="A899">
        <v>10583</v>
      </c>
      <c r="B899">
        <v>69</v>
      </c>
      <c r="C899" s="6">
        <v>36</v>
      </c>
      <c r="D899" s="6">
        <v>10</v>
      </c>
      <c r="E899" s="8">
        <v>0.15</v>
      </c>
    </row>
    <row r="900" spans="1:5" x14ac:dyDescent="0.2">
      <c r="A900">
        <v>10584</v>
      </c>
      <c r="B900">
        <v>31</v>
      </c>
      <c r="C900" s="6">
        <v>12.5</v>
      </c>
      <c r="D900" s="6">
        <v>50</v>
      </c>
      <c r="E900" s="8">
        <v>0.05</v>
      </c>
    </row>
    <row r="901" spans="1:5" x14ac:dyDescent="0.2">
      <c r="A901">
        <v>10585</v>
      </c>
      <c r="B901">
        <v>47</v>
      </c>
      <c r="C901" s="6">
        <v>9.5</v>
      </c>
      <c r="D901" s="6">
        <v>15</v>
      </c>
      <c r="E901" s="8">
        <v>0</v>
      </c>
    </row>
    <row r="902" spans="1:5" x14ac:dyDescent="0.2">
      <c r="A902">
        <v>10586</v>
      </c>
      <c r="B902">
        <v>52</v>
      </c>
      <c r="C902" s="6">
        <v>7</v>
      </c>
      <c r="D902" s="6">
        <v>4</v>
      </c>
      <c r="E902" s="8">
        <v>0.15</v>
      </c>
    </row>
    <row r="903" spans="1:5" x14ac:dyDescent="0.2">
      <c r="A903">
        <v>10587</v>
      </c>
      <c r="B903">
        <v>26</v>
      </c>
      <c r="C903" s="6">
        <v>31.23</v>
      </c>
      <c r="D903" s="6">
        <v>6</v>
      </c>
      <c r="E903" s="8">
        <v>0</v>
      </c>
    </row>
    <row r="904" spans="1:5" x14ac:dyDescent="0.2">
      <c r="A904">
        <v>10587</v>
      </c>
      <c r="B904">
        <v>35</v>
      </c>
      <c r="C904" s="6">
        <v>18</v>
      </c>
      <c r="D904" s="6">
        <v>20</v>
      </c>
      <c r="E904" s="8">
        <v>0</v>
      </c>
    </row>
    <row r="905" spans="1:5" x14ac:dyDescent="0.2">
      <c r="A905">
        <v>10587</v>
      </c>
      <c r="B905">
        <v>77</v>
      </c>
      <c r="C905" s="6">
        <v>13</v>
      </c>
      <c r="D905" s="6">
        <v>20</v>
      </c>
      <c r="E905" s="8">
        <v>0</v>
      </c>
    </row>
    <row r="906" spans="1:5" x14ac:dyDescent="0.2">
      <c r="A906">
        <v>10588</v>
      </c>
      <c r="B906">
        <v>18</v>
      </c>
      <c r="C906" s="6">
        <v>62.5</v>
      </c>
      <c r="D906" s="6">
        <v>40</v>
      </c>
      <c r="E906" s="8">
        <v>0.2</v>
      </c>
    </row>
    <row r="907" spans="1:5" x14ac:dyDescent="0.2">
      <c r="A907">
        <v>10588</v>
      </c>
      <c r="B907">
        <v>42</v>
      </c>
      <c r="C907" s="6">
        <v>14</v>
      </c>
      <c r="D907" s="6">
        <v>100</v>
      </c>
      <c r="E907" s="8">
        <v>0.2</v>
      </c>
    </row>
    <row r="908" spans="1:5" x14ac:dyDescent="0.2">
      <c r="A908">
        <v>10589</v>
      </c>
      <c r="B908">
        <v>35</v>
      </c>
      <c r="C908" s="6">
        <v>18</v>
      </c>
      <c r="D908" s="6">
        <v>4</v>
      </c>
      <c r="E908" s="8">
        <v>0</v>
      </c>
    </row>
    <row r="909" spans="1:5" x14ac:dyDescent="0.2">
      <c r="A909">
        <v>10590</v>
      </c>
      <c r="B909">
        <v>1</v>
      </c>
      <c r="C909" s="6">
        <v>18</v>
      </c>
      <c r="D909" s="6">
        <v>20</v>
      </c>
      <c r="E909" s="8">
        <v>0</v>
      </c>
    </row>
    <row r="910" spans="1:5" x14ac:dyDescent="0.2">
      <c r="A910">
        <v>10590</v>
      </c>
      <c r="B910">
        <v>77</v>
      </c>
      <c r="C910" s="6">
        <v>13</v>
      </c>
      <c r="D910" s="6">
        <v>60</v>
      </c>
      <c r="E910" s="8">
        <v>0.05</v>
      </c>
    </row>
    <row r="911" spans="1:5" x14ac:dyDescent="0.2">
      <c r="A911">
        <v>10591</v>
      </c>
      <c r="B911">
        <v>3</v>
      </c>
      <c r="C911" s="6">
        <v>10</v>
      </c>
      <c r="D911" s="6">
        <v>14</v>
      </c>
      <c r="E911" s="8">
        <v>0</v>
      </c>
    </row>
    <row r="912" spans="1:5" x14ac:dyDescent="0.2">
      <c r="A912">
        <v>10591</v>
      </c>
      <c r="B912">
        <v>7</v>
      </c>
      <c r="C912" s="6">
        <v>30</v>
      </c>
      <c r="D912" s="6">
        <v>10</v>
      </c>
      <c r="E912" s="8">
        <v>0</v>
      </c>
    </row>
    <row r="913" spans="1:5" x14ac:dyDescent="0.2">
      <c r="A913">
        <v>10591</v>
      </c>
      <c r="B913">
        <v>54</v>
      </c>
      <c r="C913" s="6">
        <v>7.45</v>
      </c>
      <c r="D913" s="6">
        <v>50</v>
      </c>
      <c r="E913" s="8">
        <v>0</v>
      </c>
    </row>
    <row r="914" spans="1:5" x14ac:dyDescent="0.2">
      <c r="A914">
        <v>10592</v>
      </c>
      <c r="B914">
        <v>15</v>
      </c>
      <c r="C914" s="6">
        <v>15.5</v>
      </c>
      <c r="D914" s="6">
        <v>25</v>
      </c>
      <c r="E914" s="8">
        <v>0.05</v>
      </c>
    </row>
    <row r="915" spans="1:5" x14ac:dyDescent="0.2">
      <c r="A915">
        <v>10592</v>
      </c>
      <c r="B915">
        <v>26</v>
      </c>
      <c r="C915" s="6">
        <v>31.23</v>
      </c>
      <c r="D915" s="6">
        <v>5</v>
      </c>
      <c r="E915" s="8">
        <v>0.05</v>
      </c>
    </row>
    <row r="916" spans="1:5" x14ac:dyDescent="0.2">
      <c r="A916">
        <v>10593</v>
      </c>
      <c r="B916">
        <v>20</v>
      </c>
      <c r="C916" s="6">
        <v>81</v>
      </c>
      <c r="D916" s="6">
        <v>21</v>
      </c>
      <c r="E916" s="8">
        <v>0.2</v>
      </c>
    </row>
    <row r="917" spans="1:5" x14ac:dyDescent="0.2">
      <c r="A917">
        <v>10593</v>
      </c>
      <c r="B917">
        <v>69</v>
      </c>
      <c r="C917" s="6">
        <v>36</v>
      </c>
      <c r="D917" s="6">
        <v>20</v>
      </c>
      <c r="E917" s="8">
        <v>0.2</v>
      </c>
    </row>
    <row r="918" spans="1:5" x14ac:dyDescent="0.2">
      <c r="A918">
        <v>10593</v>
      </c>
      <c r="B918">
        <v>76</v>
      </c>
      <c r="C918" s="6">
        <v>18</v>
      </c>
      <c r="D918" s="6">
        <v>4</v>
      </c>
      <c r="E918" s="8">
        <v>0.2</v>
      </c>
    </row>
    <row r="919" spans="1:5" x14ac:dyDescent="0.2">
      <c r="A919">
        <v>10594</v>
      </c>
      <c r="B919">
        <v>52</v>
      </c>
      <c r="C919" s="6">
        <v>7</v>
      </c>
      <c r="D919" s="6">
        <v>24</v>
      </c>
      <c r="E919" s="8">
        <v>0</v>
      </c>
    </row>
    <row r="920" spans="1:5" x14ac:dyDescent="0.2">
      <c r="A920">
        <v>10594</v>
      </c>
      <c r="B920">
        <v>58</v>
      </c>
      <c r="C920" s="6">
        <v>13.25</v>
      </c>
      <c r="D920" s="6">
        <v>30</v>
      </c>
      <c r="E920" s="8">
        <v>0</v>
      </c>
    </row>
    <row r="921" spans="1:5" x14ac:dyDescent="0.2">
      <c r="A921">
        <v>10595</v>
      </c>
      <c r="B921">
        <v>35</v>
      </c>
      <c r="C921" s="6">
        <v>18</v>
      </c>
      <c r="D921" s="6">
        <v>30</v>
      </c>
      <c r="E921" s="8">
        <v>0.25</v>
      </c>
    </row>
    <row r="922" spans="1:5" x14ac:dyDescent="0.2">
      <c r="A922">
        <v>10595</v>
      </c>
      <c r="B922">
        <v>61</v>
      </c>
      <c r="C922" s="6">
        <v>28.5</v>
      </c>
      <c r="D922" s="6">
        <v>120</v>
      </c>
      <c r="E922" s="8">
        <v>0.25</v>
      </c>
    </row>
    <row r="923" spans="1:5" x14ac:dyDescent="0.2">
      <c r="A923">
        <v>10595</v>
      </c>
      <c r="B923">
        <v>69</v>
      </c>
      <c r="C923" s="6">
        <v>36</v>
      </c>
      <c r="D923" s="6">
        <v>65</v>
      </c>
      <c r="E923" s="8">
        <v>0.25</v>
      </c>
    </row>
    <row r="924" spans="1:5" x14ac:dyDescent="0.2">
      <c r="A924">
        <v>10596</v>
      </c>
      <c r="B924">
        <v>56</v>
      </c>
      <c r="C924" s="6">
        <v>38</v>
      </c>
      <c r="D924" s="6">
        <v>5</v>
      </c>
      <c r="E924" s="8">
        <v>0.2</v>
      </c>
    </row>
    <row r="925" spans="1:5" x14ac:dyDescent="0.2">
      <c r="A925">
        <v>10596</v>
      </c>
      <c r="B925">
        <v>63</v>
      </c>
      <c r="C925" s="6">
        <v>43.9</v>
      </c>
      <c r="D925" s="6">
        <v>24</v>
      </c>
      <c r="E925" s="8">
        <v>0.2</v>
      </c>
    </row>
    <row r="926" spans="1:5" x14ac:dyDescent="0.2">
      <c r="A926">
        <v>10596</v>
      </c>
      <c r="B926">
        <v>75</v>
      </c>
      <c r="C926" s="6">
        <v>7.75</v>
      </c>
      <c r="D926" s="6">
        <v>30</v>
      </c>
      <c r="E926" s="8">
        <v>0.2</v>
      </c>
    </row>
    <row r="927" spans="1:5" x14ac:dyDescent="0.2">
      <c r="A927">
        <v>10597</v>
      </c>
      <c r="B927">
        <v>24</v>
      </c>
      <c r="C927" s="6">
        <v>4.5</v>
      </c>
      <c r="D927" s="6">
        <v>35</v>
      </c>
      <c r="E927" s="8">
        <v>0.2</v>
      </c>
    </row>
    <row r="928" spans="1:5" x14ac:dyDescent="0.2">
      <c r="A928">
        <v>10597</v>
      </c>
      <c r="B928">
        <v>57</v>
      </c>
      <c r="C928" s="6">
        <v>19.5</v>
      </c>
      <c r="D928" s="6">
        <v>20</v>
      </c>
      <c r="E928" s="8">
        <v>0</v>
      </c>
    </row>
    <row r="929" spans="1:5" x14ac:dyDescent="0.2">
      <c r="A929">
        <v>10597</v>
      </c>
      <c r="B929">
        <v>65</v>
      </c>
      <c r="C929" s="6">
        <v>21.05</v>
      </c>
      <c r="D929" s="6">
        <v>12</v>
      </c>
      <c r="E929" s="8">
        <v>0.2</v>
      </c>
    </row>
    <row r="930" spans="1:5" x14ac:dyDescent="0.2">
      <c r="A930">
        <v>10598</v>
      </c>
      <c r="B930">
        <v>27</v>
      </c>
      <c r="C930" s="6">
        <v>43.9</v>
      </c>
      <c r="D930" s="6">
        <v>50</v>
      </c>
      <c r="E930" s="8">
        <v>0</v>
      </c>
    </row>
    <row r="931" spans="1:5" x14ac:dyDescent="0.2">
      <c r="A931">
        <v>10598</v>
      </c>
      <c r="B931">
        <v>71</v>
      </c>
      <c r="C931" s="6">
        <v>21.5</v>
      </c>
      <c r="D931" s="6">
        <v>9</v>
      </c>
      <c r="E931" s="8">
        <v>0</v>
      </c>
    </row>
    <row r="932" spans="1:5" x14ac:dyDescent="0.2">
      <c r="A932">
        <v>10599</v>
      </c>
      <c r="B932">
        <v>62</v>
      </c>
      <c r="C932" s="6">
        <v>49.3</v>
      </c>
      <c r="D932" s="6">
        <v>10</v>
      </c>
      <c r="E932" s="8">
        <v>0</v>
      </c>
    </row>
    <row r="933" spans="1:5" x14ac:dyDescent="0.2">
      <c r="A933">
        <v>10600</v>
      </c>
      <c r="B933">
        <v>54</v>
      </c>
      <c r="C933" s="6">
        <v>7.45</v>
      </c>
      <c r="D933" s="6">
        <v>4</v>
      </c>
      <c r="E933" s="8">
        <v>0</v>
      </c>
    </row>
    <row r="934" spans="1:5" x14ac:dyDescent="0.2">
      <c r="A934">
        <v>10600</v>
      </c>
      <c r="B934">
        <v>73</v>
      </c>
      <c r="C934" s="6">
        <v>15</v>
      </c>
      <c r="D934" s="6">
        <v>30</v>
      </c>
      <c r="E934" s="8">
        <v>0</v>
      </c>
    </row>
    <row r="935" spans="1:5" x14ac:dyDescent="0.2">
      <c r="A935">
        <v>10601</v>
      </c>
      <c r="B935">
        <v>13</v>
      </c>
      <c r="C935" s="6">
        <v>6</v>
      </c>
      <c r="D935" s="6">
        <v>60</v>
      </c>
      <c r="E935" s="8">
        <v>0</v>
      </c>
    </row>
    <row r="936" spans="1:5" x14ac:dyDescent="0.2">
      <c r="A936">
        <v>10601</v>
      </c>
      <c r="B936">
        <v>59</v>
      </c>
      <c r="C936" s="6">
        <v>55</v>
      </c>
      <c r="D936" s="6">
        <v>35</v>
      </c>
      <c r="E936" s="8">
        <v>0</v>
      </c>
    </row>
    <row r="937" spans="1:5" x14ac:dyDescent="0.2">
      <c r="A937">
        <v>10602</v>
      </c>
      <c r="B937">
        <v>77</v>
      </c>
      <c r="C937" s="6">
        <v>13</v>
      </c>
      <c r="D937" s="6">
        <v>5</v>
      </c>
      <c r="E937" s="8">
        <v>0.25</v>
      </c>
    </row>
    <row r="938" spans="1:5" x14ac:dyDescent="0.2">
      <c r="A938">
        <v>10603</v>
      </c>
      <c r="B938">
        <v>22</v>
      </c>
      <c r="C938" s="6">
        <v>21</v>
      </c>
      <c r="D938" s="6">
        <v>48</v>
      </c>
      <c r="E938" s="8">
        <v>0</v>
      </c>
    </row>
    <row r="939" spans="1:5" x14ac:dyDescent="0.2">
      <c r="A939">
        <v>10603</v>
      </c>
      <c r="B939">
        <v>49</v>
      </c>
      <c r="C939" s="6">
        <v>20</v>
      </c>
      <c r="D939" s="6">
        <v>25</v>
      </c>
      <c r="E939" s="8">
        <v>0.05</v>
      </c>
    </row>
    <row r="940" spans="1:5" x14ac:dyDescent="0.2">
      <c r="A940">
        <v>10604</v>
      </c>
      <c r="B940">
        <v>48</v>
      </c>
      <c r="C940" s="6">
        <v>12.75</v>
      </c>
      <c r="D940" s="6">
        <v>6</v>
      </c>
      <c r="E940" s="8">
        <v>0.1</v>
      </c>
    </row>
    <row r="941" spans="1:5" x14ac:dyDescent="0.2">
      <c r="A941">
        <v>10604</v>
      </c>
      <c r="B941">
        <v>76</v>
      </c>
      <c r="C941" s="6">
        <v>18</v>
      </c>
      <c r="D941" s="6">
        <v>10</v>
      </c>
      <c r="E941" s="8">
        <v>0.1</v>
      </c>
    </row>
    <row r="942" spans="1:5" x14ac:dyDescent="0.2">
      <c r="A942">
        <v>10605</v>
      </c>
      <c r="B942">
        <v>16</v>
      </c>
      <c r="C942" s="6">
        <v>17.45</v>
      </c>
      <c r="D942" s="6">
        <v>30</v>
      </c>
      <c r="E942" s="8">
        <v>0.05</v>
      </c>
    </row>
    <row r="943" spans="1:5" x14ac:dyDescent="0.2">
      <c r="A943">
        <v>10605</v>
      </c>
      <c r="B943">
        <v>59</v>
      </c>
      <c r="C943" s="6">
        <v>55</v>
      </c>
      <c r="D943" s="6">
        <v>20</v>
      </c>
      <c r="E943" s="8">
        <v>0.05</v>
      </c>
    </row>
    <row r="944" spans="1:5" x14ac:dyDescent="0.2">
      <c r="A944">
        <v>10605</v>
      </c>
      <c r="B944">
        <v>60</v>
      </c>
      <c r="C944" s="6">
        <v>34</v>
      </c>
      <c r="D944" s="6">
        <v>70</v>
      </c>
      <c r="E944" s="8">
        <v>0.05</v>
      </c>
    </row>
    <row r="945" spans="1:5" x14ac:dyDescent="0.2">
      <c r="A945">
        <v>10605</v>
      </c>
      <c r="B945">
        <v>71</v>
      </c>
      <c r="C945" s="6">
        <v>21.5</v>
      </c>
      <c r="D945" s="6">
        <v>15</v>
      </c>
      <c r="E945" s="8">
        <v>0.05</v>
      </c>
    </row>
    <row r="946" spans="1:5" x14ac:dyDescent="0.2">
      <c r="A946">
        <v>10606</v>
      </c>
      <c r="B946">
        <v>4</v>
      </c>
      <c r="C946" s="6">
        <v>22</v>
      </c>
      <c r="D946" s="6">
        <v>20</v>
      </c>
      <c r="E946" s="8">
        <v>0.2</v>
      </c>
    </row>
    <row r="947" spans="1:5" x14ac:dyDescent="0.2">
      <c r="A947">
        <v>10606</v>
      </c>
      <c r="B947">
        <v>55</v>
      </c>
      <c r="C947" s="6">
        <v>24</v>
      </c>
      <c r="D947" s="6">
        <v>20</v>
      </c>
      <c r="E947" s="8">
        <v>0.2</v>
      </c>
    </row>
    <row r="948" spans="1:5" x14ac:dyDescent="0.2">
      <c r="A948">
        <v>10606</v>
      </c>
      <c r="B948">
        <v>62</v>
      </c>
      <c r="C948" s="6">
        <v>49.3</v>
      </c>
      <c r="D948" s="6">
        <v>10</v>
      </c>
      <c r="E948" s="8">
        <v>0.2</v>
      </c>
    </row>
    <row r="949" spans="1:5" x14ac:dyDescent="0.2">
      <c r="A949">
        <v>10607</v>
      </c>
      <c r="B949">
        <v>7</v>
      </c>
      <c r="C949" s="6">
        <v>30</v>
      </c>
      <c r="D949" s="6">
        <v>45</v>
      </c>
      <c r="E949" s="8">
        <v>0</v>
      </c>
    </row>
    <row r="950" spans="1:5" x14ac:dyDescent="0.2">
      <c r="A950">
        <v>10607</v>
      </c>
      <c r="B950">
        <v>17</v>
      </c>
      <c r="C950" s="6">
        <v>39</v>
      </c>
      <c r="D950" s="6">
        <v>100</v>
      </c>
      <c r="E950" s="8">
        <v>0</v>
      </c>
    </row>
    <row r="951" spans="1:5" x14ac:dyDescent="0.2">
      <c r="A951">
        <v>10607</v>
      </c>
      <c r="B951">
        <v>33</v>
      </c>
      <c r="C951" s="6">
        <v>2.5</v>
      </c>
      <c r="D951" s="6">
        <v>14</v>
      </c>
      <c r="E951" s="8">
        <v>0</v>
      </c>
    </row>
    <row r="952" spans="1:5" x14ac:dyDescent="0.2">
      <c r="A952">
        <v>10607</v>
      </c>
      <c r="B952">
        <v>40</v>
      </c>
      <c r="C952" s="6">
        <v>18.399999999999999</v>
      </c>
      <c r="D952" s="6">
        <v>42</v>
      </c>
      <c r="E952" s="8">
        <v>0</v>
      </c>
    </row>
    <row r="953" spans="1:5" x14ac:dyDescent="0.2">
      <c r="A953">
        <v>10607</v>
      </c>
      <c r="B953">
        <v>72</v>
      </c>
      <c r="C953" s="6">
        <v>34.799999999999997</v>
      </c>
      <c r="D953" s="6">
        <v>12</v>
      </c>
      <c r="E953" s="8">
        <v>0</v>
      </c>
    </row>
    <row r="954" spans="1:5" x14ac:dyDescent="0.2">
      <c r="A954">
        <v>10608</v>
      </c>
      <c r="B954">
        <v>56</v>
      </c>
      <c r="C954" s="6">
        <v>38</v>
      </c>
      <c r="D954" s="6">
        <v>28</v>
      </c>
      <c r="E954" s="8">
        <v>0</v>
      </c>
    </row>
    <row r="955" spans="1:5" x14ac:dyDescent="0.2">
      <c r="A955">
        <v>10609</v>
      </c>
      <c r="B955">
        <v>1</v>
      </c>
      <c r="C955" s="6">
        <v>18</v>
      </c>
      <c r="D955" s="6">
        <v>3</v>
      </c>
      <c r="E955" s="8">
        <v>0</v>
      </c>
    </row>
    <row r="956" spans="1:5" x14ac:dyDescent="0.2">
      <c r="A956">
        <v>10609</v>
      </c>
      <c r="B956">
        <v>10</v>
      </c>
      <c r="C956" s="6">
        <v>31</v>
      </c>
      <c r="D956" s="6">
        <v>10</v>
      </c>
      <c r="E956" s="8">
        <v>0</v>
      </c>
    </row>
    <row r="957" spans="1:5" x14ac:dyDescent="0.2">
      <c r="A957">
        <v>10609</v>
      </c>
      <c r="B957">
        <v>21</v>
      </c>
      <c r="C957" s="6">
        <v>10</v>
      </c>
      <c r="D957" s="6">
        <v>6</v>
      </c>
      <c r="E957" s="8">
        <v>0</v>
      </c>
    </row>
    <row r="958" spans="1:5" x14ac:dyDescent="0.2">
      <c r="A958">
        <v>10610</v>
      </c>
      <c r="B958">
        <v>36</v>
      </c>
      <c r="C958" s="6">
        <v>19</v>
      </c>
      <c r="D958" s="6">
        <v>21</v>
      </c>
      <c r="E958" s="8">
        <v>0.25</v>
      </c>
    </row>
    <row r="959" spans="1:5" x14ac:dyDescent="0.2">
      <c r="A959">
        <v>10611</v>
      </c>
      <c r="B959">
        <v>1</v>
      </c>
      <c r="C959" s="6">
        <v>18</v>
      </c>
      <c r="D959" s="6">
        <v>6</v>
      </c>
      <c r="E959" s="8">
        <v>0</v>
      </c>
    </row>
    <row r="960" spans="1:5" x14ac:dyDescent="0.2">
      <c r="A960">
        <v>10611</v>
      </c>
      <c r="B960">
        <v>2</v>
      </c>
      <c r="C960" s="6">
        <v>19</v>
      </c>
      <c r="D960" s="6">
        <v>10</v>
      </c>
      <c r="E960" s="8">
        <v>0</v>
      </c>
    </row>
    <row r="961" spans="1:5" x14ac:dyDescent="0.2">
      <c r="A961">
        <v>10611</v>
      </c>
      <c r="B961">
        <v>60</v>
      </c>
      <c r="C961" s="6">
        <v>34</v>
      </c>
      <c r="D961" s="6">
        <v>15</v>
      </c>
      <c r="E961" s="8">
        <v>0</v>
      </c>
    </row>
    <row r="962" spans="1:5" x14ac:dyDescent="0.2">
      <c r="A962">
        <v>10612</v>
      </c>
      <c r="B962">
        <v>10</v>
      </c>
      <c r="C962" s="6">
        <v>31</v>
      </c>
      <c r="D962" s="6">
        <v>70</v>
      </c>
      <c r="E962" s="8">
        <v>0</v>
      </c>
    </row>
    <row r="963" spans="1:5" x14ac:dyDescent="0.2">
      <c r="A963">
        <v>10612</v>
      </c>
      <c r="B963">
        <v>36</v>
      </c>
      <c r="C963" s="6">
        <v>19</v>
      </c>
      <c r="D963" s="6">
        <v>55</v>
      </c>
      <c r="E963" s="8">
        <v>0</v>
      </c>
    </row>
    <row r="964" spans="1:5" x14ac:dyDescent="0.2">
      <c r="A964">
        <v>10612</v>
      </c>
      <c r="B964">
        <v>49</v>
      </c>
      <c r="C964" s="6">
        <v>20</v>
      </c>
      <c r="D964" s="6">
        <v>18</v>
      </c>
      <c r="E964" s="8">
        <v>0</v>
      </c>
    </row>
    <row r="965" spans="1:5" x14ac:dyDescent="0.2">
      <c r="A965">
        <v>10612</v>
      </c>
      <c r="B965">
        <v>60</v>
      </c>
      <c r="C965" s="6">
        <v>34</v>
      </c>
      <c r="D965" s="6">
        <v>40</v>
      </c>
      <c r="E965" s="8">
        <v>0</v>
      </c>
    </row>
    <row r="966" spans="1:5" x14ac:dyDescent="0.2">
      <c r="A966">
        <v>10612</v>
      </c>
      <c r="B966">
        <v>76</v>
      </c>
      <c r="C966" s="6">
        <v>18</v>
      </c>
      <c r="D966" s="6">
        <v>80</v>
      </c>
      <c r="E966" s="8">
        <v>0</v>
      </c>
    </row>
    <row r="967" spans="1:5" x14ac:dyDescent="0.2">
      <c r="A967">
        <v>10613</v>
      </c>
      <c r="B967">
        <v>13</v>
      </c>
      <c r="C967" s="6">
        <v>6</v>
      </c>
      <c r="D967" s="6">
        <v>8</v>
      </c>
      <c r="E967" s="8">
        <v>0.1</v>
      </c>
    </row>
    <row r="968" spans="1:5" x14ac:dyDescent="0.2">
      <c r="A968">
        <v>10613</v>
      </c>
      <c r="B968">
        <v>75</v>
      </c>
      <c r="C968" s="6">
        <v>7.75</v>
      </c>
      <c r="D968" s="6">
        <v>40</v>
      </c>
      <c r="E968" s="8">
        <v>0</v>
      </c>
    </row>
    <row r="969" spans="1:5" x14ac:dyDescent="0.2">
      <c r="A969">
        <v>10614</v>
      </c>
      <c r="B969">
        <v>11</v>
      </c>
      <c r="C969" s="6">
        <v>21</v>
      </c>
      <c r="D969" s="6">
        <v>14</v>
      </c>
      <c r="E969" s="8">
        <v>0</v>
      </c>
    </row>
    <row r="970" spans="1:5" x14ac:dyDescent="0.2">
      <c r="A970">
        <v>10614</v>
      </c>
      <c r="B970">
        <v>21</v>
      </c>
      <c r="C970" s="6">
        <v>10</v>
      </c>
      <c r="D970" s="6">
        <v>8</v>
      </c>
      <c r="E970" s="8">
        <v>0</v>
      </c>
    </row>
    <row r="971" spans="1:5" x14ac:dyDescent="0.2">
      <c r="A971">
        <v>10614</v>
      </c>
      <c r="B971">
        <v>39</v>
      </c>
      <c r="C971" s="6">
        <v>18</v>
      </c>
      <c r="D971" s="6">
        <v>5</v>
      </c>
      <c r="E971" s="8">
        <v>0</v>
      </c>
    </row>
    <row r="972" spans="1:5" x14ac:dyDescent="0.2">
      <c r="A972">
        <v>10615</v>
      </c>
      <c r="B972">
        <v>55</v>
      </c>
      <c r="C972" s="6">
        <v>24</v>
      </c>
      <c r="D972" s="6">
        <v>5</v>
      </c>
      <c r="E972" s="8">
        <v>0</v>
      </c>
    </row>
    <row r="973" spans="1:5" x14ac:dyDescent="0.2">
      <c r="A973">
        <v>10616</v>
      </c>
      <c r="B973">
        <v>38</v>
      </c>
      <c r="C973" s="6">
        <v>263.5</v>
      </c>
      <c r="D973" s="6">
        <v>15</v>
      </c>
      <c r="E973" s="8">
        <v>0.05</v>
      </c>
    </row>
    <row r="974" spans="1:5" x14ac:dyDescent="0.2">
      <c r="A974">
        <v>10616</v>
      </c>
      <c r="B974">
        <v>56</v>
      </c>
      <c r="C974" s="6">
        <v>38</v>
      </c>
      <c r="D974" s="6">
        <v>14</v>
      </c>
      <c r="E974" s="8">
        <v>0</v>
      </c>
    </row>
    <row r="975" spans="1:5" x14ac:dyDescent="0.2">
      <c r="A975">
        <v>10616</v>
      </c>
      <c r="B975">
        <v>70</v>
      </c>
      <c r="C975" s="6">
        <v>15</v>
      </c>
      <c r="D975" s="6">
        <v>15</v>
      </c>
      <c r="E975" s="8">
        <v>0.05</v>
      </c>
    </row>
    <row r="976" spans="1:5" x14ac:dyDescent="0.2">
      <c r="A976">
        <v>10616</v>
      </c>
      <c r="B976">
        <v>71</v>
      </c>
      <c r="C976" s="6">
        <v>21.5</v>
      </c>
      <c r="D976" s="6">
        <v>15</v>
      </c>
      <c r="E976" s="8">
        <v>0.05</v>
      </c>
    </row>
    <row r="977" spans="1:5" x14ac:dyDescent="0.2">
      <c r="A977">
        <v>10617</v>
      </c>
      <c r="B977">
        <v>59</v>
      </c>
      <c r="C977" s="6">
        <v>55</v>
      </c>
      <c r="D977" s="6">
        <v>30</v>
      </c>
      <c r="E977" s="8">
        <v>0.15</v>
      </c>
    </row>
    <row r="978" spans="1:5" x14ac:dyDescent="0.2">
      <c r="A978">
        <v>10618</v>
      </c>
      <c r="B978">
        <v>6</v>
      </c>
      <c r="C978" s="6">
        <v>25</v>
      </c>
      <c r="D978" s="6">
        <v>70</v>
      </c>
      <c r="E978" s="8">
        <v>0</v>
      </c>
    </row>
    <row r="979" spans="1:5" x14ac:dyDescent="0.2">
      <c r="A979">
        <v>10618</v>
      </c>
      <c r="B979">
        <v>56</v>
      </c>
      <c r="C979" s="6">
        <v>38</v>
      </c>
      <c r="D979" s="6">
        <v>20</v>
      </c>
      <c r="E979" s="8">
        <v>0</v>
      </c>
    </row>
    <row r="980" spans="1:5" x14ac:dyDescent="0.2">
      <c r="A980">
        <v>10618</v>
      </c>
      <c r="B980">
        <v>68</v>
      </c>
      <c r="C980" s="6">
        <v>12.5</v>
      </c>
      <c r="D980" s="6">
        <v>15</v>
      </c>
      <c r="E980" s="8">
        <v>0</v>
      </c>
    </row>
    <row r="981" spans="1:5" x14ac:dyDescent="0.2">
      <c r="A981">
        <v>10619</v>
      </c>
      <c r="B981">
        <v>21</v>
      </c>
      <c r="C981" s="6">
        <v>10</v>
      </c>
      <c r="D981" s="6">
        <v>42</v>
      </c>
      <c r="E981" s="8">
        <v>0</v>
      </c>
    </row>
    <row r="982" spans="1:5" x14ac:dyDescent="0.2">
      <c r="A982">
        <v>10619</v>
      </c>
      <c r="B982">
        <v>22</v>
      </c>
      <c r="C982" s="6">
        <v>21</v>
      </c>
      <c r="D982" s="6">
        <v>40</v>
      </c>
      <c r="E982" s="8">
        <v>0</v>
      </c>
    </row>
    <row r="983" spans="1:5" x14ac:dyDescent="0.2">
      <c r="A983">
        <v>10620</v>
      </c>
      <c r="B983">
        <v>24</v>
      </c>
      <c r="C983" s="6">
        <v>4.5</v>
      </c>
      <c r="D983" s="6">
        <v>5</v>
      </c>
      <c r="E983" s="8">
        <v>0</v>
      </c>
    </row>
    <row r="984" spans="1:5" x14ac:dyDescent="0.2">
      <c r="A984">
        <v>10620</v>
      </c>
      <c r="B984">
        <v>52</v>
      </c>
      <c r="C984" s="6">
        <v>7</v>
      </c>
      <c r="D984" s="6">
        <v>5</v>
      </c>
      <c r="E984" s="8">
        <v>0</v>
      </c>
    </row>
    <row r="985" spans="1:5" x14ac:dyDescent="0.2">
      <c r="A985">
        <v>10621</v>
      </c>
      <c r="B985">
        <v>19</v>
      </c>
      <c r="C985" s="6">
        <v>9.1999999999999993</v>
      </c>
      <c r="D985" s="6">
        <v>5</v>
      </c>
      <c r="E985" s="8">
        <v>0</v>
      </c>
    </row>
    <row r="986" spans="1:5" x14ac:dyDescent="0.2">
      <c r="A986">
        <v>10621</v>
      </c>
      <c r="B986">
        <v>23</v>
      </c>
      <c r="C986" s="6">
        <v>9</v>
      </c>
      <c r="D986" s="6">
        <v>10</v>
      </c>
      <c r="E986" s="8">
        <v>0</v>
      </c>
    </row>
    <row r="987" spans="1:5" x14ac:dyDescent="0.2">
      <c r="A987">
        <v>10621</v>
      </c>
      <c r="B987">
        <v>70</v>
      </c>
      <c r="C987" s="6">
        <v>15</v>
      </c>
      <c r="D987" s="6">
        <v>20</v>
      </c>
      <c r="E987" s="8">
        <v>0</v>
      </c>
    </row>
    <row r="988" spans="1:5" x14ac:dyDescent="0.2">
      <c r="A988">
        <v>10621</v>
      </c>
      <c r="B988">
        <v>71</v>
      </c>
      <c r="C988" s="6">
        <v>21.5</v>
      </c>
      <c r="D988" s="6">
        <v>15</v>
      </c>
      <c r="E988" s="8">
        <v>0</v>
      </c>
    </row>
    <row r="989" spans="1:5" x14ac:dyDescent="0.2">
      <c r="A989">
        <v>10622</v>
      </c>
      <c r="B989">
        <v>2</v>
      </c>
      <c r="C989" s="6">
        <v>19</v>
      </c>
      <c r="D989" s="6">
        <v>20</v>
      </c>
      <c r="E989" s="8">
        <v>0</v>
      </c>
    </row>
    <row r="990" spans="1:5" x14ac:dyDescent="0.2">
      <c r="A990">
        <v>10622</v>
      </c>
      <c r="B990">
        <v>68</v>
      </c>
      <c r="C990" s="6">
        <v>12.5</v>
      </c>
      <c r="D990" s="6">
        <v>18</v>
      </c>
      <c r="E990" s="8">
        <v>0.2</v>
      </c>
    </row>
    <row r="991" spans="1:5" x14ac:dyDescent="0.2">
      <c r="A991">
        <v>10623</v>
      </c>
      <c r="B991">
        <v>14</v>
      </c>
      <c r="C991" s="6">
        <v>23.25</v>
      </c>
      <c r="D991" s="6">
        <v>21</v>
      </c>
      <c r="E991" s="8">
        <v>0</v>
      </c>
    </row>
    <row r="992" spans="1:5" x14ac:dyDescent="0.2">
      <c r="A992">
        <v>10623</v>
      </c>
      <c r="B992">
        <v>19</v>
      </c>
      <c r="C992" s="6">
        <v>9.1999999999999993</v>
      </c>
      <c r="D992" s="6">
        <v>15</v>
      </c>
      <c r="E992" s="8">
        <v>0.1</v>
      </c>
    </row>
    <row r="993" spans="1:5" x14ac:dyDescent="0.2">
      <c r="A993">
        <v>10623</v>
      </c>
      <c r="B993">
        <v>21</v>
      </c>
      <c r="C993" s="6">
        <v>10</v>
      </c>
      <c r="D993" s="6">
        <v>25</v>
      </c>
      <c r="E993" s="8">
        <v>0.1</v>
      </c>
    </row>
    <row r="994" spans="1:5" x14ac:dyDescent="0.2">
      <c r="A994">
        <v>10623</v>
      </c>
      <c r="B994">
        <v>24</v>
      </c>
      <c r="C994" s="6">
        <v>4.5</v>
      </c>
      <c r="D994" s="6">
        <v>3</v>
      </c>
      <c r="E994" s="8">
        <v>0</v>
      </c>
    </row>
    <row r="995" spans="1:5" x14ac:dyDescent="0.2">
      <c r="A995">
        <v>10623</v>
      </c>
      <c r="B995">
        <v>35</v>
      </c>
      <c r="C995" s="6">
        <v>18</v>
      </c>
      <c r="D995" s="6">
        <v>30</v>
      </c>
      <c r="E995" s="8">
        <v>0.1</v>
      </c>
    </row>
    <row r="996" spans="1:5" x14ac:dyDescent="0.2">
      <c r="A996">
        <v>10624</v>
      </c>
      <c r="B996">
        <v>28</v>
      </c>
      <c r="C996" s="6">
        <v>45.6</v>
      </c>
      <c r="D996" s="6">
        <v>10</v>
      </c>
      <c r="E996" s="8">
        <v>0</v>
      </c>
    </row>
    <row r="997" spans="1:5" x14ac:dyDescent="0.2">
      <c r="A997">
        <v>10624</v>
      </c>
      <c r="B997">
        <v>29</v>
      </c>
      <c r="C997" s="6">
        <v>123.79</v>
      </c>
      <c r="D997" s="6">
        <v>6</v>
      </c>
      <c r="E997" s="8">
        <v>0</v>
      </c>
    </row>
    <row r="998" spans="1:5" x14ac:dyDescent="0.2">
      <c r="A998">
        <v>10624</v>
      </c>
      <c r="B998">
        <v>44</v>
      </c>
      <c r="C998" s="6">
        <v>19.45</v>
      </c>
      <c r="D998" s="6">
        <v>10</v>
      </c>
      <c r="E998" s="8">
        <v>0</v>
      </c>
    </row>
    <row r="999" spans="1:5" x14ac:dyDescent="0.2">
      <c r="A999">
        <v>10625</v>
      </c>
      <c r="B999">
        <v>14</v>
      </c>
      <c r="C999" s="6">
        <v>23.25</v>
      </c>
      <c r="D999" s="6">
        <v>3</v>
      </c>
      <c r="E999" s="8">
        <v>0</v>
      </c>
    </row>
    <row r="1000" spans="1:5" x14ac:dyDescent="0.2">
      <c r="A1000">
        <v>10625</v>
      </c>
      <c r="B1000">
        <v>42</v>
      </c>
      <c r="C1000" s="6">
        <v>14</v>
      </c>
      <c r="D1000" s="6">
        <v>5</v>
      </c>
      <c r="E1000" s="8">
        <v>0</v>
      </c>
    </row>
    <row r="1001" spans="1:5" x14ac:dyDescent="0.2">
      <c r="A1001">
        <v>10625</v>
      </c>
      <c r="B1001">
        <v>60</v>
      </c>
      <c r="C1001" s="6">
        <v>34</v>
      </c>
      <c r="D1001" s="6">
        <v>10</v>
      </c>
      <c r="E1001" s="8">
        <v>0</v>
      </c>
    </row>
    <row r="1002" spans="1:5" x14ac:dyDescent="0.2">
      <c r="A1002">
        <v>10626</v>
      </c>
      <c r="B1002">
        <v>53</v>
      </c>
      <c r="C1002" s="6">
        <v>32.799999999999997</v>
      </c>
      <c r="D1002" s="6">
        <v>12</v>
      </c>
      <c r="E1002" s="8">
        <v>0</v>
      </c>
    </row>
    <row r="1003" spans="1:5" x14ac:dyDescent="0.2">
      <c r="A1003">
        <v>10626</v>
      </c>
      <c r="B1003">
        <v>60</v>
      </c>
      <c r="C1003" s="6">
        <v>34</v>
      </c>
      <c r="D1003" s="6">
        <v>20</v>
      </c>
      <c r="E1003" s="8">
        <v>0</v>
      </c>
    </row>
    <row r="1004" spans="1:5" x14ac:dyDescent="0.2">
      <c r="A1004">
        <v>10626</v>
      </c>
      <c r="B1004">
        <v>71</v>
      </c>
      <c r="C1004" s="6">
        <v>21.5</v>
      </c>
      <c r="D1004" s="6">
        <v>20</v>
      </c>
      <c r="E1004" s="8">
        <v>0</v>
      </c>
    </row>
    <row r="1005" spans="1:5" x14ac:dyDescent="0.2">
      <c r="A1005">
        <v>10627</v>
      </c>
      <c r="B1005">
        <v>62</v>
      </c>
      <c r="C1005" s="6">
        <v>49.3</v>
      </c>
      <c r="D1005" s="6">
        <v>15</v>
      </c>
      <c r="E1005" s="8">
        <v>0</v>
      </c>
    </row>
    <row r="1006" spans="1:5" x14ac:dyDescent="0.2">
      <c r="A1006">
        <v>10627</v>
      </c>
      <c r="B1006">
        <v>73</v>
      </c>
      <c r="C1006" s="6">
        <v>15</v>
      </c>
      <c r="D1006" s="6">
        <v>35</v>
      </c>
      <c r="E1006" s="8">
        <v>0.15</v>
      </c>
    </row>
    <row r="1007" spans="1:5" x14ac:dyDescent="0.2">
      <c r="A1007">
        <v>10628</v>
      </c>
      <c r="B1007">
        <v>1</v>
      </c>
      <c r="C1007" s="6">
        <v>18</v>
      </c>
      <c r="D1007" s="6">
        <v>25</v>
      </c>
      <c r="E1007" s="8">
        <v>0</v>
      </c>
    </row>
    <row r="1008" spans="1:5" x14ac:dyDescent="0.2">
      <c r="A1008">
        <v>10629</v>
      </c>
      <c r="B1008">
        <v>29</v>
      </c>
      <c r="C1008" s="6">
        <v>123.79</v>
      </c>
      <c r="D1008" s="6">
        <v>20</v>
      </c>
      <c r="E1008" s="8">
        <v>0</v>
      </c>
    </row>
    <row r="1009" spans="1:5" x14ac:dyDescent="0.2">
      <c r="A1009">
        <v>10629</v>
      </c>
      <c r="B1009">
        <v>64</v>
      </c>
      <c r="C1009" s="6">
        <v>33.25</v>
      </c>
      <c r="D1009" s="6">
        <v>9</v>
      </c>
      <c r="E1009" s="8">
        <v>0</v>
      </c>
    </row>
    <row r="1010" spans="1:5" x14ac:dyDescent="0.2">
      <c r="A1010">
        <v>10630</v>
      </c>
      <c r="B1010">
        <v>55</v>
      </c>
      <c r="C1010" s="6">
        <v>24</v>
      </c>
      <c r="D1010" s="6">
        <v>12</v>
      </c>
      <c r="E1010" s="8">
        <v>0.05</v>
      </c>
    </row>
    <row r="1011" spans="1:5" x14ac:dyDescent="0.2">
      <c r="A1011">
        <v>10630</v>
      </c>
      <c r="B1011">
        <v>76</v>
      </c>
      <c r="C1011" s="6">
        <v>18</v>
      </c>
      <c r="D1011" s="6">
        <v>35</v>
      </c>
      <c r="E1011" s="8">
        <v>0</v>
      </c>
    </row>
    <row r="1012" spans="1:5" x14ac:dyDescent="0.2">
      <c r="A1012">
        <v>10631</v>
      </c>
      <c r="B1012">
        <v>75</v>
      </c>
      <c r="C1012" s="6">
        <v>7.75</v>
      </c>
      <c r="D1012" s="6">
        <v>8</v>
      </c>
      <c r="E1012" s="8">
        <v>0.1</v>
      </c>
    </row>
    <row r="1013" spans="1:5" x14ac:dyDescent="0.2">
      <c r="A1013">
        <v>10632</v>
      </c>
      <c r="B1013">
        <v>2</v>
      </c>
      <c r="C1013" s="6">
        <v>19</v>
      </c>
      <c r="D1013" s="6">
        <v>30</v>
      </c>
      <c r="E1013" s="8">
        <v>0.05</v>
      </c>
    </row>
    <row r="1014" spans="1:5" x14ac:dyDescent="0.2">
      <c r="A1014">
        <v>10632</v>
      </c>
      <c r="B1014">
        <v>33</v>
      </c>
      <c r="C1014" s="6">
        <v>2.5</v>
      </c>
      <c r="D1014" s="6">
        <v>20</v>
      </c>
      <c r="E1014" s="8">
        <v>0.05</v>
      </c>
    </row>
    <row r="1015" spans="1:5" x14ac:dyDescent="0.2">
      <c r="A1015">
        <v>10633</v>
      </c>
      <c r="B1015">
        <v>12</v>
      </c>
      <c r="C1015" s="6">
        <v>38</v>
      </c>
      <c r="D1015" s="6">
        <v>36</v>
      </c>
      <c r="E1015" s="8">
        <v>0.15</v>
      </c>
    </row>
    <row r="1016" spans="1:5" x14ac:dyDescent="0.2">
      <c r="A1016">
        <v>10633</v>
      </c>
      <c r="B1016">
        <v>13</v>
      </c>
      <c r="C1016" s="6">
        <v>6</v>
      </c>
      <c r="D1016" s="6">
        <v>13</v>
      </c>
      <c r="E1016" s="8">
        <v>0.15</v>
      </c>
    </row>
    <row r="1017" spans="1:5" x14ac:dyDescent="0.2">
      <c r="A1017">
        <v>10633</v>
      </c>
      <c r="B1017">
        <v>26</v>
      </c>
      <c r="C1017" s="6">
        <v>31.23</v>
      </c>
      <c r="D1017" s="6">
        <v>35</v>
      </c>
      <c r="E1017" s="8">
        <v>0.15</v>
      </c>
    </row>
    <row r="1018" spans="1:5" x14ac:dyDescent="0.2">
      <c r="A1018">
        <v>10633</v>
      </c>
      <c r="B1018">
        <v>62</v>
      </c>
      <c r="C1018" s="6">
        <v>49.3</v>
      </c>
      <c r="D1018" s="6">
        <v>80</v>
      </c>
      <c r="E1018" s="8">
        <v>0.15</v>
      </c>
    </row>
    <row r="1019" spans="1:5" x14ac:dyDescent="0.2">
      <c r="A1019">
        <v>10634</v>
      </c>
      <c r="B1019">
        <v>7</v>
      </c>
      <c r="C1019" s="6">
        <v>30</v>
      </c>
      <c r="D1019" s="6">
        <v>35</v>
      </c>
      <c r="E1019" s="8">
        <v>0</v>
      </c>
    </row>
    <row r="1020" spans="1:5" x14ac:dyDescent="0.2">
      <c r="A1020">
        <v>10634</v>
      </c>
      <c r="B1020">
        <v>18</v>
      </c>
      <c r="C1020" s="6">
        <v>62.5</v>
      </c>
      <c r="D1020" s="6">
        <v>50</v>
      </c>
      <c r="E1020" s="8">
        <v>0</v>
      </c>
    </row>
    <row r="1021" spans="1:5" x14ac:dyDescent="0.2">
      <c r="A1021">
        <v>10634</v>
      </c>
      <c r="B1021">
        <v>51</v>
      </c>
      <c r="C1021" s="6">
        <v>53</v>
      </c>
      <c r="D1021" s="6">
        <v>15</v>
      </c>
      <c r="E1021" s="8">
        <v>0</v>
      </c>
    </row>
    <row r="1022" spans="1:5" x14ac:dyDescent="0.2">
      <c r="A1022">
        <v>10634</v>
      </c>
      <c r="B1022">
        <v>75</v>
      </c>
      <c r="C1022" s="6">
        <v>7.75</v>
      </c>
      <c r="D1022" s="6">
        <v>2</v>
      </c>
      <c r="E1022" s="8">
        <v>0</v>
      </c>
    </row>
    <row r="1023" spans="1:5" x14ac:dyDescent="0.2">
      <c r="A1023">
        <v>10635</v>
      </c>
      <c r="B1023">
        <v>4</v>
      </c>
      <c r="C1023" s="6">
        <v>22</v>
      </c>
      <c r="D1023" s="6">
        <v>10</v>
      </c>
      <c r="E1023" s="8">
        <v>0.1</v>
      </c>
    </row>
    <row r="1024" spans="1:5" x14ac:dyDescent="0.2">
      <c r="A1024">
        <v>10635</v>
      </c>
      <c r="B1024">
        <v>5</v>
      </c>
      <c r="C1024" s="6">
        <v>21.35</v>
      </c>
      <c r="D1024" s="6">
        <v>15</v>
      </c>
      <c r="E1024" s="8">
        <v>0.1</v>
      </c>
    </row>
    <row r="1025" spans="1:5" x14ac:dyDescent="0.2">
      <c r="A1025">
        <v>10635</v>
      </c>
      <c r="B1025">
        <v>22</v>
      </c>
      <c r="C1025" s="6">
        <v>21</v>
      </c>
      <c r="D1025" s="6">
        <v>40</v>
      </c>
      <c r="E1025" s="8">
        <v>0</v>
      </c>
    </row>
    <row r="1026" spans="1:5" x14ac:dyDescent="0.2">
      <c r="A1026">
        <v>10636</v>
      </c>
      <c r="B1026">
        <v>4</v>
      </c>
      <c r="C1026" s="6">
        <v>22</v>
      </c>
      <c r="D1026" s="6">
        <v>25</v>
      </c>
      <c r="E1026" s="8">
        <v>0</v>
      </c>
    </row>
    <row r="1027" spans="1:5" x14ac:dyDescent="0.2">
      <c r="A1027">
        <v>10636</v>
      </c>
      <c r="B1027">
        <v>58</v>
      </c>
      <c r="C1027" s="6">
        <v>13.25</v>
      </c>
      <c r="D1027" s="6">
        <v>6</v>
      </c>
      <c r="E1027" s="8">
        <v>0</v>
      </c>
    </row>
    <row r="1028" spans="1:5" x14ac:dyDescent="0.2">
      <c r="A1028">
        <v>10637</v>
      </c>
      <c r="B1028">
        <v>11</v>
      </c>
      <c r="C1028" s="6">
        <v>21</v>
      </c>
      <c r="D1028" s="6">
        <v>10</v>
      </c>
      <c r="E1028" s="8">
        <v>0</v>
      </c>
    </row>
    <row r="1029" spans="1:5" x14ac:dyDescent="0.2">
      <c r="A1029">
        <v>10637</v>
      </c>
      <c r="B1029">
        <v>50</v>
      </c>
      <c r="C1029" s="6">
        <v>16.25</v>
      </c>
      <c r="D1029" s="6">
        <v>25</v>
      </c>
      <c r="E1029" s="8">
        <v>0.05</v>
      </c>
    </row>
    <row r="1030" spans="1:5" x14ac:dyDescent="0.2">
      <c r="A1030">
        <v>10637</v>
      </c>
      <c r="B1030">
        <v>56</v>
      </c>
      <c r="C1030" s="6">
        <v>38</v>
      </c>
      <c r="D1030" s="6">
        <v>60</v>
      </c>
      <c r="E1030" s="8">
        <v>0.05</v>
      </c>
    </row>
    <row r="1031" spans="1:5" x14ac:dyDescent="0.2">
      <c r="A1031">
        <v>10638</v>
      </c>
      <c r="B1031">
        <v>45</v>
      </c>
      <c r="C1031" s="6">
        <v>9.5</v>
      </c>
      <c r="D1031" s="6">
        <v>20</v>
      </c>
      <c r="E1031" s="8">
        <v>0</v>
      </c>
    </row>
    <row r="1032" spans="1:5" x14ac:dyDescent="0.2">
      <c r="A1032">
        <v>10638</v>
      </c>
      <c r="B1032">
        <v>65</v>
      </c>
      <c r="C1032" s="6">
        <v>21.05</v>
      </c>
      <c r="D1032" s="6">
        <v>21</v>
      </c>
      <c r="E1032" s="8">
        <v>0</v>
      </c>
    </row>
    <row r="1033" spans="1:5" x14ac:dyDescent="0.2">
      <c r="A1033">
        <v>10638</v>
      </c>
      <c r="B1033">
        <v>72</v>
      </c>
      <c r="C1033" s="6">
        <v>34.799999999999997</v>
      </c>
      <c r="D1033" s="6">
        <v>60</v>
      </c>
      <c r="E1033" s="8">
        <v>0</v>
      </c>
    </row>
    <row r="1034" spans="1:5" x14ac:dyDescent="0.2">
      <c r="A1034">
        <v>10639</v>
      </c>
      <c r="B1034">
        <v>18</v>
      </c>
      <c r="C1034" s="6">
        <v>62.5</v>
      </c>
      <c r="D1034" s="6">
        <v>8</v>
      </c>
      <c r="E1034" s="8">
        <v>0</v>
      </c>
    </row>
    <row r="1035" spans="1:5" x14ac:dyDescent="0.2">
      <c r="A1035">
        <v>10640</v>
      </c>
      <c r="B1035">
        <v>69</v>
      </c>
      <c r="C1035" s="6">
        <v>36</v>
      </c>
      <c r="D1035" s="6">
        <v>20</v>
      </c>
      <c r="E1035" s="8">
        <v>0.25</v>
      </c>
    </row>
    <row r="1036" spans="1:5" x14ac:dyDescent="0.2">
      <c r="A1036">
        <v>10640</v>
      </c>
      <c r="B1036">
        <v>70</v>
      </c>
      <c r="C1036" s="6">
        <v>15</v>
      </c>
      <c r="D1036" s="6">
        <v>15</v>
      </c>
      <c r="E1036" s="8">
        <v>0.25</v>
      </c>
    </row>
    <row r="1037" spans="1:5" x14ac:dyDescent="0.2">
      <c r="A1037">
        <v>10641</v>
      </c>
      <c r="B1037">
        <v>2</v>
      </c>
      <c r="C1037" s="6">
        <v>19</v>
      </c>
      <c r="D1037" s="6">
        <v>50</v>
      </c>
      <c r="E1037" s="8">
        <v>0</v>
      </c>
    </row>
    <row r="1038" spans="1:5" x14ac:dyDescent="0.2">
      <c r="A1038">
        <v>10641</v>
      </c>
      <c r="B1038">
        <v>40</v>
      </c>
      <c r="C1038" s="6">
        <v>18.399999999999999</v>
      </c>
      <c r="D1038" s="6">
        <v>60</v>
      </c>
      <c r="E1038" s="8">
        <v>0</v>
      </c>
    </row>
    <row r="1039" spans="1:5" x14ac:dyDescent="0.2">
      <c r="A1039">
        <v>10642</v>
      </c>
      <c r="B1039">
        <v>21</v>
      </c>
      <c r="C1039" s="6">
        <v>10</v>
      </c>
      <c r="D1039" s="6">
        <v>30</v>
      </c>
      <c r="E1039" s="8">
        <v>0.2</v>
      </c>
    </row>
    <row r="1040" spans="1:5" x14ac:dyDescent="0.2">
      <c r="A1040">
        <v>10642</v>
      </c>
      <c r="B1040">
        <v>61</v>
      </c>
      <c r="C1040" s="6">
        <v>28.5</v>
      </c>
      <c r="D1040" s="6">
        <v>20</v>
      </c>
      <c r="E1040" s="8">
        <v>0.2</v>
      </c>
    </row>
    <row r="1041" spans="1:5" x14ac:dyDescent="0.2">
      <c r="A1041">
        <v>10643</v>
      </c>
      <c r="B1041">
        <v>28</v>
      </c>
      <c r="C1041" s="6">
        <v>45.6</v>
      </c>
      <c r="D1041" s="6">
        <v>15</v>
      </c>
      <c r="E1041" s="8">
        <v>0.25</v>
      </c>
    </row>
    <row r="1042" spans="1:5" x14ac:dyDescent="0.2">
      <c r="A1042">
        <v>10643</v>
      </c>
      <c r="B1042">
        <v>39</v>
      </c>
      <c r="C1042" s="6">
        <v>18</v>
      </c>
      <c r="D1042" s="6">
        <v>21</v>
      </c>
      <c r="E1042" s="8">
        <v>0.25</v>
      </c>
    </row>
    <row r="1043" spans="1:5" x14ac:dyDescent="0.2">
      <c r="A1043">
        <v>10643</v>
      </c>
      <c r="B1043">
        <v>46</v>
      </c>
      <c r="C1043" s="6">
        <v>12</v>
      </c>
      <c r="D1043" s="6">
        <v>2</v>
      </c>
      <c r="E1043" s="8">
        <v>0.25</v>
      </c>
    </row>
    <row r="1044" spans="1:5" x14ac:dyDescent="0.2">
      <c r="A1044">
        <v>10644</v>
      </c>
      <c r="B1044">
        <v>18</v>
      </c>
      <c r="C1044" s="6">
        <v>62.5</v>
      </c>
      <c r="D1044" s="6">
        <v>4</v>
      </c>
      <c r="E1044" s="8">
        <v>0.1</v>
      </c>
    </row>
    <row r="1045" spans="1:5" x14ac:dyDescent="0.2">
      <c r="A1045">
        <v>10644</v>
      </c>
      <c r="B1045">
        <v>43</v>
      </c>
      <c r="C1045" s="6">
        <v>46</v>
      </c>
      <c r="D1045" s="6">
        <v>20</v>
      </c>
      <c r="E1045" s="8">
        <v>0</v>
      </c>
    </row>
    <row r="1046" spans="1:5" x14ac:dyDescent="0.2">
      <c r="A1046">
        <v>10644</v>
      </c>
      <c r="B1046">
        <v>46</v>
      </c>
      <c r="C1046" s="6">
        <v>12</v>
      </c>
      <c r="D1046" s="6">
        <v>21</v>
      </c>
      <c r="E1046" s="8">
        <v>0.1</v>
      </c>
    </row>
    <row r="1047" spans="1:5" x14ac:dyDescent="0.2">
      <c r="A1047">
        <v>10645</v>
      </c>
      <c r="B1047">
        <v>18</v>
      </c>
      <c r="C1047" s="6">
        <v>62.5</v>
      </c>
      <c r="D1047" s="6">
        <v>20</v>
      </c>
      <c r="E1047" s="8">
        <v>0</v>
      </c>
    </row>
    <row r="1048" spans="1:5" x14ac:dyDescent="0.2">
      <c r="A1048">
        <v>10645</v>
      </c>
      <c r="B1048">
        <v>36</v>
      </c>
      <c r="C1048" s="6">
        <v>19</v>
      </c>
      <c r="D1048" s="6">
        <v>15</v>
      </c>
      <c r="E1048" s="8">
        <v>0</v>
      </c>
    </row>
    <row r="1049" spans="1:5" x14ac:dyDescent="0.2">
      <c r="A1049">
        <v>10646</v>
      </c>
      <c r="B1049">
        <v>1</v>
      </c>
      <c r="C1049" s="6">
        <v>18</v>
      </c>
      <c r="D1049" s="6">
        <v>15</v>
      </c>
      <c r="E1049" s="8">
        <v>0.25</v>
      </c>
    </row>
    <row r="1050" spans="1:5" x14ac:dyDescent="0.2">
      <c r="A1050">
        <v>10646</v>
      </c>
      <c r="B1050">
        <v>10</v>
      </c>
      <c r="C1050" s="6">
        <v>31</v>
      </c>
      <c r="D1050" s="6">
        <v>18</v>
      </c>
      <c r="E1050" s="8">
        <v>0.25</v>
      </c>
    </row>
    <row r="1051" spans="1:5" x14ac:dyDescent="0.2">
      <c r="A1051">
        <v>10646</v>
      </c>
      <c r="B1051">
        <v>71</v>
      </c>
      <c r="C1051" s="6">
        <v>21.5</v>
      </c>
      <c r="D1051" s="6">
        <v>30</v>
      </c>
      <c r="E1051" s="8">
        <v>0.25</v>
      </c>
    </row>
    <row r="1052" spans="1:5" x14ac:dyDescent="0.2">
      <c r="A1052">
        <v>10646</v>
      </c>
      <c r="B1052">
        <v>77</v>
      </c>
      <c r="C1052" s="6">
        <v>13</v>
      </c>
      <c r="D1052" s="6">
        <v>35</v>
      </c>
      <c r="E1052" s="8">
        <v>0.25</v>
      </c>
    </row>
    <row r="1053" spans="1:5" x14ac:dyDescent="0.2">
      <c r="A1053">
        <v>10647</v>
      </c>
      <c r="B1053">
        <v>19</v>
      </c>
      <c r="C1053" s="6">
        <v>9.1999999999999993</v>
      </c>
      <c r="D1053" s="6">
        <v>30</v>
      </c>
      <c r="E1053" s="8">
        <v>0</v>
      </c>
    </row>
    <row r="1054" spans="1:5" x14ac:dyDescent="0.2">
      <c r="A1054">
        <v>10647</v>
      </c>
      <c r="B1054">
        <v>39</v>
      </c>
      <c r="C1054" s="6">
        <v>18</v>
      </c>
      <c r="D1054" s="6">
        <v>20</v>
      </c>
      <c r="E1054" s="8">
        <v>0</v>
      </c>
    </row>
    <row r="1055" spans="1:5" x14ac:dyDescent="0.2">
      <c r="A1055">
        <v>10648</v>
      </c>
      <c r="B1055">
        <v>22</v>
      </c>
      <c r="C1055" s="6">
        <v>21</v>
      </c>
      <c r="D1055" s="6">
        <v>15</v>
      </c>
      <c r="E1055" s="8">
        <v>0</v>
      </c>
    </row>
    <row r="1056" spans="1:5" x14ac:dyDescent="0.2">
      <c r="A1056">
        <v>10648</v>
      </c>
      <c r="B1056">
        <v>24</v>
      </c>
      <c r="C1056" s="6">
        <v>4.5</v>
      </c>
      <c r="D1056" s="6">
        <v>15</v>
      </c>
      <c r="E1056" s="8">
        <v>0.15</v>
      </c>
    </row>
    <row r="1057" spans="1:5" x14ac:dyDescent="0.2">
      <c r="A1057">
        <v>10649</v>
      </c>
      <c r="B1057">
        <v>28</v>
      </c>
      <c r="C1057" s="6">
        <v>45.6</v>
      </c>
      <c r="D1057" s="6">
        <v>20</v>
      </c>
      <c r="E1057" s="8">
        <v>0</v>
      </c>
    </row>
    <row r="1058" spans="1:5" x14ac:dyDescent="0.2">
      <c r="A1058">
        <v>10649</v>
      </c>
      <c r="B1058">
        <v>72</v>
      </c>
      <c r="C1058" s="6">
        <v>34.799999999999997</v>
      </c>
      <c r="D1058" s="6">
        <v>15</v>
      </c>
      <c r="E1058" s="8">
        <v>0</v>
      </c>
    </row>
    <row r="1059" spans="1:5" x14ac:dyDescent="0.2">
      <c r="A1059">
        <v>10650</v>
      </c>
      <c r="B1059">
        <v>30</v>
      </c>
      <c r="C1059" s="6">
        <v>25.89</v>
      </c>
      <c r="D1059" s="6">
        <v>30</v>
      </c>
      <c r="E1059" s="8">
        <v>0</v>
      </c>
    </row>
    <row r="1060" spans="1:5" x14ac:dyDescent="0.2">
      <c r="A1060">
        <v>10650</v>
      </c>
      <c r="B1060">
        <v>53</v>
      </c>
      <c r="C1060" s="6">
        <v>32.799999999999997</v>
      </c>
      <c r="D1060" s="6">
        <v>25</v>
      </c>
      <c r="E1060" s="8">
        <v>0.05</v>
      </c>
    </row>
    <row r="1061" spans="1:5" x14ac:dyDescent="0.2">
      <c r="A1061">
        <v>10650</v>
      </c>
      <c r="B1061">
        <v>54</v>
      </c>
      <c r="C1061" s="6">
        <v>7.45</v>
      </c>
      <c r="D1061" s="6">
        <v>30</v>
      </c>
      <c r="E1061" s="8">
        <v>0</v>
      </c>
    </row>
    <row r="1062" spans="1:5" x14ac:dyDescent="0.2">
      <c r="A1062">
        <v>10651</v>
      </c>
      <c r="B1062">
        <v>19</v>
      </c>
      <c r="C1062" s="6">
        <v>9.1999999999999993</v>
      </c>
      <c r="D1062" s="6">
        <v>12</v>
      </c>
      <c r="E1062" s="8">
        <v>0.25</v>
      </c>
    </row>
    <row r="1063" spans="1:5" x14ac:dyDescent="0.2">
      <c r="A1063">
        <v>10651</v>
      </c>
      <c r="B1063">
        <v>22</v>
      </c>
      <c r="C1063" s="6">
        <v>21</v>
      </c>
      <c r="D1063" s="6">
        <v>20</v>
      </c>
      <c r="E1063" s="8">
        <v>0.25</v>
      </c>
    </row>
    <row r="1064" spans="1:5" x14ac:dyDescent="0.2">
      <c r="A1064">
        <v>10652</v>
      </c>
      <c r="B1064">
        <v>30</v>
      </c>
      <c r="C1064" s="6">
        <v>25.89</v>
      </c>
      <c r="D1064" s="6">
        <v>2</v>
      </c>
      <c r="E1064" s="8">
        <v>0.25</v>
      </c>
    </row>
    <row r="1065" spans="1:5" x14ac:dyDescent="0.2">
      <c r="A1065">
        <v>10652</v>
      </c>
      <c r="B1065">
        <v>42</v>
      </c>
      <c r="C1065" s="6">
        <v>14</v>
      </c>
      <c r="D1065" s="6">
        <v>20</v>
      </c>
      <c r="E1065" s="8">
        <v>0</v>
      </c>
    </row>
    <row r="1066" spans="1:5" x14ac:dyDescent="0.2">
      <c r="A1066">
        <v>10653</v>
      </c>
      <c r="B1066">
        <v>16</v>
      </c>
      <c r="C1066" s="6">
        <v>17.45</v>
      </c>
      <c r="D1066" s="6">
        <v>30</v>
      </c>
      <c r="E1066" s="8">
        <v>0.1</v>
      </c>
    </row>
    <row r="1067" spans="1:5" x14ac:dyDescent="0.2">
      <c r="A1067">
        <v>10653</v>
      </c>
      <c r="B1067">
        <v>60</v>
      </c>
      <c r="C1067" s="6">
        <v>34</v>
      </c>
      <c r="D1067" s="6">
        <v>20</v>
      </c>
      <c r="E1067" s="8">
        <v>0.1</v>
      </c>
    </row>
    <row r="1068" spans="1:5" x14ac:dyDescent="0.2">
      <c r="A1068">
        <v>10654</v>
      </c>
      <c r="B1068">
        <v>4</v>
      </c>
      <c r="C1068" s="6">
        <v>22</v>
      </c>
      <c r="D1068" s="6">
        <v>12</v>
      </c>
      <c r="E1068" s="8">
        <v>0.1</v>
      </c>
    </row>
    <row r="1069" spans="1:5" x14ac:dyDescent="0.2">
      <c r="A1069">
        <v>10654</v>
      </c>
      <c r="B1069">
        <v>39</v>
      </c>
      <c r="C1069" s="6">
        <v>18</v>
      </c>
      <c r="D1069" s="6">
        <v>20</v>
      </c>
      <c r="E1069" s="8">
        <v>0.1</v>
      </c>
    </row>
    <row r="1070" spans="1:5" x14ac:dyDescent="0.2">
      <c r="A1070">
        <v>10654</v>
      </c>
      <c r="B1070">
        <v>54</v>
      </c>
      <c r="C1070" s="6">
        <v>7.45</v>
      </c>
      <c r="D1070" s="6">
        <v>6</v>
      </c>
      <c r="E1070" s="8">
        <v>0.1</v>
      </c>
    </row>
    <row r="1071" spans="1:5" x14ac:dyDescent="0.2">
      <c r="A1071">
        <v>10655</v>
      </c>
      <c r="B1071">
        <v>41</v>
      </c>
      <c r="C1071" s="6">
        <v>9.65</v>
      </c>
      <c r="D1071" s="6">
        <v>20</v>
      </c>
      <c r="E1071" s="8">
        <v>0.2</v>
      </c>
    </row>
    <row r="1072" spans="1:5" x14ac:dyDescent="0.2">
      <c r="A1072">
        <v>10656</v>
      </c>
      <c r="B1072">
        <v>14</v>
      </c>
      <c r="C1072" s="6">
        <v>23.25</v>
      </c>
      <c r="D1072" s="6">
        <v>3</v>
      </c>
      <c r="E1072" s="8">
        <v>0.1</v>
      </c>
    </row>
    <row r="1073" spans="1:5" x14ac:dyDescent="0.2">
      <c r="A1073">
        <v>10656</v>
      </c>
      <c r="B1073">
        <v>44</v>
      </c>
      <c r="C1073" s="6">
        <v>19.45</v>
      </c>
      <c r="D1073" s="6">
        <v>28</v>
      </c>
      <c r="E1073" s="8">
        <v>0.1</v>
      </c>
    </row>
    <row r="1074" spans="1:5" x14ac:dyDescent="0.2">
      <c r="A1074">
        <v>10656</v>
      </c>
      <c r="B1074">
        <v>47</v>
      </c>
      <c r="C1074" s="6">
        <v>9.5</v>
      </c>
      <c r="D1074" s="6">
        <v>6</v>
      </c>
      <c r="E1074" s="8">
        <v>0.1</v>
      </c>
    </row>
    <row r="1075" spans="1:5" x14ac:dyDescent="0.2">
      <c r="A1075">
        <v>10657</v>
      </c>
      <c r="B1075">
        <v>15</v>
      </c>
      <c r="C1075" s="6">
        <v>15.5</v>
      </c>
      <c r="D1075" s="6">
        <v>50</v>
      </c>
      <c r="E1075" s="8">
        <v>0</v>
      </c>
    </row>
    <row r="1076" spans="1:5" x14ac:dyDescent="0.2">
      <c r="A1076">
        <v>10657</v>
      </c>
      <c r="B1076">
        <v>41</v>
      </c>
      <c r="C1076" s="6">
        <v>9.65</v>
      </c>
      <c r="D1076" s="6">
        <v>24</v>
      </c>
      <c r="E1076" s="8">
        <v>0</v>
      </c>
    </row>
    <row r="1077" spans="1:5" x14ac:dyDescent="0.2">
      <c r="A1077">
        <v>10657</v>
      </c>
      <c r="B1077">
        <v>46</v>
      </c>
      <c r="C1077" s="6">
        <v>12</v>
      </c>
      <c r="D1077" s="6">
        <v>45</v>
      </c>
      <c r="E1077" s="8">
        <v>0</v>
      </c>
    </row>
    <row r="1078" spans="1:5" x14ac:dyDescent="0.2">
      <c r="A1078">
        <v>10657</v>
      </c>
      <c r="B1078">
        <v>47</v>
      </c>
      <c r="C1078" s="6">
        <v>9.5</v>
      </c>
      <c r="D1078" s="6">
        <v>10</v>
      </c>
      <c r="E1078" s="8">
        <v>0</v>
      </c>
    </row>
    <row r="1079" spans="1:5" x14ac:dyDescent="0.2">
      <c r="A1079">
        <v>10657</v>
      </c>
      <c r="B1079">
        <v>56</v>
      </c>
      <c r="C1079" s="6">
        <v>38</v>
      </c>
      <c r="D1079" s="6">
        <v>45</v>
      </c>
      <c r="E1079" s="8">
        <v>0</v>
      </c>
    </row>
    <row r="1080" spans="1:5" x14ac:dyDescent="0.2">
      <c r="A1080">
        <v>10657</v>
      </c>
      <c r="B1080">
        <v>60</v>
      </c>
      <c r="C1080" s="6">
        <v>34</v>
      </c>
      <c r="D1080" s="6">
        <v>30</v>
      </c>
      <c r="E1080" s="8">
        <v>0</v>
      </c>
    </row>
    <row r="1081" spans="1:5" x14ac:dyDescent="0.2">
      <c r="A1081">
        <v>10658</v>
      </c>
      <c r="B1081">
        <v>21</v>
      </c>
      <c r="C1081" s="6">
        <v>10</v>
      </c>
      <c r="D1081" s="6">
        <v>60</v>
      </c>
      <c r="E1081" s="8">
        <v>0</v>
      </c>
    </row>
    <row r="1082" spans="1:5" x14ac:dyDescent="0.2">
      <c r="A1082">
        <v>10658</v>
      </c>
      <c r="B1082">
        <v>40</v>
      </c>
      <c r="C1082" s="6">
        <v>18.399999999999999</v>
      </c>
      <c r="D1082" s="6">
        <v>70</v>
      </c>
      <c r="E1082" s="8">
        <v>0.05</v>
      </c>
    </row>
    <row r="1083" spans="1:5" x14ac:dyDescent="0.2">
      <c r="A1083">
        <v>10658</v>
      </c>
      <c r="B1083">
        <v>60</v>
      </c>
      <c r="C1083" s="6">
        <v>34</v>
      </c>
      <c r="D1083" s="6">
        <v>55</v>
      </c>
      <c r="E1083" s="8">
        <v>0.05</v>
      </c>
    </row>
    <row r="1084" spans="1:5" x14ac:dyDescent="0.2">
      <c r="A1084">
        <v>10658</v>
      </c>
      <c r="B1084">
        <v>77</v>
      </c>
      <c r="C1084" s="6">
        <v>13</v>
      </c>
      <c r="D1084" s="6">
        <v>70</v>
      </c>
      <c r="E1084" s="8">
        <v>0.05</v>
      </c>
    </row>
    <row r="1085" spans="1:5" x14ac:dyDescent="0.2">
      <c r="A1085">
        <v>10659</v>
      </c>
      <c r="B1085">
        <v>31</v>
      </c>
      <c r="C1085" s="6">
        <v>12.5</v>
      </c>
      <c r="D1085" s="6">
        <v>20</v>
      </c>
      <c r="E1085" s="8">
        <v>0.05</v>
      </c>
    </row>
    <row r="1086" spans="1:5" x14ac:dyDescent="0.2">
      <c r="A1086">
        <v>10659</v>
      </c>
      <c r="B1086">
        <v>40</v>
      </c>
      <c r="C1086" s="6">
        <v>18.399999999999999</v>
      </c>
      <c r="D1086" s="6">
        <v>24</v>
      </c>
      <c r="E1086" s="8">
        <v>0.05</v>
      </c>
    </row>
    <row r="1087" spans="1:5" x14ac:dyDescent="0.2">
      <c r="A1087">
        <v>10659</v>
      </c>
      <c r="B1087">
        <v>70</v>
      </c>
      <c r="C1087" s="6">
        <v>15</v>
      </c>
      <c r="D1087" s="6">
        <v>40</v>
      </c>
      <c r="E1087" s="8">
        <v>0.05</v>
      </c>
    </row>
    <row r="1088" spans="1:5" x14ac:dyDescent="0.2">
      <c r="A1088">
        <v>10660</v>
      </c>
      <c r="B1088">
        <v>20</v>
      </c>
      <c r="C1088" s="6">
        <v>81</v>
      </c>
      <c r="D1088" s="6">
        <v>21</v>
      </c>
      <c r="E1088" s="8">
        <v>0</v>
      </c>
    </row>
    <row r="1089" spans="1:5" x14ac:dyDescent="0.2">
      <c r="A1089">
        <v>10661</v>
      </c>
      <c r="B1089">
        <v>39</v>
      </c>
      <c r="C1089" s="6">
        <v>18</v>
      </c>
      <c r="D1089" s="6">
        <v>3</v>
      </c>
      <c r="E1089" s="8">
        <v>0.2</v>
      </c>
    </row>
    <row r="1090" spans="1:5" x14ac:dyDescent="0.2">
      <c r="A1090">
        <v>10661</v>
      </c>
      <c r="B1090">
        <v>58</v>
      </c>
      <c r="C1090" s="6">
        <v>13.25</v>
      </c>
      <c r="D1090" s="6">
        <v>49</v>
      </c>
      <c r="E1090" s="8">
        <v>0.2</v>
      </c>
    </row>
    <row r="1091" spans="1:5" x14ac:dyDescent="0.2">
      <c r="A1091">
        <v>10662</v>
      </c>
      <c r="B1091">
        <v>68</v>
      </c>
      <c r="C1091" s="6">
        <v>12.5</v>
      </c>
      <c r="D1091" s="6">
        <v>10</v>
      </c>
      <c r="E1091" s="8">
        <v>0</v>
      </c>
    </row>
    <row r="1092" spans="1:5" x14ac:dyDescent="0.2">
      <c r="A1092">
        <v>10663</v>
      </c>
      <c r="B1092">
        <v>40</v>
      </c>
      <c r="C1092" s="6">
        <v>18.399999999999999</v>
      </c>
      <c r="D1092" s="6">
        <v>30</v>
      </c>
      <c r="E1092" s="8">
        <v>0.05</v>
      </c>
    </row>
    <row r="1093" spans="1:5" x14ac:dyDescent="0.2">
      <c r="A1093">
        <v>10663</v>
      </c>
      <c r="B1093">
        <v>42</v>
      </c>
      <c r="C1093" s="6">
        <v>14</v>
      </c>
      <c r="D1093" s="6">
        <v>30</v>
      </c>
      <c r="E1093" s="8">
        <v>0.05</v>
      </c>
    </row>
    <row r="1094" spans="1:5" x14ac:dyDescent="0.2">
      <c r="A1094">
        <v>10663</v>
      </c>
      <c r="B1094">
        <v>51</v>
      </c>
      <c r="C1094" s="6">
        <v>53</v>
      </c>
      <c r="D1094" s="6">
        <v>20</v>
      </c>
      <c r="E1094" s="8">
        <v>0.05</v>
      </c>
    </row>
    <row r="1095" spans="1:5" x14ac:dyDescent="0.2">
      <c r="A1095">
        <v>10664</v>
      </c>
      <c r="B1095">
        <v>10</v>
      </c>
      <c r="C1095" s="6">
        <v>31</v>
      </c>
      <c r="D1095" s="6">
        <v>24</v>
      </c>
      <c r="E1095" s="8">
        <v>0.15</v>
      </c>
    </row>
    <row r="1096" spans="1:5" x14ac:dyDescent="0.2">
      <c r="A1096">
        <v>10664</v>
      </c>
      <c r="B1096">
        <v>56</v>
      </c>
      <c r="C1096" s="6">
        <v>38</v>
      </c>
      <c r="D1096" s="6">
        <v>12</v>
      </c>
      <c r="E1096" s="8">
        <v>0.15</v>
      </c>
    </row>
    <row r="1097" spans="1:5" x14ac:dyDescent="0.2">
      <c r="A1097">
        <v>10664</v>
      </c>
      <c r="B1097">
        <v>65</v>
      </c>
      <c r="C1097" s="6">
        <v>21.05</v>
      </c>
      <c r="D1097" s="6">
        <v>15</v>
      </c>
      <c r="E1097" s="8">
        <v>0.15</v>
      </c>
    </row>
    <row r="1098" spans="1:5" x14ac:dyDescent="0.2">
      <c r="A1098">
        <v>10665</v>
      </c>
      <c r="B1098">
        <v>51</v>
      </c>
      <c r="C1098" s="6">
        <v>53</v>
      </c>
      <c r="D1098" s="6">
        <v>20</v>
      </c>
      <c r="E1098" s="8">
        <v>0</v>
      </c>
    </row>
    <row r="1099" spans="1:5" x14ac:dyDescent="0.2">
      <c r="A1099">
        <v>10665</v>
      </c>
      <c r="B1099">
        <v>59</v>
      </c>
      <c r="C1099" s="6">
        <v>55</v>
      </c>
      <c r="D1099" s="6">
        <v>1</v>
      </c>
      <c r="E1099" s="8">
        <v>0</v>
      </c>
    </row>
    <row r="1100" spans="1:5" x14ac:dyDescent="0.2">
      <c r="A1100">
        <v>10665</v>
      </c>
      <c r="B1100">
        <v>76</v>
      </c>
      <c r="C1100" s="6">
        <v>18</v>
      </c>
      <c r="D1100" s="6">
        <v>10</v>
      </c>
      <c r="E1100" s="8">
        <v>0</v>
      </c>
    </row>
    <row r="1101" spans="1:5" x14ac:dyDescent="0.2">
      <c r="A1101">
        <v>10666</v>
      </c>
      <c r="B1101">
        <v>29</v>
      </c>
      <c r="C1101" s="6">
        <v>123.79</v>
      </c>
      <c r="D1101" s="6">
        <v>36</v>
      </c>
      <c r="E1101" s="8">
        <v>0</v>
      </c>
    </row>
    <row r="1102" spans="1:5" x14ac:dyDescent="0.2">
      <c r="A1102">
        <v>10666</v>
      </c>
      <c r="B1102">
        <v>65</v>
      </c>
      <c r="C1102" s="6">
        <v>21.05</v>
      </c>
      <c r="D1102" s="6">
        <v>10</v>
      </c>
      <c r="E1102" s="8">
        <v>0</v>
      </c>
    </row>
    <row r="1103" spans="1:5" x14ac:dyDescent="0.2">
      <c r="A1103">
        <v>10667</v>
      </c>
      <c r="B1103">
        <v>69</v>
      </c>
      <c r="C1103" s="6">
        <v>36</v>
      </c>
      <c r="D1103" s="6">
        <v>45</v>
      </c>
      <c r="E1103" s="8">
        <v>0.2</v>
      </c>
    </row>
    <row r="1104" spans="1:5" x14ac:dyDescent="0.2">
      <c r="A1104">
        <v>10667</v>
      </c>
      <c r="B1104">
        <v>71</v>
      </c>
      <c r="C1104" s="6">
        <v>21.5</v>
      </c>
      <c r="D1104" s="6">
        <v>14</v>
      </c>
      <c r="E1104" s="8">
        <v>0.2</v>
      </c>
    </row>
    <row r="1105" spans="1:5" x14ac:dyDescent="0.2">
      <c r="A1105">
        <v>10668</v>
      </c>
      <c r="B1105">
        <v>31</v>
      </c>
      <c r="C1105" s="6">
        <v>12.5</v>
      </c>
      <c r="D1105" s="6">
        <v>8</v>
      </c>
      <c r="E1105" s="8">
        <v>0.1</v>
      </c>
    </row>
    <row r="1106" spans="1:5" x14ac:dyDescent="0.2">
      <c r="A1106">
        <v>10668</v>
      </c>
      <c r="B1106">
        <v>55</v>
      </c>
      <c r="C1106" s="6">
        <v>24</v>
      </c>
      <c r="D1106" s="6">
        <v>4</v>
      </c>
      <c r="E1106" s="8">
        <v>0.1</v>
      </c>
    </row>
    <row r="1107" spans="1:5" x14ac:dyDescent="0.2">
      <c r="A1107">
        <v>10668</v>
      </c>
      <c r="B1107">
        <v>64</v>
      </c>
      <c r="C1107" s="6">
        <v>33.25</v>
      </c>
      <c r="D1107" s="6">
        <v>15</v>
      </c>
      <c r="E1107" s="8">
        <v>0.1</v>
      </c>
    </row>
    <row r="1108" spans="1:5" x14ac:dyDescent="0.2">
      <c r="A1108">
        <v>10669</v>
      </c>
      <c r="B1108">
        <v>36</v>
      </c>
      <c r="C1108" s="6">
        <v>19</v>
      </c>
      <c r="D1108" s="6">
        <v>30</v>
      </c>
      <c r="E1108" s="8">
        <v>0</v>
      </c>
    </row>
    <row r="1109" spans="1:5" x14ac:dyDescent="0.2">
      <c r="A1109">
        <v>10670</v>
      </c>
      <c r="B1109">
        <v>23</v>
      </c>
      <c r="C1109" s="6">
        <v>9</v>
      </c>
      <c r="D1109" s="6">
        <v>32</v>
      </c>
      <c r="E1109" s="8">
        <v>0</v>
      </c>
    </row>
    <row r="1110" spans="1:5" x14ac:dyDescent="0.2">
      <c r="A1110">
        <v>10670</v>
      </c>
      <c r="B1110">
        <v>46</v>
      </c>
      <c r="C1110" s="6">
        <v>12</v>
      </c>
      <c r="D1110" s="6">
        <v>60</v>
      </c>
      <c r="E1110" s="8">
        <v>0</v>
      </c>
    </row>
    <row r="1111" spans="1:5" x14ac:dyDescent="0.2">
      <c r="A1111">
        <v>10670</v>
      </c>
      <c r="B1111">
        <v>67</v>
      </c>
      <c r="C1111" s="6">
        <v>14</v>
      </c>
      <c r="D1111" s="6">
        <v>25</v>
      </c>
      <c r="E1111" s="8">
        <v>0</v>
      </c>
    </row>
    <row r="1112" spans="1:5" x14ac:dyDescent="0.2">
      <c r="A1112">
        <v>10670</v>
      </c>
      <c r="B1112">
        <v>73</v>
      </c>
      <c r="C1112" s="6">
        <v>15</v>
      </c>
      <c r="D1112" s="6">
        <v>50</v>
      </c>
      <c r="E1112" s="8">
        <v>0</v>
      </c>
    </row>
    <row r="1113" spans="1:5" x14ac:dyDescent="0.2">
      <c r="A1113">
        <v>10670</v>
      </c>
      <c r="B1113">
        <v>75</v>
      </c>
      <c r="C1113" s="6">
        <v>7.75</v>
      </c>
      <c r="D1113" s="6">
        <v>25</v>
      </c>
      <c r="E1113" s="8">
        <v>0</v>
      </c>
    </row>
    <row r="1114" spans="1:5" x14ac:dyDescent="0.2">
      <c r="A1114">
        <v>10671</v>
      </c>
      <c r="B1114">
        <v>16</v>
      </c>
      <c r="C1114" s="6">
        <v>17.45</v>
      </c>
      <c r="D1114" s="6">
        <v>10</v>
      </c>
      <c r="E1114" s="8">
        <v>0</v>
      </c>
    </row>
    <row r="1115" spans="1:5" x14ac:dyDescent="0.2">
      <c r="A1115">
        <v>10671</v>
      </c>
      <c r="B1115">
        <v>62</v>
      </c>
      <c r="C1115" s="6">
        <v>49.3</v>
      </c>
      <c r="D1115" s="6">
        <v>10</v>
      </c>
      <c r="E1115" s="8">
        <v>0</v>
      </c>
    </row>
    <row r="1116" spans="1:5" x14ac:dyDescent="0.2">
      <c r="A1116">
        <v>10671</v>
      </c>
      <c r="B1116">
        <v>65</v>
      </c>
      <c r="C1116" s="6">
        <v>21.05</v>
      </c>
      <c r="D1116" s="6">
        <v>12</v>
      </c>
      <c r="E1116" s="8">
        <v>0</v>
      </c>
    </row>
    <row r="1117" spans="1:5" x14ac:dyDescent="0.2">
      <c r="A1117">
        <v>10672</v>
      </c>
      <c r="B1117">
        <v>38</v>
      </c>
      <c r="C1117" s="6">
        <v>263.5</v>
      </c>
      <c r="D1117" s="6">
        <v>15</v>
      </c>
      <c r="E1117" s="8">
        <v>0.1</v>
      </c>
    </row>
    <row r="1118" spans="1:5" x14ac:dyDescent="0.2">
      <c r="A1118">
        <v>10672</v>
      </c>
      <c r="B1118">
        <v>71</v>
      </c>
      <c r="C1118" s="6">
        <v>21.5</v>
      </c>
      <c r="D1118" s="6">
        <v>12</v>
      </c>
      <c r="E1118" s="8">
        <v>0</v>
      </c>
    </row>
    <row r="1119" spans="1:5" x14ac:dyDescent="0.2">
      <c r="A1119">
        <v>10673</v>
      </c>
      <c r="B1119">
        <v>16</v>
      </c>
      <c r="C1119" s="6">
        <v>17.45</v>
      </c>
      <c r="D1119" s="6">
        <v>3</v>
      </c>
      <c r="E1119" s="8">
        <v>0</v>
      </c>
    </row>
    <row r="1120" spans="1:5" x14ac:dyDescent="0.2">
      <c r="A1120">
        <v>10673</v>
      </c>
      <c r="B1120">
        <v>42</v>
      </c>
      <c r="C1120" s="6">
        <v>14</v>
      </c>
      <c r="D1120" s="6">
        <v>6</v>
      </c>
      <c r="E1120" s="8">
        <v>0</v>
      </c>
    </row>
    <row r="1121" spans="1:5" x14ac:dyDescent="0.2">
      <c r="A1121">
        <v>10673</v>
      </c>
      <c r="B1121">
        <v>43</v>
      </c>
      <c r="C1121" s="6">
        <v>46</v>
      </c>
      <c r="D1121" s="6">
        <v>6</v>
      </c>
      <c r="E1121" s="8">
        <v>0</v>
      </c>
    </row>
    <row r="1122" spans="1:5" x14ac:dyDescent="0.2">
      <c r="A1122">
        <v>10674</v>
      </c>
      <c r="B1122">
        <v>23</v>
      </c>
      <c r="C1122" s="6">
        <v>9</v>
      </c>
      <c r="D1122" s="6">
        <v>5</v>
      </c>
      <c r="E1122" s="8">
        <v>0</v>
      </c>
    </row>
    <row r="1123" spans="1:5" x14ac:dyDescent="0.2">
      <c r="A1123">
        <v>10675</v>
      </c>
      <c r="B1123">
        <v>14</v>
      </c>
      <c r="C1123" s="6">
        <v>23.25</v>
      </c>
      <c r="D1123" s="6">
        <v>30</v>
      </c>
      <c r="E1123" s="8">
        <v>0</v>
      </c>
    </row>
    <row r="1124" spans="1:5" x14ac:dyDescent="0.2">
      <c r="A1124">
        <v>10675</v>
      </c>
      <c r="B1124">
        <v>53</v>
      </c>
      <c r="C1124" s="6">
        <v>32.799999999999997</v>
      </c>
      <c r="D1124" s="6">
        <v>10</v>
      </c>
      <c r="E1124" s="8">
        <v>0</v>
      </c>
    </row>
    <row r="1125" spans="1:5" x14ac:dyDescent="0.2">
      <c r="A1125">
        <v>10675</v>
      </c>
      <c r="B1125">
        <v>58</v>
      </c>
      <c r="C1125" s="6">
        <v>13.25</v>
      </c>
      <c r="D1125" s="6">
        <v>30</v>
      </c>
      <c r="E1125" s="8">
        <v>0</v>
      </c>
    </row>
    <row r="1126" spans="1:5" x14ac:dyDescent="0.2">
      <c r="A1126">
        <v>10676</v>
      </c>
      <c r="B1126">
        <v>10</v>
      </c>
      <c r="C1126" s="6">
        <v>31</v>
      </c>
      <c r="D1126" s="6">
        <v>2</v>
      </c>
      <c r="E1126" s="8">
        <v>0</v>
      </c>
    </row>
    <row r="1127" spans="1:5" x14ac:dyDescent="0.2">
      <c r="A1127">
        <v>10676</v>
      </c>
      <c r="B1127">
        <v>19</v>
      </c>
      <c r="C1127" s="6">
        <v>9.1999999999999993</v>
      </c>
      <c r="D1127" s="6">
        <v>7</v>
      </c>
      <c r="E1127" s="8">
        <v>0</v>
      </c>
    </row>
    <row r="1128" spans="1:5" x14ac:dyDescent="0.2">
      <c r="A1128">
        <v>10676</v>
      </c>
      <c r="B1128">
        <v>44</v>
      </c>
      <c r="C1128" s="6">
        <v>19.45</v>
      </c>
      <c r="D1128" s="6">
        <v>21</v>
      </c>
      <c r="E1128" s="8">
        <v>0</v>
      </c>
    </row>
    <row r="1129" spans="1:5" x14ac:dyDescent="0.2">
      <c r="A1129">
        <v>10677</v>
      </c>
      <c r="B1129">
        <v>26</v>
      </c>
      <c r="C1129" s="6">
        <v>31.23</v>
      </c>
      <c r="D1129" s="6">
        <v>30</v>
      </c>
      <c r="E1129" s="8">
        <v>0.15</v>
      </c>
    </row>
    <row r="1130" spans="1:5" x14ac:dyDescent="0.2">
      <c r="A1130">
        <v>10677</v>
      </c>
      <c r="B1130">
        <v>33</v>
      </c>
      <c r="C1130" s="6">
        <v>2.5</v>
      </c>
      <c r="D1130" s="6">
        <v>8</v>
      </c>
      <c r="E1130" s="8">
        <v>0.15</v>
      </c>
    </row>
    <row r="1131" spans="1:5" x14ac:dyDescent="0.2">
      <c r="A1131">
        <v>10678</v>
      </c>
      <c r="B1131">
        <v>12</v>
      </c>
      <c r="C1131" s="6">
        <v>38</v>
      </c>
      <c r="D1131" s="6">
        <v>100</v>
      </c>
      <c r="E1131" s="8">
        <v>0</v>
      </c>
    </row>
    <row r="1132" spans="1:5" x14ac:dyDescent="0.2">
      <c r="A1132">
        <v>10678</v>
      </c>
      <c r="B1132">
        <v>33</v>
      </c>
      <c r="C1132" s="6">
        <v>2.5</v>
      </c>
      <c r="D1132" s="6">
        <v>30</v>
      </c>
      <c r="E1132" s="8">
        <v>0</v>
      </c>
    </row>
    <row r="1133" spans="1:5" x14ac:dyDescent="0.2">
      <c r="A1133">
        <v>10678</v>
      </c>
      <c r="B1133">
        <v>41</v>
      </c>
      <c r="C1133" s="6">
        <v>9.65</v>
      </c>
      <c r="D1133" s="6">
        <v>120</v>
      </c>
      <c r="E1133" s="8">
        <v>0</v>
      </c>
    </row>
    <row r="1134" spans="1:5" x14ac:dyDescent="0.2">
      <c r="A1134">
        <v>10678</v>
      </c>
      <c r="B1134">
        <v>54</v>
      </c>
      <c r="C1134" s="6">
        <v>7.45</v>
      </c>
      <c r="D1134" s="6">
        <v>30</v>
      </c>
      <c r="E1134" s="8">
        <v>0</v>
      </c>
    </row>
    <row r="1135" spans="1:5" x14ac:dyDescent="0.2">
      <c r="A1135">
        <v>10679</v>
      </c>
      <c r="B1135">
        <v>59</v>
      </c>
      <c r="C1135" s="6">
        <v>55</v>
      </c>
      <c r="D1135" s="6">
        <v>12</v>
      </c>
      <c r="E1135" s="8">
        <v>0</v>
      </c>
    </row>
    <row r="1136" spans="1:5" x14ac:dyDescent="0.2">
      <c r="A1136">
        <v>10680</v>
      </c>
      <c r="B1136">
        <v>16</v>
      </c>
      <c r="C1136" s="6">
        <v>17.45</v>
      </c>
      <c r="D1136" s="6">
        <v>50</v>
      </c>
      <c r="E1136" s="8">
        <v>0.25</v>
      </c>
    </row>
    <row r="1137" spans="1:5" x14ac:dyDescent="0.2">
      <c r="A1137">
        <v>10680</v>
      </c>
      <c r="B1137">
        <v>31</v>
      </c>
      <c r="C1137" s="6">
        <v>12.5</v>
      </c>
      <c r="D1137" s="6">
        <v>20</v>
      </c>
      <c r="E1137" s="8">
        <v>0.25</v>
      </c>
    </row>
    <row r="1138" spans="1:5" x14ac:dyDescent="0.2">
      <c r="A1138">
        <v>10680</v>
      </c>
      <c r="B1138">
        <v>42</v>
      </c>
      <c r="C1138" s="6">
        <v>14</v>
      </c>
      <c r="D1138" s="6">
        <v>40</v>
      </c>
      <c r="E1138" s="8">
        <v>0.25</v>
      </c>
    </row>
    <row r="1139" spans="1:5" x14ac:dyDescent="0.2">
      <c r="A1139">
        <v>10681</v>
      </c>
      <c r="B1139">
        <v>19</v>
      </c>
      <c r="C1139" s="6">
        <v>9.1999999999999993</v>
      </c>
      <c r="D1139" s="6">
        <v>30</v>
      </c>
      <c r="E1139" s="8">
        <v>0.1</v>
      </c>
    </row>
    <row r="1140" spans="1:5" x14ac:dyDescent="0.2">
      <c r="A1140">
        <v>10681</v>
      </c>
      <c r="B1140">
        <v>21</v>
      </c>
      <c r="C1140" s="6">
        <v>10</v>
      </c>
      <c r="D1140" s="6">
        <v>12</v>
      </c>
      <c r="E1140" s="8">
        <v>0.1</v>
      </c>
    </row>
    <row r="1141" spans="1:5" x14ac:dyDescent="0.2">
      <c r="A1141">
        <v>10681</v>
      </c>
      <c r="B1141">
        <v>64</v>
      </c>
      <c r="C1141" s="6">
        <v>33.25</v>
      </c>
      <c r="D1141" s="6">
        <v>28</v>
      </c>
      <c r="E1141" s="8">
        <v>0</v>
      </c>
    </row>
    <row r="1142" spans="1:5" x14ac:dyDescent="0.2">
      <c r="A1142">
        <v>10682</v>
      </c>
      <c r="B1142">
        <v>33</v>
      </c>
      <c r="C1142" s="6">
        <v>2.5</v>
      </c>
      <c r="D1142" s="6">
        <v>30</v>
      </c>
      <c r="E1142" s="8">
        <v>0</v>
      </c>
    </row>
    <row r="1143" spans="1:5" x14ac:dyDescent="0.2">
      <c r="A1143">
        <v>10682</v>
      </c>
      <c r="B1143">
        <v>66</v>
      </c>
      <c r="C1143" s="6">
        <v>17</v>
      </c>
      <c r="D1143" s="6">
        <v>4</v>
      </c>
      <c r="E1143" s="8">
        <v>0</v>
      </c>
    </row>
    <row r="1144" spans="1:5" x14ac:dyDescent="0.2">
      <c r="A1144">
        <v>10682</v>
      </c>
      <c r="B1144">
        <v>75</v>
      </c>
      <c r="C1144" s="6">
        <v>7.75</v>
      </c>
      <c r="D1144" s="6">
        <v>30</v>
      </c>
      <c r="E1144" s="8">
        <v>0</v>
      </c>
    </row>
    <row r="1145" spans="1:5" x14ac:dyDescent="0.2">
      <c r="A1145">
        <v>10683</v>
      </c>
      <c r="B1145">
        <v>52</v>
      </c>
      <c r="C1145" s="6">
        <v>7</v>
      </c>
      <c r="D1145" s="6">
        <v>9</v>
      </c>
      <c r="E1145" s="8">
        <v>0</v>
      </c>
    </row>
    <row r="1146" spans="1:5" x14ac:dyDescent="0.2">
      <c r="A1146">
        <v>10684</v>
      </c>
      <c r="B1146">
        <v>40</v>
      </c>
      <c r="C1146" s="6">
        <v>18.399999999999999</v>
      </c>
      <c r="D1146" s="6">
        <v>20</v>
      </c>
      <c r="E1146" s="8">
        <v>0</v>
      </c>
    </row>
    <row r="1147" spans="1:5" x14ac:dyDescent="0.2">
      <c r="A1147">
        <v>10684</v>
      </c>
      <c r="B1147">
        <v>47</v>
      </c>
      <c r="C1147" s="6">
        <v>9.5</v>
      </c>
      <c r="D1147" s="6">
        <v>40</v>
      </c>
      <c r="E1147" s="8">
        <v>0</v>
      </c>
    </row>
    <row r="1148" spans="1:5" x14ac:dyDescent="0.2">
      <c r="A1148">
        <v>10684</v>
      </c>
      <c r="B1148">
        <v>60</v>
      </c>
      <c r="C1148" s="6">
        <v>34</v>
      </c>
      <c r="D1148" s="6">
        <v>30</v>
      </c>
      <c r="E1148" s="8">
        <v>0</v>
      </c>
    </row>
    <row r="1149" spans="1:5" x14ac:dyDescent="0.2">
      <c r="A1149">
        <v>10685</v>
      </c>
      <c r="B1149">
        <v>10</v>
      </c>
      <c r="C1149" s="6">
        <v>31</v>
      </c>
      <c r="D1149" s="6">
        <v>20</v>
      </c>
      <c r="E1149" s="8">
        <v>0</v>
      </c>
    </row>
    <row r="1150" spans="1:5" x14ac:dyDescent="0.2">
      <c r="A1150">
        <v>10685</v>
      </c>
      <c r="B1150">
        <v>41</v>
      </c>
      <c r="C1150" s="6">
        <v>9.65</v>
      </c>
      <c r="D1150" s="6">
        <v>4</v>
      </c>
      <c r="E1150" s="8">
        <v>0</v>
      </c>
    </row>
    <row r="1151" spans="1:5" x14ac:dyDescent="0.2">
      <c r="A1151">
        <v>10685</v>
      </c>
      <c r="B1151">
        <v>47</v>
      </c>
      <c r="C1151" s="6">
        <v>9.5</v>
      </c>
      <c r="D1151" s="6">
        <v>15</v>
      </c>
      <c r="E1151" s="8">
        <v>0</v>
      </c>
    </row>
    <row r="1152" spans="1:5" x14ac:dyDescent="0.2">
      <c r="A1152">
        <v>10686</v>
      </c>
      <c r="B1152">
        <v>17</v>
      </c>
      <c r="C1152" s="6">
        <v>39</v>
      </c>
      <c r="D1152" s="6">
        <v>30</v>
      </c>
      <c r="E1152" s="8">
        <v>0.2</v>
      </c>
    </row>
    <row r="1153" spans="1:5" x14ac:dyDescent="0.2">
      <c r="A1153">
        <v>10686</v>
      </c>
      <c r="B1153">
        <v>26</v>
      </c>
      <c r="C1153" s="6">
        <v>31.23</v>
      </c>
      <c r="D1153" s="6">
        <v>15</v>
      </c>
      <c r="E1153" s="8">
        <v>0</v>
      </c>
    </row>
    <row r="1154" spans="1:5" x14ac:dyDescent="0.2">
      <c r="A1154">
        <v>10687</v>
      </c>
      <c r="B1154">
        <v>9</v>
      </c>
      <c r="C1154" s="6">
        <v>97</v>
      </c>
      <c r="D1154" s="6">
        <v>50</v>
      </c>
      <c r="E1154" s="8">
        <v>0.25</v>
      </c>
    </row>
    <row r="1155" spans="1:5" x14ac:dyDescent="0.2">
      <c r="A1155">
        <v>10687</v>
      </c>
      <c r="B1155">
        <v>29</v>
      </c>
      <c r="C1155" s="6">
        <v>123.79</v>
      </c>
      <c r="D1155" s="6">
        <v>10</v>
      </c>
      <c r="E1155" s="8">
        <v>0</v>
      </c>
    </row>
    <row r="1156" spans="1:5" x14ac:dyDescent="0.2">
      <c r="A1156">
        <v>10687</v>
      </c>
      <c r="B1156">
        <v>36</v>
      </c>
      <c r="C1156" s="6">
        <v>19</v>
      </c>
      <c r="D1156" s="6">
        <v>6</v>
      </c>
      <c r="E1156" s="8">
        <v>0.25</v>
      </c>
    </row>
    <row r="1157" spans="1:5" x14ac:dyDescent="0.2">
      <c r="A1157">
        <v>10688</v>
      </c>
      <c r="B1157">
        <v>10</v>
      </c>
      <c r="C1157" s="6">
        <v>31</v>
      </c>
      <c r="D1157" s="6">
        <v>18</v>
      </c>
      <c r="E1157" s="8">
        <v>0.1</v>
      </c>
    </row>
    <row r="1158" spans="1:5" x14ac:dyDescent="0.2">
      <c r="A1158">
        <v>10688</v>
      </c>
      <c r="B1158">
        <v>28</v>
      </c>
      <c r="C1158" s="6">
        <v>45.6</v>
      </c>
      <c r="D1158" s="6">
        <v>60</v>
      </c>
      <c r="E1158" s="8">
        <v>0.1</v>
      </c>
    </row>
    <row r="1159" spans="1:5" x14ac:dyDescent="0.2">
      <c r="A1159">
        <v>10688</v>
      </c>
      <c r="B1159">
        <v>34</v>
      </c>
      <c r="C1159" s="6">
        <v>14</v>
      </c>
      <c r="D1159" s="6">
        <v>14</v>
      </c>
      <c r="E1159" s="8">
        <v>0</v>
      </c>
    </row>
    <row r="1160" spans="1:5" x14ac:dyDescent="0.2">
      <c r="A1160">
        <v>10689</v>
      </c>
      <c r="B1160">
        <v>1</v>
      </c>
      <c r="C1160" s="6">
        <v>18</v>
      </c>
      <c r="D1160" s="6">
        <v>35</v>
      </c>
      <c r="E1160" s="8">
        <v>0.25</v>
      </c>
    </row>
    <row r="1161" spans="1:5" x14ac:dyDescent="0.2">
      <c r="A1161">
        <v>10690</v>
      </c>
      <c r="B1161">
        <v>56</v>
      </c>
      <c r="C1161" s="6">
        <v>38</v>
      </c>
      <c r="D1161" s="6">
        <v>20</v>
      </c>
      <c r="E1161" s="8">
        <v>0.25</v>
      </c>
    </row>
    <row r="1162" spans="1:5" x14ac:dyDescent="0.2">
      <c r="A1162">
        <v>10690</v>
      </c>
      <c r="B1162">
        <v>77</v>
      </c>
      <c r="C1162" s="6">
        <v>13</v>
      </c>
      <c r="D1162" s="6">
        <v>30</v>
      </c>
      <c r="E1162" s="8">
        <v>0.25</v>
      </c>
    </row>
    <row r="1163" spans="1:5" x14ac:dyDescent="0.2">
      <c r="A1163">
        <v>10691</v>
      </c>
      <c r="B1163">
        <v>1</v>
      </c>
      <c r="C1163" s="6">
        <v>18</v>
      </c>
      <c r="D1163" s="6">
        <v>30</v>
      </c>
      <c r="E1163" s="8">
        <v>0</v>
      </c>
    </row>
    <row r="1164" spans="1:5" x14ac:dyDescent="0.2">
      <c r="A1164">
        <v>10691</v>
      </c>
      <c r="B1164">
        <v>29</v>
      </c>
      <c r="C1164" s="6">
        <v>123.79</v>
      </c>
      <c r="D1164" s="6">
        <v>40</v>
      </c>
      <c r="E1164" s="8">
        <v>0</v>
      </c>
    </row>
    <row r="1165" spans="1:5" x14ac:dyDescent="0.2">
      <c r="A1165">
        <v>10691</v>
      </c>
      <c r="B1165">
        <v>43</v>
      </c>
      <c r="C1165" s="6">
        <v>46</v>
      </c>
      <c r="D1165" s="6">
        <v>40</v>
      </c>
      <c r="E1165" s="8">
        <v>0</v>
      </c>
    </row>
    <row r="1166" spans="1:5" x14ac:dyDescent="0.2">
      <c r="A1166">
        <v>10691</v>
      </c>
      <c r="B1166">
        <v>44</v>
      </c>
      <c r="C1166" s="6">
        <v>19.45</v>
      </c>
      <c r="D1166" s="6">
        <v>24</v>
      </c>
      <c r="E1166" s="8">
        <v>0</v>
      </c>
    </row>
    <row r="1167" spans="1:5" x14ac:dyDescent="0.2">
      <c r="A1167">
        <v>10691</v>
      </c>
      <c r="B1167">
        <v>62</v>
      </c>
      <c r="C1167" s="6">
        <v>49.3</v>
      </c>
      <c r="D1167" s="6">
        <v>48</v>
      </c>
      <c r="E1167" s="8">
        <v>0</v>
      </c>
    </row>
    <row r="1168" spans="1:5" x14ac:dyDescent="0.2">
      <c r="A1168">
        <v>10692</v>
      </c>
      <c r="B1168">
        <v>63</v>
      </c>
      <c r="C1168" s="6">
        <v>43.9</v>
      </c>
      <c r="D1168" s="6">
        <v>20</v>
      </c>
      <c r="E1168" s="8">
        <v>0</v>
      </c>
    </row>
    <row r="1169" spans="1:5" x14ac:dyDescent="0.2">
      <c r="A1169">
        <v>10693</v>
      </c>
      <c r="B1169">
        <v>9</v>
      </c>
      <c r="C1169" s="6">
        <v>97</v>
      </c>
      <c r="D1169" s="6">
        <v>6</v>
      </c>
      <c r="E1169" s="8">
        <v>0</v>
      </c>
    </row>
    <row r="1170" spans="1:5" x14ac:dyDescent="0.2">
      <c r="A1170">
        <v>10693</v>
      </c>
      <c r="B1170">
        <v>54</v>
      </c>
      <c r="C1170" s="6">
        <v>7.45</v>
      </c>
      <c r="D1170" s="6">
        <v>60</v>
      </c>
      <c r="E1170" s="8">
        <v>0.15</v>
      </c>
    </row>
    <row r="1171" spans="1:5" x14ac:dyDescent="0.2">
      <c r="A1171">
        <v>10693</v>
      </c>
      <c r="B1171">
        <v>69</v>
      </c>
      <c r="C1171" s="6">
        <v>36</v>
      </c>
      <c r="D1171" s="6">
        <v>30</v>
      </c>
      <c r="E1171" s="8">
        <v>0.15</v>
      </c>
    </row>
    <row r="1172" spans="1:5" x14ac:dyDescent="0.2">
      <c r="A1172">
        <v>10693</v>
      </c>
      <c r="B1172">
        <v>73</v>
      </c>
      <c r="C1172" s="6">
        <v>15</v>
      </c>
      <c r="D1172" s="6">
        <v>15</v>
      </c>
      <c r="E1172" s="8">
        <v>0.15</v>
      </c>
    </row>
    <row r="1173" spans="1:5" x14ac:dyDescent="0.2">
      <c r="A1173">
        <v>10694</v>
      </c>
      <c r="B1173">
        <v>7</v>
      </c>
      <c r="C1173" s="6">
        <v>30</v>
      </c>
      <c r="D1173" s="6">
        <v>90</v>
      </c>
      <c r="E1173" s="8">
        <v>0</v>
      </c>
    </row>
    <row r="1174" spans="1:5" x14ac:dyDescent="0.2">
      <c r="A1174">
        <v>10694</v>
      </c>
      <c r="B1174">
        <v>59</v>
      </c>
      <c r="C1174" s="6">
        <v>55</v>
      </c>
      <c r="D1174" s="6">
        <v>25</v>
      </c>
      <c r="E1174" s="8">
        <v>0</v>
      </c>
    </row>
    <row r="1175" spans="1:5" x14ac:dyDescent="0.2">
      <c r="A1175">
        <v>10694</v>
      </c>
      <c r="B1175">
        <v>70</v>
      </c>
      <c r="C1175" s="6">
        <v>15</v>
      </c>
      <c r="D1175" s="6">
        <v>50</v>
      </c>
      <c r="E1175" s="8">
        <v>0</v>
      </c>
    </row>
    <row r="1176" spans="1:5" x14ac:dyDescent="0.2">
      <c r="A1176">
        <v>10695</v>
      </c>
      <c r="B1176">
        <v>8</v>
      </c>
      <c r="C1176" s="6">
        <v>40</v>
      </c>
      <c r="D1176" s="6">
        <v>10</v>
      </c>
      <c r="E1176" s="8">
        <v>0</v>
      </c>
    </row>
    <row r="1177" spans="1:5" x14ac:dyDescent="0.2">
      <c r="A1177">
        <v>10695</v>
      </c>
      <c r="B1177">
        <v>12</v>
      </c>
      <c r="C1177" s="6">
        <v>38</v>
      </c>
      <c r="D1177" s="6">
        <v>4</v>
      </c>
      <c r="E1177" s="8">
        <v>0</v>
      </c>
    </row>
    <row r="1178" spans="1:5" x14ac:dyDescent="0.2">
      <c r="A1178">
        <v>10695</v>
      </c>
      <c r="B1178">
        <v>24</v>
      </c>
      <c r="C1178" s="6">
        <v>4.5</v>
      </c>
      <c r="D1178" s="6">
        <v>20</v>
      </c>
      <c r="E1178" s="8">
        <v>0</v>
      </c>
    </row>
    <row r="1179" spans="1:5" x14ac:dyDescent="0.2">
      <c r="A1179">
        <v>10696</v>
      </c>
      <c r="B1179">
        <v>17</v>
      </c>
      <c r="C1179" s="6">
        <v>39</v>
      </c>
      <c r="D1179" s="6">
        <v>20</v>
      </c>
      <c r="E1179" s="8">
        <v>0</v>
      </c>
    </row>
    <row r="1180" spans="1:5" x14ac:dyDescent="0.2">
      <c r="A1180">
        <v>10696</v>
      </c>
      <c r="B1180">
        <v>46</v>
      </c>
      <c r="C1180" s="6">
        <v>12</v>
      </c>
      <c r="D1180" s="6">
        <v>18</v>
      </c>
      <c r="E1180" s="8">
        <v>0</v>
      </c>
    </row>
    <row r="1181" spans="1:5" x14ac:dyDescent="0.2">
      <c r="A1181">
        <v>10697</v>
      </c>
      <c r="B1181">
        <v>19</v>
      </c>
      <c r="C1181" s="6">
        <v>9.1999999999999993</v>
      </c>
      <c r="D1181" s="6">
        <v>7</v>
      </c>
      <c r="E1181" s="8">
        <v>0.25</v>
      </c>
    </row>
    <row r="1182" spans="1:5" x14ac:dyDescent="0.2">
      <c r="A1182">
        <v>10697</v>
      </c>
      <c r="B1182">
        <v>35</v>
      </c>
      <c r="C1182" s="6">
        <v>18</v>
      </c>
      <c r="D1182" s="6">
        <v>9</v>
      </c>
      <c r="E1182" s="8">
        <v>0.25</v>
      </c>
    </row>
    <row r="1183" spans="1:5" x14ac:dyDescent="0.2">
      <c r="A1183">
        <v>10697</v>
      </c>
      <c r="B1183">
        <v>58</v>
      </c>
      <c r="C1183" s="6">
        <v>13.25</v>
      </c>
      <c r="D1183" s="6">
        <v>30</v>
      </c>
      <c r="E1183" s="8">
        <v>0.25</v>
      </c>
    </row>
    <row r="1184" spans="1:5" x14ac:dyDescent="0.2">
      <c r="A1184">
        <v>10697</v>
      </c>
      <c r="B1184">
        <v>70</v>
      </c>
      <c r="C1184" s="6">
        <v>15</v>
      </c>
      <c r="D1184" s="6">
        <v>30</v>
      </c>
      <c r="E1184" s="8">
        <v>0.25</v>
      </c>
    </row>
    <row r="1185" spans="1:5" x14ac:dyDescent="0.2">
      <c r="A1185">
        <v>10698</v>
      </c>
      <c r="B1185">
        <v>11</v>
      </c>
      <c r="C1185" s="6">
        <v>21</v>
      </c>
      <c r="D1185" s="6">
        <v>15</v>
      </c>
      <c r="E1185" s="8">
        <v>0</v>
      </c>
    </row>
    <row r="1186" spans="1:5" x14ac:dyDescent="0.2">
      <c r="A1186">
        <v>10698</v>
      </c>
      <c r="B1186">
        <v>17</v>
      </c>
      <c r="C1186" s="6">
        <v>39</v>
      </c>
      <c r="D1186" s="6">
        <v>8</v>
      </c>
      <c r="E1186" s="8">
        <v>0.05</v>
      </c>
    </row>
    <row r="1187" spans="1:5" x14ac:dyDescent="0.2">
      <c r="A1187">
        <v>10698</v>
      </c>
      <c r="B1187">
        <v>29</v>
      </c>
      <c r="C1187" s="6">
        <v>123.79</v>
      </c>
      <c r="D1187" s="6">
        <v>12</v>
      </c>
      <c r="E1187" s="8">
        <v>0.05</v>
      </c>
    </row>
    <row r="1188" spans="1:5" x14ac:dyDescent="0.2">
      <c r="A1188">
        <v>10698</v>
      </c>
      <c r="B1188">
        <v>65</v>
      </c>
      <c r="C1188" s="6">
        <v>21.05</v>
      </c>
      <c r="D1188" s="6">
        <v>65</v>
      </c>
      <c r="E1188" s="8">
        <v>0.05</v>
      </c>
    </row>
    <row r="1189" spans="1:5" x14ac:dyDescent="0.2">
      <c r="A1189">
        <v>10698</v>
      </c>
      <c r="B1189">
        <v>70</v>
      </c>
      <c r="C1189" s="6">
        <v>15</v>
      </c>
      <c r="D1189" s="6">
        <v>8</v>
      </c>
      <c r="E1189" s="8">
        <v>0.05</v>
      </c>
    </row>
    <row r="1190" spans="1:5" x14ac:dyDescent="0.2">
      <c r="A1190">
        <v>10699</v>
      </c>
      <c r="B1190">
        <v>47</v>
      </c>
      <c r="C1190" s="6">
        <v>9.5</v>
      </c>
      <c r="D1190" s="6">
        <v>12</v>
      </c>
      <c r="E1190" s="8">
        <v>0</v>
      </c>
    </row>
    <row r="1191" spans="1:5" x14ac:dyDescent="0.2">
      <c r="A1191">
        <v>10700</v>
      </c>
      <c r="B1191">
        <v>1</v>
      </c>
      <c r="C1191" s="6">
        <v>18</v>
      </c>
      <c r="D1191" s="6">
        <v>5</v>
      </c>
      <c r="E1191" s="8">
        <v>0.2</v>
      </c>
    </row>
    <row r="1192" spans="1:5" x14ac:dyDescent="0.2">
      <c r="A1192">
        <v>10700</v>
      </c>
      <c r="B1192">
        <v>34</v>
      </c>
      <c r="C1192" s="6">
        <v>14</v>
      </c>
      <c r="D1192" s="6">
        <v>12</v>
      </c>
      <c r="E1192" s="8">
        <v>0.2</v>
      </c>
    </row>
    <row r="1193" spans="1:5" x14ac:dyDescent="0.2">
      <c r="A1193">
        <v>10700</v>
      </c>
      <c r="B1193">
        <v>68</v>
      </c>
      <c r="C1193" s="6">
        <v>12.5</v>
      </c>
      <c r="D1193" s="6">
        <v>40</v>
      </c>
      <c r="E1193" s="8">
        <v>0.2</v>
      </c>
    </row>
    <row r="1194" spans="1:5" x14ac:dyDescent="0.2">
      <c r="A1194">
        <v>10700</v>
      </c>
      <c r="B1194">
        <v>71</v>
      </c>
      <c r="C1194" s="6">
        <v>21.5</v>
      </c>
      <c r="D1194" s="6">
        <v>60</v>
      </c>
      <c r="E1194" s="8">
        <v>0.2</v>
      </c>
    </row>
    <row r="1195" spans="1:5" x14ac:dyDescent="0.2">
      <c r="A1195">
        <v>10701</v>
      </c>
      <c r="B1195">
        <v>59</v>
      </c>
      <c r="C1195" s="6">
        <v>55</v>
      </c>
      <c r="D1195" s="6">
        <v>42</v>
      </c>
      <c r="E1195" s="8">
        <v>0.15</v>
      </c>
    </row>
    <row r="1196" spans="1:5" x14ac:dyDescent="0.2">
      <c r="A1196">
        <v>10701</v>
      </c>
      <c r="B1196">
        <v>71</v>
      </c>
      <c r="C1196" s="6">
        <v>21.5</v>
      </c>
      <c r="D1196" s="6">
        <v>20</v>
      </c>
      <c r="E1196" s="8">
        <v>0.15</v>
      </c>
    </row>
    <row r="1197" spans="1:5" x14ac:dyDescent="0.2">
      <c r="A1197">
        <v>10701</v>
      </c>
      <c r="B1197">
        <v>76</v>
      </c>
      <c r="C1197" s="6">
        <v>18</v>
      </c>
      <c r="D1197" s="6">
        <v>35</v>
      </c>
      <c r="E1197" s="8">
        <v>0.15</v>
      </c>
    </row>
    <row r="1198" spans="1:5" x14ac:dyDescent="0.2">
      <c r="A1198">
        <v>10702</v>
      </c>
      <c r="B1198">
        <v>3</v>
      </c>
      <c r="C1198" s="6">
        <v>10</v>
      </c>
      <c r="D1198" s="6">
        <v>6</v>
      </c>
      <c r="E1198" s="8">
        <v>0</v>
      </c>
    </row>
    <row r="1199" spans="1:5" x14ac:dyDescent="0.2">
      <c r="A1199">
        <v>10702</v>
      </c>
      <c r="B1199">
        <v>76</v>
      </c>
      <c r="C1199" s="6">
        <v>18</v>
      </c>
      <c r="D1199" s="6">
        <v>15</v>
      </c>
      <c r="E1199" s="8">
        <v>0</v>
      </c>
    </row>
    <row r="1200" spans="1:5" x14ac:dyDescent="0.2">
      <c r="A1200">
        <v>10703</v>
      </c>
      <c r="B1200">
        <v>2</v>
      </c>
      <c r="C1200" s="6">
        <v>19</v>
      </c>
      <c r="D1200" s="6">
        <v>5</v>
      </c>
      <c r="E1200" s="8">
        <v>0</v>
      </c>
    </row>
    <row r="1201" spans="1:5" x14ac:dyDescent="0.2">
      <c r="A1201">
        <v>10703</v>
      </c>
      <c r="B1201">
        <v>59</v>
      </c>
      <c r="C1201" s="6">
        <v>55</v>
      </c>
      <c r="D1201" s="6">
        <v>35</v>
      </c>
      <c r="E1201" s="8">
        <v>0</v>
      </c>
    </row>
    <row r="1202" spans="1:5" x14ac:dyDescent="0.2">
      <c r="A1202">
        <v>10703</v>
      </c>
      <c r="B1202">
        <v>73</v>
      </c>
      <c r="C1202" s="6">
        <v>15</v>
      </c>
      <c r="D1202" s="6">
        <v>35</v>
      </c>
      <c r="E1202" s="8">
        <v>0</v>
      </c>
    </row>
    <row r="1203" spans="1:5" x14ac:dyDescent="0.2">
      <c r="A1203">
        <v>10704</v>
      </c>
      <c r="B1203">
        <v>4</v>
      </c>
      <c r="C1203" s="6">
        <v>22</v>
      </c>
      <c r="D1203" s="6">
        <v>6</v>
      </c>
      <c r="E1203" s="8">
        <v>0</v>
      </c>
    </row>
    <row r="1204" spans="1:5" x14ac:dyDescent="0.2">
      <c r="A1204">
        <v>10704</v>
      </c>
      <c r="B1204">
        <v>24</v>
      </c>
      <c r="C1204" s="6">
        <v>4.5</v>
      </c>
      <c r="D1204" s="6">
        <v>35</v>
      </c>
      <c r="E1204" s="8">
        <v>0</v>
      </c>
    </row>
    <row r="1205" spans="1:5" x14ac:dyDescent="0.2">
      <c r="A1205">
        <v>10704</v>
      </c>
      <c r="B1205">
        <v>48</v>
      </c>
      <c r="C1205" s="6">
        <v>12.75</v>
      </c>
      <c r="D1205" s="6">
        <v>24</v>
      </c>
      <c r="E1205" s="8">
        <v>0</v>
      </c>
    </row>
    <row r="1206" spans="1:5" x14ac:dyDescent="0.2">
      <c r="A1206">
        <v>10705</v>
      </c>
      <c r="B1206">
        <v>31</v>
      </c>
      <c r="C1206" s="6">
        <v>12.5</v>
      </c>
      <c r="D1206" s="6">
        <v>20</v>
      </c>
      <c r="E1206" s="8">
        <v>0</v>
      </c>
    </row>
    <row r="1207" spans="1:5" x14ac:dyDescent="0.2">
      <c r="A1207">
        <v>10705</v>
      </c>
      <c r="B1207">
        <v>32</v>
      </c>
      <c r="C1207" s="6">
        <v>32</v>
      </c>
      <c r="D1207" s="6">
        <v>4</v>
      </c>
      <c r="E1207" s="8">
        <v>0</v>
      </c>
    </row>
    <row r="1208" spans="1:5" x14ac:dyDescent="0.2">
      <c r="A1208">
        <v>10706</v>
      </c>
      <c r="B1208">
        <v>16</v>
      </c>
      <c r="C1208" s="6">
        <v>17.45</v>
      </c>
      <c r="D1208" s="6">
        <v>20</v>
      </c>
      <c r="E1208" s="8">
        <v>0</v>
      </c>
    </row>
    <row r="1209" spans="1:5" x14ac:dyDescent="0.2">
      <c r="A1209">
        <v>10706</v>
      </c>
      <c r="B1209">
        <v>43</v>
      </c>
      <c r="C1209" s="6">
        <v>46</v>
      </c>
      <c r="D1209" s="6">
        <v>24</v>
      </c>
      <c r="E1209" s="8">
        <v>0</v>
      </c>
    </row>
    <row r="1210" spans="1:5" x14ac:dyDescent="0.2">
      <c r="A1210">
        <v>10706</v>
      </c>
      <c r="B1210">
        <v>59</v>
      </c>
      <c r="C1210" s="6">
        <v>55</v>
      </c>
      <c r="D1210" s="6">
        <v>8</v>
      </c>
      <c r="E1210" s="8">
        <v>0</v>
      </c>
    </row>
    <row r="1211" spans="1:5" x14ac:dyDescent="0.2">
      <c r="A1211">
        <v>10707</v>
      </c>
      <c r="B1211">
        <v>55</v>
      </c>
      <c r="C1211" s="6">
        <v>24</v>
      </c>
      <c r="D1211" s="6">
        <v>21</v>
      </c>
      <c r="E1211" s="8">
        <v>0</v>
      </c>
    </row>
    <row r="1212" spans="1:5" x14ac:dyDescent="0.2">
      <c r="A1212">
        <v>10707</v>
      </c>
      <c r="B1212">
        <v>57</v>
      </c>
      <c r="C1212" s="6">
        <v>19.5</v>
      </c>
      <c r="D1212" s="6">
        <v>40</v>
      </c>
      <c r="E1212" s="8">
        <v>0</v>
      </c>
    </row>
    <row r="1213" spans="1:5" x14ac:dyDescent="0.2">
      <c r="A1213">
        <v>10707</v>
      </c>
      <c r="B1213">
        <v>70</v>
      </c>
      <c r="C1213" s="6">
        <v>15</v>
      </c>
      <c r="D1213" s="6">
        <v>28</v>
      </c>
      <c r="E1213" s="8">
        <v>0.15</v>
      </c>
    </row>
    <row r="1214" spans="1:5" x14ac:dyDescent="0.2">
      <c r="A1214">
        <v>10708</v>
      </c>
      <c r="B1214">
        <v>5</v>
      </c>
      <c r="C1214" s="6">
        <v>21.35</v>
      </c>
      <c r="D1214" s="6">
        <v>4</v>
      </c>
      <c r="E1214" s="8">
        <v>0</v>
      </c>
    </row>
    <row r="1215" spans="1:5" x14ac:dyDescent="0.2">
      <c r="A1215">
        <v>10708</v>
      </c>
      <c r="B1215">
        <v>36</v>
      </c>
      <c r="C1215" s="6">
        <v>19</v>
      </c>
      <c r="D1215" s="6">
        <v>5</v>
      </c>
      <c r="E1215" s="8">
        <v>0</v>
      </c>
    </row>
    <row r="1216" spans="1:5" x14ac:dyDescent="0.2">
      <c r="A1216">
        <v>10709</v>
      </c>
      <c r="B1216">
        <v>8</v>
      </c>
      <c r="C1216" s="6">
        <v>40</v>
      </c>
      <c r="D1216" s="6">
        <v>40</v>
      </c>
      <c r="E1216" s="8">
        <v>0</v>
      </c>
    </row>
    <row r="1217" spans="1:5" x14ac:dyDescent="0.2">
      <c r="A1217">
        <v>10709</v>
      </c>
      <c r="B1217">
        <v>51</v>
      </c>
      <c r="C1217" s="6">
        <v>53</v>
      </c>
      <c r="D1217" s="6">
        <v>28</v>
      </c>
      <c r="E1217" s="8">
        <v>0</v>
      </c>
    </row>
    <row r="1218" spans="1:5" x14ac:dyDescent="0.2">
      <c r="A1218">
        <v>10709</v>
      </c>
      <c r="B1218">
        <v>60</v>
      </c>
      <c r="C1218" s="6">
        <v>34</v>
      </c>
      <c r="D1218" s="6">
        <v>10</v>
      </c>
      <c r="E1218" s="8">
        <v>0</v>
      </c>
    </row>
    <row r="1219" spans="1:5" x14ac:dyDescent="0.2">
      <c r="A1219">
        <v>10710</v>
      </c>
      <c r="B1219">
        <v>19</v>
      </c>
      <c r="C1219" s="6">
        <v>9.1999999999999993</v>
      </c>
      <c r="D1219" s="6">
        <v>5</v>
      </c>
      <c r="E1219" s="8">
        <v>0</v>
      </c>
    </row>
    <row r="1220" spans="1:5" x14ac:dyDescent="0.2">
      <c r="A1220">
        <v>10710</v>
      </c>
      <c r="B1220">
        <v>47</v>
      </c>
      <c r="C1220" s="6">
        <v>9.5</v>
      </c>
      <c r="D1220" s="6">
        <v>5</v>
      </c>
      <c r="E1220" s="8">
        <v>0</v>
      </c>
    </row>
    <row r="1221" spans="1:5" x14ac:dyDescent="0.2">
      <c r="A1221">
        <v>10711</v>
      </c>
      <c r="B1221">
        <v>19</v>
      </c>
      <c r="C1221" s="6">
        <v>9.1999999999999993</v>
      </c>
      <c r="D1221" s="6">
        <v>12</v>
      </c>
      <c r="E1221" s="8">
        <v>0</v>
      </c>
    </row>
    <row r="1222" spans="1:5" x14ac:dyDescent="0.2">
      <c r="A1222">
        <v>10711</v>
      </c>
      <c r="B1222">
        <v>41</v>
      </c>
      <c r="C1222" s="6">
        <v>9.65</v>
      </c>
      <c r="D1222" s="6">
        <v>42</v>
      </c>
      <c r="E1222" s="8">
        <v>0</v>
      </c>
    </row>
    <row r="1223" spans="1:5" x14ac:dyDescent="0.2">
      <c r="A1223">
        <v>10711</v>
      </c>
      <c r="B1223">
        <v>53</v>
      </c>
      <c r="C1223" s="6">
        <v>32.799999999999997</v>
      </c>
      <c r="D1223" s="6">
        <v>120</v>
      </c>
      <c r="E1223" s="8">
        <v>0</v>
      </c>
    </row>
    <row r="1224" spans="1:5" x14ac:dyDescent="0.2">
      <c r="A1224">
        <v>10712</v>
      </c>
      <c r="B1224">
        <v>53</v>
      </c>
      <c r="C1224" s="6">
        <v>32.799999999999997</v>
      </c>
      <c r="D1224" s="6">
        <v>3</v>
      </c>
      <c r="E1224" s="8">
        <v>0.05</v>
      </c>
    </row>
    <row r="1225" spans="1:5" x14ac:dyDescent="0.2">
      <c r="A1225">
        <v>10712</v>
      </c>
      <c r="B1225">
        <v>56</v>
      </c>
      <c r="C1225" s="6">
        <v>38</v>
      </c>
      <c r="D1225" s="6">
        <v>30</v>
      </c>
      <c r="E1225" s="8">
        <v>0</v>
      </c>
    </row>
    <row r="1226" spans="1:5" x14ac:dyDescent="0.2">
      <c r="A1226">
        <v>10713</v>
      </c>
      <c r="B1226">
        <v>10</v>
      </c>
      <c r="C1226" s="6">
        <v>31</v>
      </c>
      <c r="D1226" s="6">
        <v>18</v>
      </c>
      <c r="E1226" s="8">
        <v>0</v>
      </c>
    </row>
    <row r="1227" spans="1:5" x14ac:dyDescent="0.2">
      <c r="A1227">
        <v>10713</v>
      </c>
      <c r="B1227">
        <v>26</v>
      </c>
      <c r="C1227" s="6">
        <v>31.23</v>
      </c>
      <c r="D1227" s="6">
        <v>30</v>
      </c>
      <c r="E1227" s="8">
        <v>0</v>
      </c>
    </row>
    <row r="1228" spans="1:5" x14ac:dyDescent="0.2">
      <c r="A1228">
        <v>10713</v>
      </c>
      <c r="B1228">
        <v>45</v>
      </c>
      <c r="C1228" s="6">
        <v>9.5</v>
      </c>
      <c r="D1228" s="6">
        <v>110</v>
      </c>
      <c r="E1228" s="8">
        <v>0</v>
      </c>
    </row>
    <row r="1229" spans="1:5" x14ac:dyDescent="0.2">
      <c r="A1229">
        <v>10713</v>
      </c>
      <c r="B1229">
        <v>46</v>
      </c>
      <c r="C1229" s="6">
        <v>12</v>
      </c>
      <c r="D1229" s="6">
        <v>24</v>
      </c>
      <c r="E1229" s="8">
        <v>0</v>
      </c>
    </row>
    <row r="1230" spans="1:5" x14ac:dyDescent="0.2">
      <c r="A1230">
        <v>10714</v>
      </c>
      <c r="B1230">
        <v>2</v>
      </c>
      <c r="C1230" s="6">
        <v>19</v>
      </c>
      <c r="D1230" s="6">
        <v>30</v>
      </c>
      <c r="E1230" s="8">
        <v>0.25</v>
      </c>
    </row>
    <row r="1231" spans="1:5" x14ac:dyDescent="0.2">
      <c r="A1231">
        <v>10714</v>
      </c>
      <c r="B1231">
        <v>17</v>
      </c>
      <c r="C1231" s="6">
        <v>39</v>
      </c>
      <c r="D1231" s="6">
        <v>27</v>
      </c>
      <c r="E1231" s="8">
        <v>0.25</v>
      </c>
    </row>
    <row r="1232" spans="1:5" x14ac:dyDescent="0.2">
      <c r="A1232">
        <v>10714</v>
      </c>
      <c r="B1232">
        <v>47</v>
      </c>
      <c r="C1232" s="6">
        <v>9.5</v>
      </c>
      <c r="D1232" s="6">
        <v>50</v>
      </c>
      <c r="E1232" s="8">
        <v>0.25</v>
      </c>
    </row>
    <row r="1233" spans="1:5" x14ac:dyDescent="0.2">
      <c r="A1233">
        <v>10714</v>
      </c>
      <c r="B1233">
        <v>56</v>
      </c>
      <c r="C1233" s="6">
        <v>38</v>
      </c>
      <c r="D1233" s="6">
        <v>18</v>
      </c>
      <c r="E1233" s="8">
        <v>0.25</v>
      </c>
    </row>
    <row r="1234" spans="1:5" x14ac:dyDescent="0.2">
      <c r="A1234">
        <v>10714</v>
      </c>
      <c r="B1234">
        <v>58</v>
      </c>
      <c r="C1234" s="6">
        <v>13.25</v>
      </c>
      <c r="D1234" s="6">
        <v>12</v>
      </c>
      <c r="E1234" s="8">
        <v>0.25</v>
      </c>
    </row>
    <row r="1235" spans="1:5" x14ac:dyDescent="0.2">
      <c r="A1235">
        <v>10715</v>
      </c>
      <c r="B1235">
        <v>10</v>
      </c>
      <c r="C1235" s="6">
        <v>31</v>
      </c>
      <c r="D1235" s="6">
        <v>21</v>
      </c>
      <c r="E1235" s="8">
        <v>0</v>
      </c>
    </row>
    <row r="1236" spans="1:5" x14ac:dyDescent="0.2">
      <c r="A1236">
        <v>10715</v>
      </c>
      <c r="B1236">
        <v>71</v>
      </c>
      <c r="C1236" s="6">
        <v>21.5</v>
      </c>
      <c r="D1236" s="6">
        <v>30</v>
      </c>
      <c r="E1236" s="8">
        <v>0</v>
      </c>
    </row>
    <row r="1237" spans="1:5" x14ac:dyDescent="0.2">
      <c r="A1237">
        <v>10716</v>
      </c>
      <c r="B1237">
        <v>21</v>
      </c>
      <c r="C1237" s="6">
        <v>10</v>
      </c>
      <c r="D1237" s="6">
        <v>5</v>
      </c>
      <c r="E1237" s="8">
        <v>0</v>
      </c>
    </row>
    <row r="1238" spans="1:5" x14ac:dyDescent="0.2">
      <c r="A1238">
        <v>10716</v>
      </c>
      <c r="B1238">
        <v>51</v>
      </c>
      <c r="C1238" s="6">
        <v>53</v>
      </c>
      <c r="D1238" s="6">
        <v>7</v>
      </c>
      <c r="E1238" s="8">
        <v>0</v>
      </c>
    </row>
    <row r="1239" spans="1:5" x14ac:dyDescent="0.2">
      <c r="A1239">
        <v>10716</v>
      </c>
      <c r="B1239">
        <v>61</v>
      </c>
      <c r="C1239" s="6">
        <v>28.5</v>
      </c>
      <c r="D1239" s="6">
        <v>10</v>
      </c>
      <c r="E1239" s="8">
        <v>0</v>
      </c>
    </row>
    <row r="1240" spans="1:5" x14ac:dyDescent="0.2">
      <c r="A1240">
        <v>10717</v>
      </c>
      <c r="B1240">
        <v>21</v>
      </c>
      <c r="C1240" s="6">
        <v>10</v>
      </c>
      <c r="D1240" s="6">
        <v>32</v>
      </c>
      <c r="E1240" s="8">
        <v>0.05</v>
      </c>
    </row>
    <row r="1241" spans="1:5" x14ac:dyDescent="0.2">
      <c r="A1241">
        <v>10717</v>
      </c>
      <c r="B1241">
        <v>54</v>
      </c>
      <c r="C1241" s="6">
        <v>7.45</v>
      </c>
      <c r="D1241" s="6">
        <v>15</v>
      </c>
      <c r="E1241" s="8">
        <v>0</v>
      </c>
    </row>
    <row r="1242" spans="1:5" x14ac:dyDescent="0.2">
      <c r="A1242">
        <v>10717</v>
      </c>
      <c r="B1242">
        <v>69</v>
      </c>
      <c r="C1242" s="6">
        <v>36</v>
      </c>
      <c r="D1242" s="6">
        <v>25</v>
      </c>
      <c r="E1242" s="8">
        <v>0.05</v>
      </c>
    </row>
    <row r="1243" spans="1:5" x14ac:dyDescent="0.2">
      <c r="A1243">
        <v>10718</v>
      </c>
      <c r="B1243">
        <v>12</v>
      </c>
      <c r="C1243" s="6">
        <v>38</v>
      </c>
      <c r="D1243" s="6">
        <v>36</v>
      </c>
      <c r="E1243" s="8">
        <v>0</v>
      </c>
    </row>
    <row r="1244" spans="1:5" x14ac:dyDescent="0.2">
      <c r="A1244">
        <v>10718</v>
      </c>
      <c r="B1244">
        <v>16</v>
      </c>
      <c r="C1244" s="6">
        <v>17.45</v>
      </c>
      <c r="D1244" s="6">
        <v>20</v>
      </c>
      <c r="E1244" s="8">
        <v>0</v>
      </c>
    </row>
    <row r="1245" spans="1:5" x14ac:dyDescent="0.2">
      <c r="A1245">
        <v>10718</v>
      </c>
      <c r="B1245">
        <v>36</v>
      </c>
      <c r="C1245" s="6">
        <v>19</v>
      </c>
      <c r="D1245" s="6">
        <v>40</v>
      </c>
      <c r="E1245" s="8">
        <v>0</v>
      </c>
    </row>
    <row r="1246" spans="1:5" x14ac:dyDescent="0.2">
      <c r="A1246">
        <v>10718</v>
      </c>
      <c r="B1246">
        <v>62</v>
      </c>
      <c r="C1246" s="6">
        <v>49.3</v>
      </c>
      <c r="D1246" s="6">
        <v>20</v>
      </c>
      <c r="E1246" s="8">
        <v>0</v>
      </c>
    </row>
    <row r="1247" spans="1:5" x14ac:dyDescent="0.2">
      <c r="A1247">
        <v>10719</v>
      </c>
      <c r="B1247">
        <v>18</v>
      </c>
      <c r="C1247" s="6">
        <v>62.5</v>
      </c>
      <c r="D1247" s="6">
        <v>12</v>
      </c>
      <c r="E1247" s="8">
        <v>0.25</v>
      </c>
    </row>
    <row r="1248" spans="1:5" x14ac:dyDescent="0.2">
      <c r="A1248">
        <v>10719</v>
      </c>
      <c r="B1248">
        <v>30</v>
      </c>
      <c r="C1248" s="6">
        <v>25.89</v>
      </c>
      <c r="D1248" s="6">
        <v>3</v>
      </c>
      <c r="E1248" s="8">
        <v>0.25</v>
      </c>
    </row>
    <row r="1249" spans="1:5" x14ac:dyDescent="0.2">
      <c r="A1249">
        <v>10719</v>
      </c>
      <c r="B1249">
        <v>54</v>
      </c>
      <c r="C1249" s="6">
        <v>7.45</v>
      </c>
      <c r="D1249" s="6">
        <v>40</v>
      </c>
      <c r="E1249" s="8">
        <v>0.25</v>
      </c>
    </row>
    <row r="1250" spans="1:5" x14ac:dyDescent="0.2">
      <c r="A1250">
        <v>10720</v>
      </c>
      <c r="B1250">
        <v>35</v>
      </c>
      <c r="C1250" s="6">
        <v>18</v>
      </c>
      <c r="D1250" s="6">
        <v>21</v>
      </c>
      <c r="E1250" s="8">
        <v>0</v>
      </c>
    </row>
    <row r="1251" spans="1:5" x14ac:dyDescent="0.2">
      <c r="A1251">
        <v>10720</v>
      </c>
      <c r="B1251">
        <v>71</v>
      </c>
      <c r="C1251" s="6">
        <v>21.5</v>
      </c>
      <c r="D1251" s="6">
        <v>8</v>
      </c>
      <c r="E1251" s="8">
        <v>0</v>
      </c>
    </row>
    <row r="1252" spans="1:5" x14ac:dyDescent="0.2">
      <c r="A1252">
        <v>10721</v>
      </c>
      <c r="B1252">
        <v>44</v>
      </c>
      <c r="C1252" s="6">
        <v>19.45</v>
      </c>
      <c r="D1252" s="6">
        <v>50</v>
      </c>
      <c r="E1252" s="8">
        <v>0.05</v>
      </c>
    </row>
    <row r="1253" spans="1:5" x14ac:dyDescent="0.2">
      <c r="A1253">
        <v>10722</v>
      </c>
      <c r="B1253">
        <v>2</v>
      </c>
      <c r="C1253" s="6">
        <v>19</v>
      </c>
      <c r="D1253" s="6">
        <v>3</v>
      </c>
      <c r="E1253" s="8">
        <v>0</v>
      </c>
    </row>
    <row r="1254" spans="1:5" x14ac:dyDescent="0.2">
      <c r="A1254">
        <v>10722</v>
      </c>
      <c r="B1254">
        <v>31</v>
      </c>
      <c r="C1254" s="6">
        <v>12.5</v>
      </c>
      <c r="D1254" s="6">
        <v>50</v>
      </c>
      <c r="E1254" s="8">
        <v>0</v>
      </c>
    </row>
    <row r="1255" spans="1:5" x14ac:dyDescent="0.2">
      <c r="A1255">
        <v>10722</v>
      </c>
      <c r="B1255">
        <v>68</v>
      </c>
      <c r="C1255" s="6">
        <v>12.5</v>
      </c>
      <c r="D1255" s="6">
        <v>45</v>
      </c>
      <c r="E1255" s="8">
        <v>0</v>
      </c>
    </row>
    <row r="1256" spans="1:5" x14ac:dyDescent="0.2">
      <c r="A1256">
        <v>10722</v>
      </c>
      <c r="B1256">
        <v>75</v>
      </c>
      <c r="C1256" s="6">
        <v>7.75</v>
      </c>
      <c r="D1256" s="6">
        <v>42</v>
      </c>
      <c r="E1256" s="8">
        <v>0</v>
      </c>
    </row>
    <row r="1257" spans="1:5" x14ac:dyDescent="0.2">
      <c r="A1257">
        <v>10723</v>
      </c>
      <c r="B1257">
        <v>26</v>
      </c>
      <c r="C1257" s="6">
        <v>31.23</v>
      </c>
      <c r="D1257" s="6">
        <v>15</v>
      </c>
      <c r="E1257" s="8">
        <v>0</v>
      </c>
    </row>
    <row r="1258" spans="1:5" x14ac:dyDescent="0.2">
      <c r="A1258">
        <v>10724</v>
      </c>
      <c r="B1258">
        <v>10</v>
      </c>
      <c r="C1258" s="6">
        <v>31</v>
      </c>
      <c r="D1258" s="6">
        <v>16</v>
      </c>
      <c r="E1258" s="8">
        <v>0</v>
      </c>
    </row>
    <row r="1259" spans="1:5" x14ac:dyDescent="0.2">
      <c r="A1259">
        <v>10724</v>
      </c>
      <c r="B1259">
        <v>61</v>
      </c>
      <c r="C1259" s="6">
        <v>28.5</v>
      </c>
      <c r="D1259" s="6">
        <v>5</v>
      </c>
      <c r="E1259" s="8">
        <v>0</v>
      </c>
    </row>
    <row r="1260" spans="1:5" x14ac:dyDescent="0.2">
      <c r="A1260">
        <v>10725</v>
      </c>
      <c r="B1260">
        <v>41</v>
      </c>
      <c r="C1260" s="6">
        <v>9.65</v>
      </c>
      <c r="D1260" s="6">
        <v>12</v>
      </c>
      <c r="E1260" s="8">
        <v>0</v>
      </c>
    </row>
    <row r="1261" spans="1:5" x14ac:dyDescent="0.2">
      <c r="A1261">
        <v>10725</v>
      </c>
      <c r="B1261">
        <v>52</v>
      </c>
      <c r="C1261" s="6">
        <v>7</v>
      </c>
      <c r="D1261" s="6">
        <v>4</v>
      </c>
      <c r="E1261" s="8">
        <v>0</v>
      </c>
    </row>
    <row r="1262" spans="1:5" x14ac:dyDescent="0.2">
      <c r="A1262">
        <v>10725</v>
      </c>
      <c r="B1262">
        <v>55</v>
      </c>
      <c r="C1262" s="6">
        <v>24</v>
      </c>
      <c r="D1262" s="6">
        <v>6</v>
      </c>
      <c r="E1262" s="8">
        <v>0</v>
      </c>
    </row>
    <row r="1263" spans="1:5" x14ac:dyDescent="0.2">
      <c r="A1263">
        <v>10726</v>
      </c>
      <c r="B1263">
        <v>4</v>
      </c>
      <c r="C1263" s="6">
        <v>22</v>
      </c>
      <c r="D1263" s="6">
        <v>25</v>
      </c>
      <c r="E1263" s="8">
        <v>0</v>
      </c>
    </row>
    <row r="1264" spans="1:5" x14ac:dyDescent="0.2">
      <c r="A1264">
        <v>10726</v>
      </c>
      <c r="B1264">
        <v>11</v>
      </c>
      <c r="C1264" s="6">
        <v>21</v>
      </c>
      <c r="D1264" s="6">
        <v>5</v>
      </c>
      <c r="E1264" s="8">
        <v>0</v>
      </c>
    </row>
    <row r="1265" spans="1:5" x14ac:dyDescent="0.2">
      <c r="A1265">
        <v>10727</v>
      </c>
      <c r="B1265">
        <v>17</v>
      </c>
      <c r="C1265" s="6">
        <v>39</v>
      </c>
      <c r="D1265" s="6">
        <v>20</v>
      </c>
      <c r="E1265" s="8">
        <v>0.05</v>
      </c>
    </row>
    <row r="1266" spans="1:5" x14ac:dyDescent="0.2">
      <c r="A1266">
        <v>10727</v>
      </c>
      <c r="B1266">
        <v>56</v>
      </c>
      <c r="C1266" s="6">
        <v>38</v>
      </c>
      <c r="D1266" s="6">
        <v>10</v>
      </c>
      <c r="E1266" s="8">
        <v>0.05</v>
      </c>
    </row>
    <row r="1267" spans="1:5" x14ac:dyDescent="0.2">
      <c r="A1267">
        <v>10727</v>
      </c>
      <c r="B1267">
        <v>59</v>
      </c>
      <c r="C1267" s="6">
        <v>55</v>
      </c>
      <c r="D1267" s="6">
        <v>10</v>
      </c>
      <c r="E1267" s="8">
        <v>0.05</v>
      </c>
    </row>
    <row r="1268" spans="1:5" x14ac:dyDescent="0.2">
      <c r="A1268">
        <v>10728</v>
      </c>
      <c r="B1268">
        <v>30</v>
      </c>
      <c r="C1268" s="6">
        <v>25.89</v>
      </c>
      <c r="D1268" s="6">
        <v>15</v>
      </c>
      <c r="E1268" s="8">
        <v>0</v>
      </c>
    </row>
    <row r="1269" spans="1:5" x14ac:dyDescent="0.2">
      <c r="A1269">
        <v>10728</v>
      </c>
      <c r="B1269">
        <v>40</v>
      </c>
      <c r="C1269" s="6">
        <v>18.399999999999999</v>
      </c>
      <c r="D1269" s="6">
        <v>6</v>
      </c>
      <c r="E1269" s="8">
        <v>0</v>
      </c>
    </row>
    <row r="1270" spans="1:5" x14ac:dyDescent="0.2">
      <c r="A1270">
        <v>10728</v>
      </c>
      <c r="B1270">
        <v>55</v>
      </c>
      <c r="C1270" s="6">
        <v>24</v>
      </c>
      <c r="D1270" s="6">
        <v>12</v>
      </c>
      <c r="E1270" s="8">
        <v>0</v>
      </c>
    </row>
    <row r="1271" spans="1:5" x14ac:dyDescent="0.2">
      <c r="A1271">
        <v>10728</v>
      </c>
      <c r="B1271">
        <v>60</v>
      </c>
      <c r="C1271" s="6">
        <v>34</v>
      </c>
      <c r="D1271" s="6">
        <v>15</v>
      </c>
      <c r="E1271" s="8">
        <v>0</v>
      </c>
    </row>
    <row r="1272" spans="1:5" x14ac:dyDescent="0.2">
      <c r="A1272">
        <v>10729</v>
      </c>
      <c r="B1272">
        <v>1</v>
      </c>
      <c r="C1272" s="6">
        <v>18</v>
      </c>
      <c r="D1272" s="6">
        <v>50</v>
      </c>
      <c r="E1272" s="8">
        <v>0</v>
      </c>
    </row>
    <row r="1273" spans="1:5" x14ac:dyDescent="0.2">
      <c r="A1273">
        <v>10729</v>
      </c>
      <c r="B1273">
        <v>21</v>
      </c>
      <c r="C1273" s="6">
        <v>10</v>
      </c>
      <c r="D1273" s="6">
        <v>30</v>
      </c>
      <c r="E1273" s="8">
        <v>0</v>
      </c>
    </row>
    <row r="1274" spans="1:5" x14ac:dyDescent="0.2">
      <c r="A1274">
        <v>10729</v>
      </c>
      <c r="B1274">
        <v>50</v>
      </c>
      <c r="C1274" s="6">
        <v>16.25</v>
      </c>
      <c r="D1274" s="6">
        <v>40</v>
      </c>
      <c r="E1274" s="8">
        <v>0</v>
      </c>
    </row>
    <row r="1275" spans="1:5" x14ac:dyDescent="0.2">
      <c r="A1275">
        <v>10730</v>
      </c>
      <c r="B1275">
        <v>16</v>
      </c>
      <c r="C1275" s="6">
        <v>17.45</v>
      </c>
      <c r="D1275" s="6">
        <v>15</v>
      </c>
      <c r="E1275" s="8">
        <v>0.05</v>
      </c>
    </row>
    <row r="1276" spans="1:5" x14ac:dyDescent="0.2">
      <c r="A1276">
        <v>10730</v>
      </c>
      <c r="B1276">
        <v>31</v>
      </c>
      <c r="C1276" s="6">
        <v>12.5</v>
      </c>
      <c r="D1276" s="6">
        <v>3</v>
      </c>
      <c r="E1276" s="8">
        <v>0.05</v>
      </c>
    </row>
    <row r="1277" spans="1:5" x14ac:dyDescent="0.2">
      <c r="A1277">
        <v>10730</v>
      </c>
      <c r="B1277">
        <v>65</v>
      </c>
      <c r="C1277" s="6">
        <v>21.05</v>
      </c>
      <c r="D1277" s="6">
        <v>10</v>
      </c>
      <c r="E1277" s="8">
        <v>0.05</v>
      </c>
    </row>
    <row r="1278" spans="1:5" x14ac:dyDescent="0.2">
      <c r="A1278">
        <v>10731</v>
      </c>
      <c r="B1278">
        <v>21</v>
      </c>
      <c r="C1278" s="6">
        <v>10</v>
      </c>
      <c r="D1278" s="6">
        <v>40</v>
      </c>
      <c r="E1278" s="8">
        <v>0.05</v>
      </c>
    </row>
    <row r="1279" spans="1:5" x14ac:dyDescent="0.2">
      <c r="A1279">
        <v>10731</v>
      </c>
      <c r="B1279">
        <v>51</v>
      </c>
      <c r="C1279" s="6">
        <v>53</v>
      </c>
      <c r="D1279" s="6">
        <v>30</v>
      </c>
      <c r="E1279" s="8">
        <v>0.05</v>
      </c>
    </row>
    <row r="1280" spans="1:5" x14ac:dyDescent="0.2">
      <c r="A1280">
        <v>10732</v>
      </c>
      <c r="B1280">
        <v>76</v>
      </c>
      <c r="C1280" s="6">
        <v>18</v>
      </c>
      <c r="D1280" s="6">
        <v>20</v>
      </c>
      <c r="E1280" s="8">
        <v>0</v>
      </c>
    </row>
    <row r="1281" spans="1:5" x14ac:dyDescent="0.2">
      <c r="A1281">
        <v>10733</v>
      </c>
      <c r="B1281">
        <v>14</v>
      </c>
      <c r="C1281" s="6">
        <v>23.25</v>
      </c>
      <c r="D1281" s="6">
        <v>16</v>
      </c>
      <c r="E1281" s="8">
        <v>0</v>
      </c>
    </row>
    <row r="1282" spans="1:5" x14ac:dyDescent="0.2">
      <c r="A1282">
        <v>10733</v>
      </c>
      <c r="B1282">
        <v>28</v>
      </c>
      <c r="C1282" s="6">
        <v>45.6</v>
      </c>
      <c r="D1282" s="6">
        <v>20</v>
      </c>
      <c r="E1282" s="8">
        <v>0</v>
      </c>
    </row>
    <row r="1283" spans="1:5" x14ac:dyDescent="0.2">
      <c r="A1283">
        <v>10733</v>
      </c>
      <c r="B1283">
        <v>52</v>
      </c>
      <c r="C1283" s="6">
        <v>7</v>
      </c>
      <c r="D1283" s="6">
        <v>25</v>
      </c>
      <c r="E1283" s="8">
        <v>0</v>
      </c>
    </row>
    <row r="1284" spans="1:5" x14ac:dyDescent="0.2">
      <c r="A1284">
        <v>10734</v>
      </c>
      <c r="B1284">
        <v>6</v>
      </c>
      <c r="C1284" s="6">
        <v>25</v>
      </c>
      <c r="D1284" s="6">
        <v>30</v>
      </c>
      <c r="E1284" s="8">
        <v>0</v>
      </c>
    </row>
    <row r="1285" spans="1:5" x14ac:dyDescent="0.2">
      <c r="A1285">
        <v>10734</v>
      </c>
      <c r="B1285">
        <v>30</v>
      </c>
      <c r="C1285" s="6">
        <v>25.89</v>
      </c>
      <c r="D1285" s="6">
        <v>15</v>
      </c>
      <c r="E1285" s="8">
        <v>0</v>
      </c>
    </row>
    <row r="1286" spans="1:5" x14ac:dyDescent="0.2">
      <c r="A1286">
        <v>10734</v>
      </c>
      <c r="B1286">
        <v>76</v>
      </c>
      <c r="C1286" s="6">
        <v>18</v>
      </c>
      <c r="D1286" s="6">
        <v>20</v>
      </c>
      <c r="E1286" s="8">
        <v>0</v>
      </c>
    </row>
    <row r="1287" spans="1:5" x14ac:dyDescent="0.2">
      <c r="A1287">
        <v>10735</v>
      </c>
      <c r="B1287">
        <v>61</v>
      </c>
      <c r="C1287" s="6">
        <v>28.5</v>
      </c>
      <c r="D1287" s="6">
        <v>20</v>
      </c>
      <c r="E1287" s="8">
        <v>0.1</v>
      </c>
    </row>
    <row r="1288" spans="1:5" x14ac:dyDescent="0.2">
      <c r="A1288">
        <v>10735</v>
      </c>
      <c r="B1288">
        <v>77</v>
      </c>
      <c r="C1288" s="6">
        <v>13</v>
      </c>
      <c r="D1288" s="6">
        <v>2</v>
      </c>
      <c r="E1288" s="8">
        <v>0.1</v>
      </c>
    </row>
    <row r="1289" spans="1:5" x14ac:dyDescent="0.2">
      <c r="A1289">
        <v>10736</v>
      </c>
      <c r="B1289">
        <v>65</v>
      </c>
      <c r="C1289" s="6">
        <v>21.05</v>
      </c>
      <c r="D1289" s="6">
        <v>40</v>
      </c>
      <c r="E1289" s="8">
        <v>0</v>
      </c>
    </row>
    <row r="1290" spans="1:5" x14ac:dyDescent="0.2">
      <c r="A1290">
        <v>10736</v>
      </c>
      <c r="B1290">
        <v>75</v>
      </c>
      <c r="C1290" s="6">
        <v>7.75</v>
      </c>
      <c r="D1290" s="6">
        <v>20</v>
      </c>
      <c r="E1290" s="8">
        <v>0</v>
      </c>
    </row>
    <row r="1291" spans="1:5" x14ac:dyDescent="0.2">
      <c r="A1291">
        <v>10737</v>
      </c>
      <c r="B1291">
        <v>13</v>
      </c>
      <c r="C1291" s="6">
        <v>6</v>
      </c>
      <c r="D1291" s="6">
        <v>4</v>
      </c>
      <c r="E1291" s="8">
        <v>0</v>
      </c>
    </row>
    <row r="1292" spans="1:5" x14ac:dyDescent="0.2">
      <c r="A1292">
        <v>10737</v>
      </c>
      <c r="B1292">
        <v>41</v>
      </c>
      <c r="C1292" s="6">
        <v>9.65</v>
      </c>
      <c r="D1292" s="6">
        <v>12</v>
      </c>
      <c r="E1292" s="8">
        <v>0</v>
      </c>
    </row>
    <row r="1293" spans="1:5" x14ac:dyDescent="0.2">
      <c r="A1293">
        <v>10738</v>
      </c>
      <c r="B1293">
        <v>16</v>
      </c>
      <c r="C1293" s="6">
        <v>17.45</v>
      </c>
      <c r="D1293" s="6">
        <v>3</v>
      </c>
      <c r="E1293" s="8">
        <v>0</v>
      </c>
    </row>
    <row r="1294" spans="1:5" x14ac:dyDescent="0.2">
      <c r="A1294">
        <v>10739</v>
      </c>
      <c r="B1294">
        <v>36</v>
      </c>
      <c r="C1294" s="6">
        <v>19</v>
      </c>
      <c r="D1294" s="6">
        <v>6</v>
      </c>
      <c r="E1294" s="8">
        <v>0</v>
      </c>
    </row>
    <row r="1295" spans="1:5" x14ac:dyDescent="0.2">
      <c r="A1295">
        <v>10739</v>
      </c>
      <c r="B1295">
        <v>52</v>
      </c>
      <c r="C1295" s="6">
        <v>7</v>
      </c>
      <c r="D1295" s="6">
        <v>18</v>
      </c>
      <c r="E1295" s="8">
        <v>0</v>
      </c>
    </row>
    <row r="1296" spans="1:5" x14ac:dyDescent="0.2">
      <c r="A1296">
        <v>10740</v>
      </c>
      <c r="B1296">
        <v>28</v>
      </c>
      <c r="C1296" s="6">
        <v>45.6</v>
      </c>
      <c r="D1296" s="6">
        <v>5</v>
      </c>
      <c r="E1296" s="8">
        <v>0.2</v>
      </c>
    </row>
    <row r="1297" spans="1:5" x14ac:dyDescent="0.2">
      <c r="A1297">
        <v>10740</v>
      </c>
      <c r="B1297">
        <v>35</v>
      </c>
      <c r="C1297" s="6">
        <v>18</v>
      </c>
      <c r="D1297" s="6">
        <v>35</v>
      </c>
      <c r="E1297" s="8">
        <v>0.2</v>
      </c>
    </row>
    <row r="1298" spans="1:5" x14ac:dyDescent="0.2">
      <c r="A1298">
        <v>10740</v>
      </c>
      <c r="B1298">
        <v>45</v>
      </c>
      <c r="C1298" s="6">
        <v>9.5</v>
      </c>
      <c r="D1298" s="6">
        <v>40</v>
      </c>
      <c r="E1298" s="8">
        <v>0.2</v>
      </c>
    </row>
    <row r="1299" spans="1:5" x14ac:dyDescent="0.2">
      <c r="A1299">
        <v>10740</v>
      </c>
      <c r="B1299">
        <v>56</v>
      </c>
      <c r="C1299" s="6">
        <v>38</v>
      </c>
      <c r="D1299" s="6">
        <v>14</v>
      </c>
      <c r="E1299" s="8">
        <v>0.2</v>
      </c>
    </row>
    <row r="1300" spans="1:5" x14ac:dyDescent="0.2">
      <c r="A1300">
        <v>10741</v>
      </c>
      <c r="B1300">
        <v>2</v>
      </c>
      <c r="C1300" s="6">
        <v>19</v>
      </c>
      <c r="D1300" s="6">
        <v>15</v>
      </c>
      <c r="E1300" s="8">
        <v>0.2</v>
      </c>
    </row>
    <row r="1301" spans="1:5" x14ac:dyDescent="0.2">
      <c r="A1301">
        <v>10742</v>
      </c>
      <c r="B1301">
        <v>3</v>
      </c>
      <c r="C1301" s="6">
        <v>10</v>
      </c>
      <c r="D1301" s="6">
        <v>20</v>
      </c>
      <c r="E1301" s="8">
        <v>0</v>
      </c>
    </row>
    <row r="1302" spans="1:5" x14ac:dyDescent="0.2">
      <c r="A1302">
        <v>10742</v>
      </c>
      <c r="B1302">
        <v>60</v>
      </c>
      <c r="C1302" s="6">
        <v>34</v>
      </c>
      <c r="D1302" s="6">
        <v>50</v>
      </c>
      <c r="E1302" s="8">
        <v>0</v>
      </c>
    </row>
    <row r="1303" spans="1:5" x14ac:dyDescent="0.2">
      <c r="A1303">
        <v>10742</v>
      </c>
      <c r="B1303">
        <v>72</v>
      </c>
      <c r="C1303" s="6">
        <v>34.799999999999997</v>
      </c>
      <c r="D1303" s="6">
        <v>35</v>
      </c>
      <c r="E1303" s="8">
        <v>0</v>
      </c>
    </row>
    <row r="1304" spans="1:5" x14ac:dyDescent="0.2">
      <c r="A1304">
        <v>10743</v>
      </c>
      <c r="B1304">
        <v>46</v>
      </c>
      <c r="C1304" s="6">
        <v>12</v>
      </c>
      <c r="D1304" s="6">
        <v>28</v>
      </c>
      <c r="E1304" s="8">
        <v>0.05</v>
      </c>
    </row>
    <row r="1305" spans="1:5" x14ac:dyDescent="0.2">
      <c r="A1305">
        <v>10744</v>
      </c>
      <c r="B1305">
        <v>40</v>
      </c>
      <c r="C1305" s="6">
        <v>18.399999999999999</v>
      </c>
      <c r="D1305" s="6">
        <v>50</v>
      </c>
      <c r="E1305" s="8">
        <v>0.2</v>
      </c>
    </row>
    <row r="1306" spans="1:5" x14ac:dyDescent="0.2">
      <c r="A1306">
        <v>10745</v>
      </c>
      <c r="B1306">
        <v>18</v>
      </c>
      <c r="C1306" s="6">
        <v>62.5</v>
      </c>
      <c r="D1306" s="6">
        <v>24</v>
      </c>
      <c r="E1306" s="8">
        <v>0</v>
      </c>
    </row>
    <row r="1307" spans="1:5" x14ac:dyDescent="0.2">
      <c r="A1307">
        <v>10745</v>
      </c>
      <c r="B1307">
        <v>44</v>
      </c>
      <c r="C1307" s="6">
        <v>19.45</v>
      </c>
      <c r="D1307" s="6">
        <v>16</v>
      </c>
      <c r="E1307" s="8">
        <v>0</v>
      </c>
    </row>
    <row r="1308" spans="1:5" x14ac:dyDescent="0.2">
      <c r="A1308">
        <v>10745</v>
      </c>
      <c r="B1308">
        <v>59</v>
      </c>
      <c r="C1308" s="6">
        <v>55</v>
      </c>
      <c r="D1308" s="6">
        <v>45</v>
      </c>
      <c r="E1308" s="8">
        <v>0</v>
      </c>
    </row>
    <row r="1309" spans="1:5" x14ac:dyDescent="0.2">
      <c r="A1309">
        <v>10745</v>
      </c>
      <c r="B1309">
        <v>72</v>
      </c>
      <c r="C1309" s="6">
        <v>34.799999999999997</v>
      </c>
      <c r="D1309" s="6">
        <v>7</v>
      </c>
      <c r="E1309" s="8">
        <v>0</v>
      </c>
    </row>
    <row r="1310" spans="1:5" x14ac:dyDescent="0.2">
      <c r="A1310">
        <v>10746</v>
      </c>
      <c r="B1310">
        <v>13</v>
      </c>
      <c r="C1310" s="6">
        <v>6</v>
      </c>
      <c r="D1310" s="6">
        <v>6</v>
      </c>
      <c r="E1310" s="8">
        <v>0</v>
      </c>
    </row>
    <row r="1311" spans="1:5" x14ac:dyDescent="0.2">
      <c r="A1311">
        <v>10746</v>
      </c>
      <c r="B1311">
        <v>42</v>
      </c>
      <c r="C1311" s="6">
        <v>14</v>
      </c>
      <c r="D1311" s="6">
        <v>28</v>
      </c>
      <c r="E1311" s="8">
        <v>0</v>
      </c>
    </row>
    <row r="1312" spans="1:5" x14ac:dyDescent="0.2">
      <c r="A1312">
        <v>10746</v>
      </c>
      <c r="B1312">
        <v>62</v>
      </c>
      <c r="C1312" s="6">
        <v>49.3</v>
      </c>
      <c r="D1312" s="6">
        <v>9</v>
      </c>
      <c r="E1312" s="8">
        <v>0</v>
      </c>
    </row>
    <row r="1313" spans="1:5" x14ac:dyDescent="0.2">
      <c r="A1313">
        <v>10746</v>
      </c>
      <c r="B1313">
        <v>69</v>
      </c>
      <c r="C1313" s="6">
        <v>36</v>
      </c>
      <c r="D1313" s="6">
        <v>40</v>
      </c>
      <c r="E1313" s="8">
        <v>0</v>
      </c>
    </row>
    <row r="1314" spans="1:5" x14ac:dyDescent="0.2">
      <c r="A1314">
        <v>10747</v>
      </c>
      <c r="B1314">
        <v>31</v>
      </c>
      <c r="C1314" s="6">
        <v>12.5</v>
      </c>
      <c r="D1314" s="6">
        <v>8</v>
      </c>
      <c r="E1314" s="8">
        <v>0</v>
      </c>
    </row>
    <row r="1315" spans="1:5" x14ac:dyDescent="0.2">
      <c r="A1315">
        <v>10747</v>
      </c>
      <c r="B1315">
        <v>41</v>
      </c>
      <c r="C1315" s="6">
        <v>9.65</v>
      </c>
      <c r="D1315" s="6">
        <v>35</v>
      </c>
      <c r="E1315" s="8">
        <v>0</v>
      </c>
    </row>
    <row r="1316" spans="1:5" x14ac:dyDescent="0.2">
      <c r="A1316">
        <v>10747</v>
      </c>
      <c r="B1316">
        <v>63</v>
      </c>
      <c r="C1316" s="6">
        <v>43.9</v>
      </c>
      <c r="D1316" s="6">
        <v>9</v>
      </c>
      <c r="E1316" s="8">
        <v>0</v>
      </c>
    </row>
    <row r="1317" spans="1:5" x14ac:dyDescent="0.2">
      <c r="A1317">
        <v>10747</v>
      </c>
      <c r="B1317">
        <v>69</v>
      </c>
      <c r="C1317" s="6">
        <v>36</v>
      </c>
      <c r="D1317" s="6">
        <v>30</v>
      </c>
      <c r="E1317" s="8">
        <v>0</v>
      </c>
    </row>
    <row r="1318" spans="1:5" x14ac:dyDescent="0.2">
      <c r="A1318">
        <v>10748</v>
      </c>
      <c r="B1318">
        <v>23</v>
      </c>
      <c r="C1318" s="6">
        <v>9</v>
      </c>
      <c r="D1318" s="6">
        <v>44</v>
      </c>
      <c r="E1318" s="8">
        <v>0</v>
      </c>
    </row>
    <row r="1319" spans="1:5" x14ac:dyDescent="0.2">
      <c r="A1319">
        <v>10748</v>
      </c>
      <c r="B1319">
        <v>40</v>
      </c>
      <c r="C1319" s="6">
        <v>18.399999999999999</v>
      </c>
      <c r="D1319" s="6">
        <v>40</v>
      </c>
      <c r="E1319" s="8">
        <v>0</v>
      </c>
    </row>
    <row r="1320" spans="1:5" x14ac:dyDescent="0.2">
      <c r="A1320">
        <v>10748</v>
      </c>
      <c r="B1320">
        <v>56</v>
      </c>
      <c r="C1320" s="6">
        <v>38</v>
      </c>
      <c r="D1320" s="6">
        <v>28</v>
      </c>
      <c r="E1320" s="8">
        <v>0</v>
      </c>
    </row>
    <row r="1321" spans="1:5" x14ac:dyDescent="0.2">
      <c r="A1321">
        <v>10749</v>
      </c>
      <c r="B1321">
        <v>56</v>
      </c>
      <c r="C1321" s="6">
        <v>38</v>
      </c>
      <c r="D1321" s="6">
        <v>15</v>
      </c>
      <c r="E1321" s="8">
        <v>0</v>
      </c>
    </row>
    <row r="1322" spans="1:5" x14ac:dyDescent="0.2">
      <c r="A1322">
        <v>10749</v>
      </c>
      <c r="B1322">
        <v>59</v>
      </c>
      <c r="C1322" s="6">
        <v>55</v>
      </c>
      <c r="D1322" s="6">
        <v>6</v>
      </c>
      <c r="E1322" s="8">
        <v>0</v>
      </c>
    </row>
    <row r="1323" spans="1:5" x14ac:dyDescent="0.2">
      <c r="A1323">
        <v>10749</v>
      </c>
      <c r="B1323">
        <v>76</v>
      </c>
      <c r="C1323" s="6">
        <v>18</v>
      </c>
      <c r="D1323" s="6">
        <v>10</v>
      </c>
      <c r="E1323" s="8">
        <v>0</v>
      </c>
    </row>
    <row r="1324" spans="1:5" x14ac:dyDescent="0.2">
      <c r="A1324">
        <v>10750</v>
      </c>
      <c r="B1324">
        <v>14</v>
      </c>
      <c r="C1324" s="6">
        <v>23.25</v>
      </c>
      <c r="D1324" s="6">
        <v>5</v>
      </c>
      <c r="E1324" s="8">
        <v>0.15</v>
      </c>
    </row>
    <row r="1325" spans="1:5" x14ac:dyDescent="0.2">
      <c r="A1325">
        <v>10750</v>
      </c>
      <c r="B1325">
        <v>45</v>
      </c>
      <c r="C1325" s="6">
        <v>9.5</v>
      </c>
      <c r="D1325" s="6">
        <v>40</v>
      </c>
      <c r="E1325" s="8">
        <v>0.15</v>
      </c>
    </row>
    <row r="1326" spans="1:5" x14ac:dyDescent="0.2">
      <c r="A1326">
        <v>10750</v>
      </c>
      <c r="B1326">
        <v>59</v>
      </c>
      <c r="C1326" s="6">
        <v>55</v>
      </c>
      <c r="D1326" s="6">
        <v>25</v>
      </c>
      <c r="E1326" s="8">
        <v>0.15</v>
      </c>
    </row>
    <row r="1327" spans="1:5" x14ac:dyDescent="0.2">
      <c r="A1327">
        <v>10751</v>
      </c>
      <c r="B1327">
        <v>26</v>
      </c>
      <c r="C1327" s="6">
        <v>31.23</v>
      </c>
      <c r="D1327" s="6">
        <v>12</v>
      </c>
      <c r="E1327" s="8">
        <v>0.1</v>
      </c>
    </row>
    <row r="1328" spans="1:5" x14ac:dyDescent="0.2">
      <c r="A1328">
        <v>10751</v>
      </c>
      <c r="B1328">
        <v>30</v>
      </c>
      <c r="C1328" s="6">
        <v>25.89</v>
      </c>
      <c r="D1328" s="6">
        <v>30</v>
      </c>
      <c r="E1328" s="8">
        <v>0</v>
      </c>
    </row>
    <row r="1329" spans="1:5" x14ac:dyDescent="0.2">
      <c r="A1329">
        <v>10751</v>
      </c>
      <c r="B1329">
        <v>50</v>
      </c>
      <c r="C1329" s="6">
        <v>16.25</v>
      </c>
      <c r="D1329" s="6">
        <v>20</v>
      </c>
      <c r="E1329" s="8">
        <v>0.1</v>
      </c>
    </row>
    <row r="1330" spans="1:5" x14ac:dyDescent="0.2">
      <c r="A1330">
        <v>10751</v>
      </c>
      <c r="B1330">
        <v>73</v>
      </c>
      <c r="C1330" s="6">
        <v>15</v>
      </c>
      <c r="D1330" s="6">
        <v>15</v>
      </c>
      <c r="E1330" s="8">
        <v>0</v>
      </c>
    </row>
    <row r="1331" spans="1:5" x14ac:dyDescent="0.2">
      <c r="A1331">
        <v>10752</v>
      </c>
      <c r="B1331">
        <v>1</v>
      </c>
      <c r="C1331" s="6">
        <v>18</v>
      </c>
      <c r="D1331" s="6">
        <v>8</v>
      </c>
      <c r="E1331" s="8">
        <v>0</v>
      </c>
    </row>
    <row r="1332" spans="1:5" x14ac:dyDescent="0.2">
      <c r="A1332">
        <v>10752</v>
      </c>
      <c r="B1332">
        <v>69</v>
      </c>
      <c r="C1332" s="6">
        <v>36</v>
      </c>
      <c r="D1332" s="6">
        <v>3</v>
      </c>
      <c r="E1332" s="8">
        <v>0</v>
      </c>
    </row>
    <row r="1333" spans="1:5" x14ac:dyDescent="0.2">
      <c r="A1333">
        <v>10753</v>
      </c>
      <c r="B1333">
        <v>45</v>
      </c>
      <c r="C1333" s="6">
        <v>9.5</v>
      </c>
      <c r="D1333" s="6">
        <v>4</v>
      </c>
      <c r="E1333" s="8">
        <v>0</v>
      </c>
    </row>
    <row r="1334" spans="1:5" x14ac:dyDescent="0.2">
      <c r="A1334">
        <v>10753</v>
      </c>
      <c r="B1334">
        <v>74</v>
      </c>
      <c r="C1334" s="6">
        <v>10</v>
      </c>
      <c r="D1334" s="6">
        <v>5</v>
      </c>
      <c r="E1334" s="8">
        <v>0</v>
      </c>
    </row>
    <row r="1335" spans="1:5" x14ac:dyDescent="0.2">
      <c r="A1335">
        <v>10754</v>
      </c>
      <c r="B1335">
        <v>40</v>
      </c>
      <c r="C1335" s="6">
        <v>18.399999999999999</v>
      </c>
      <c r="D1335" s="6">
        <v>3</v>
      </c>
      <c r="E1335" s="8">
        <v>0</v>
      </c>
    </row>
    <row r="1336" spans="1:5" x14ac:dyDescent="0.2">
      <c r="A1336">
        <v>10755</v>
      </c>
      <c r="B1336">
        <v>47</v>
      </c>
      <c r="C1336" s="6">
        <v>9.5</v>
      </c>
      <c r="D1336" s="6">
        <v>30</v>
      </c>
      <c r="E1336" s="8">
        <v>0.25</v>
      </c>
    </row>
    <row r="1337" spans="1:5" x14ac:dyDescent="0.2">
      <c r="A1337">
        <v>10755</v>
      </c>
      <c r="B1337">
        <v>56</v>
      </c>
      <c r="C1337" s="6">
        <v>38</v>
      </c>
      <c r="D1337" s="6">
        <v>30</v>
      </c>
      <c r="E1337" s="8">
        <v>0.25</v>
      </c>
    </row>
    <row r="1338" spans="1:5" x14ac:dyDescent="0.2">
      <c r="A1338">
        <v>10755</v>
      </c>
      <c r="B1338">
        <v>57</v>
      </c>
      <c r="C1338" s="6">
        <v>19.5</v>
      </c>
      <c r="D1338" s="6">
        <v>14</v>
      </c>
      <c r="E1338" s="8">
        <v>0.25</v>
      </c>
    </row>
    <row r="1339" spans="1:5" x14ac:dyDescent="0.2">
      <c r="A1339">
        <v>10755</v>
      </c>
      <c r="B1339">
        <v>69</v>
      </c>
      <c r="C1339" s="6">
        <v>36</v>
      </c>
      <c r="D1339" s="6">
        <v>25</v>
      </c>
      <c r="E1339" s="8">
        <v>0.25</v>
      </c>
    </row>
    <row r="1340" spans="1:5" x14ac:dyDescent="0.2">
      <c r="A1340">
        <v>10756</v>
      </c>
      <c r="B1340">
        <v>18</v>
      </c>
      <c r="C1340" s="6">
        <v>62.5</v>
      </c>
      <c r="D1340" s="6">
        <v>21</v>
      </c>
      <c r="E1340" s="8">
        <v>0.2</v>
      </c>
    </row>
    <row r="1341" spans="1:5" x14ac:dyDescent="0.2">
      <c r="A1341">
        <v>10756</v>
      </c>
      <c r="B1341">
        <v>36</v>
      </c>
      <c r="C1341" s="6">
        <v>19</v>
      </c>
      <c r="D1341" s="6">
        <v>20</v>
      </c>
      <c r="E1341" s="8">
        <v>0.2</v>
      </c>
    </row>
    <row r="1342" spans="1:5" x14ac:dyDescent="0.2">
      <c r="A1342">
        <v>10756</v>
      </c>
      <c r="B1342">
        <v>68</v>
      </c>
      <c r="C1342" s="6">
        <v>12.5</v>
      </c>
      <c r="D1342" s="6">
        <v>6</v>
      </c>
      <c r="E1342" s="8">
        <v>0.2</v>
      </c>
    </row>
    <row r="1343" spans="1:5" x14ac:dyDescent="0.2">
      <c r="A1343">
        <v>10756</v>
      </c>
      <c r="B1343">
        <v>69</v>
      </c>
      <c r="C1343" s="6">
        <v>36</v>
      </c>
      <c r="D1343" s="6">
        <v>20</v>
      </c>
      <c r="E1343" s="8">
        <v>0.2</v>
      </c>
    </row>
    <row r="1344" spans="1:5" x14ac:dyDescent="0.2">
      <c r="A1344">
        <v>10757</v>
      </c>
      <c r="B1344">
        <v>34</v>
      </c>
      <c r="C1344" s="6">
        <v>14</v>
      </c>
      <c r="D1344" s="6">
        <v>30</v>
      </c>
      <c r="E1344" s="8">
        <v>0</v>
      </c>
    </row>
    <row r="1345" spans="1:5" x14ac:dyDescent="0.2">
      <c r="A1345">
        <v>10757</v>
      </c>
      <c r="B1345">
        <v>59</v>
      </c>
      <c r="C1345" s="6">
        <v>55</v>
      </c>
      <c r="D1345" s="6">
        <v>7</v>
      </c>
      <c r="E1345" s="8">
        <v>0</v>
      </c>
    </row>
    <row r="1346" spans="1:5" x14ac:dyDescent="0.2">
      <c r="A1346">
        <v>10757</v>
      </c>
      <c r="B1346">
        <v>62</v>
      </c>
      <c r="C1346" s="6">
        <v>49.3</v>
      </c>
      <c r="D1346" s="6">
        <v>30</v>
      </c>
      <c r="E1346" s="8">
        <v>0</v>
      </c>
    </row>
    <row r="1347" spans="1:5" x14ac:dyDescent="0.2">
      <c r="A1347">
        <v>10757</v>
      </c>
      <c r="B1347">
        <v>64</v>
      </c>
      <c r="C1347" s="6">
        <v>33.25</v>
      </c>
      <c r="D1347" s="6">
        <v>24</v>
      </c>
      <c r="E1347" s="8">
        <v>0</v>
      </c>
    </row>
    <row r="1348" spans="1:5" x14ac:dyDescent="0.2">
      <c r="A1348">
        <v>10758</v>
      </c>
      <c r="B1348">
        <v>26</v>
      </c>
      <c r="C1348" s="6">
        <v>31.23</v>
      </c>
      <c r="D1348" s="6">
        <v>20</v>
      </c>
      <c r="E1348" s="8">
        <v>0</v>
      </c>
    </row>
    <row r="1349" spans="1:5" x14ac:dyDescent="0.2">
      <c r="A1349">
        <v>10758</v>
      </c>
      <c r="B1349">
        <v>52</v>
      </c>
      <c r="C1349" s="6">
        <v>7</v>
      </c>
      <c r="D1349" s="6">
        <v>60</v>
      </c>
      <c r="E1349" s="8">
        <v>0</v>
      </c>
    </row>
    <row r="1350" spans="1:5" x14ac:dyDescent="0.2">
      <c r="A1350">
        <v>10758</v>
      </c>
      <c r="B1350">
        <v>70</v>
      </c>
      <c r="C1350" s="6">
        <v>15</v>
      </c>
      <c r="D1350" s="6">
        <v>40</v>
      </c>
      <c r="E1350" s="8">
        <v>0</v>
      </c>
    </row>
    <row r="1351" spans="1:5" x14ac:dyDescent="0.2">
      <c r="A1351">
        <v>10759</v>
      </c>
      <c r="B1351">
        <v>32</v>
      </c>
      <c r="C1351" s="6">
        <v>32</v>
      </c>
      <c r="D1351" s="6">
        <v>10</v>
      </c>
      <c r="E1351" s="8">
        <v>0</v>
      </c>
    </row>
    <row r="1352" spans="1:5" x14ac:dyDescent="0.2">
      <c r="A1352">
        <v>10760</v>
      </c>
      <c r="B1352">
        <v>25</v>
      </c>
      <c r="C1352" s="6">
        <v>14</v>
      </c>
      <c r="D1352" s="6">
        <v>12</v>
      </c>
      <c r="E1352" s="8">
        <v>0.25</v>
      </c>
    </row>
    <row r="1353" spans="1:5" x14ac:dyDescent="0.2">
      <c r="A1353">
        <v>10760</v>
      </c>
      <c r="B1353">
        <v>27</v>
      </c>
      <c r="C1353" s="6">
        <v>43.9</v>
      </c>
      <c r="D1353" s="6">
        <v>40</v>
      </c>
      <c r="E1353" s="8">
        <v>0</v>
      </c>
    </row>
    <row r="1354" spans="1:5" x14ac:dyDescent="0.2">
      <c r="A1354">
        <v>10760</v>
      </c>
      <c r="B1354">
        <v>43</v>
      </c>
      <c r="C1354" s="6">
        <v>46</v>
      </c>
      <c r="D1354" s="6">
        <v>30</v>
      </c>
      <c r="E1354" s="8">
        <v>0.25</v>
      </c>
    </row>
    <row r="1355" spans="1:5" x14ac:dyDescent="0.2">
      <c r="A1355">
        <v>10761</v>
      </c>
      <c r="B1355">
        <v>25</v>
      </c>
      <c r="C1355" s="6">
        <v>14</v>
      </c>
      <c r="D1355" s="6">
        <v>35</v>
      </c>
      <c r="E1355" s="8">
        <v>0.25</v>
      </c>
    </row>
    <row r="1356" spans="1:5" x14ac:dyDescent="0.2">
      <c r="A1356">
        <v>10761</v>
      </c>
      <c r="B1356">
        <v>75</v>
      </c>
      <c r="C1356" s="6">
        <v>7.75</v>
      </c>
      <c r="D1356" s="6">
        <v>18</v>
      </c>
      <c r="E1356" s="8">
        <v>0</v>
      </c>
    </row>
    <row r="1357" spans="1:5" x14ac:dyDescent="0.2">
      <c r="A1357">
        <v>10762</v>
      </c>
      <c r="B1357">
        <v>39</v>
      </c>
      <c r="C1357" s="6">
        <v>18</v>
      </c>
      <c r="D1357" s="6">
        <v>16</v>
      </c>
      <c r="E1357" s="8">
        <v>0</v>
      </c>
    </row>
    <row r="1358" spans="1:5" x14ac:dyDescent="0.2">
      <c r="A1358">
        <v>10762</v>
      </c>
      <c r="B1358">
        <v>47</v>
      </c>
      <c r="C1358" s="6">
        <v>9.5</v>
      </c>
      <c r="D1358" s="6">
        <v>30</v>
      </c>
      <c r="E1358" s="8">
        <v>0</v>
      </c>
    </row>
    <row r="1359" spans="1:5" x14ac:dyDescent="0.2">
      <c r="A1359">
        <v>10762</v>
      </c>
      <c r="B1359">
        <v>51</v>
      </c>
      <c r="C1359" s="6">
        <v>53</v>
      </c>
      <c r="D1359" s="6">
        <v>28</v>
      </c>
      <c r="E1359" s="8">
        <v>0</v>
      </c>
    </row>
    <row r="1360" spans="1:5" x14ac:dyDescent="0.2">
      <c r="A1360">
        <v>10762</v>
      </c>
      <c r="B1360">
        <v>56</v>
      </c>
      <c r="C1360" s="6">
        <v>38</v>
      </c>
      <c r="D1360" s="6">
        <v>60</v>
      </c>
      <c r="E1360" s="8">
        <v>0</v>
      </c>
    </row>
    <row r="1361" spans="1:5" x14ac:dyDescent="0.2">
      <c r="A1361">
        <v>10763</v>
      </c>
      <c r="B1361">
        <v>21</v>
      </c>
      <c r="C1361" s="6">
        <v>10</v>
      </c>
      <c r="D1361" s="6">
        <v>40</v>
      </c>
      <c r="E1361" s="8">
        <v>0</v>
      </c>
    </row>
    <row r="1362" spans="1:5" x14ac:dyDescent="0.2">
      <c r="A1362">
        <v>10763</v>
      </c>
      <c r="B1362">
        <v>22</v>
      </c>
      <c r="C1362" s="6">
        <v>21</v>
      </c>
      <c r="D1362" s="6">
        <v>6</v>
      </c>
      <c r="E1362" s="8">
        <v>0</v>
      </c>
    </row>
    <row r="1363" spans="1:5" x14ac:dyDescent="0.2">
      <c r="A1363">
        <v>10763</v>
      </c>
      <c r="B1363">
        <v>24</v>
      </c>
      <c r="C1363" s="6">
        <v>4.5</v>
      </c>
      <c r="D1363" s="6">
        <v>20</v>
      </c>
      <c r="E1363" s="8">
        <v>0</v>
      </c>
    </row>
    <row r="1364" spans="1:5" x14ac:dyDescent="0.2">
      <c r="A1364">
        <v>10764</v>
      </c>
      <c r="B1364">
        <v>3</v>
      </c>
      <c r="C1364" s="6">
        <v>10</v>
      </c>
      <c r="D1364" s="6">
        <v>20</v>
      </c>
      <c r="E1364" s="8">
        <v>0.1</v>
      </c>
    </row>
    <row r="1365" spans="1:5" x14ac:dyDescent="0.2">
      <c r="A1365">
        <v>10764</v>
      </c>
      <c r="B1365">
        <v>39</v>
      </c>
      <c r="C1365" s="6">
        <v>18</v>
      </c>
      <c r="D1365" s="6">
        <v>130</v>
      </c>
      <c r="E1365" s="8">
        <v>0.1</v>
      </c>
    </row>
    <row r="1366" spans="1:5" x14ac:dyDescent="0.2">
      <c r="A1366">
        <v>10765</v>
      </c>
      <c r="B1366">
        <v>65</v>
      </c>
      <c r="C1366" s="6">
        <v>21.05</v>
      </c>
      <c r="D1366" s="6">
        <v>80</v>
      </c>
      <c r="E1366" s="8">
        <v>0.1</v>
      </c>
    </row>
    <row r="1367" spans="1:5" x14ac:dyDescent="0.2">
      <c r="A1367">
        <v>10766</v>
      </c>
      <c r="B1367">
        <v>2</v>
      </c>
      <c r="C1367" s="6">
        <v>19</v>
      </c>
      <c r="D1367" s="6">
        <v>40</v>
      </c>
      <c r="E1367" s="8">
        <v>0</v>
      </c>
    </row>
    <row r="1368" spans="1:5" x14ac:dyDescent="0.2">
      <c r="A1368">
        <v>10766</v>
      </c>
      <c r="B1368">
        <v>7</v>
      </c>
      <c r="C1368" s="6">
        <v>30</v>
      </c>
      <c r="D1368" s="6">
        <v>35</v>
      </c>
      <c r="E1368" s="8">
        <v>0</v>
      </c>
    </row>
    <row r="1369" spans="1:5" x14ac:dyDescent="0.2">
      <c r="A1369">
        <v>10766</v>
      </c>
      <c r="B1369">
        <v>68</v>
      </c>
      <c r="C1369" s="6">
        <v>12.5</v>
      </c>
      <c r="D1369" s="6">
        <v>40</v>
      </c>
      <c r="E1369" s="8">
        <v>0</v>
      </c>
    </row>
    <row r="1370" spans="1:5" x14ac:dyDescent="0.2">
      <c r="A1370">
        <v>10767</v>
      </c>
      <c r="B1370">
        <v>42</v>
      </c>
      <c r="C1370" s="6">
        <v>14</v>
      </c>
      <c r="D1370" s="6">
        <v>2</v>
      </c>
      <c r="E1370" s="8">
        <v>0</v>
      </c>
    </row>
    <row r="1371" spans="1:5" x14ac:dyDescent="0.2">
      <c r="A1371">
        <v>10768</v>
      </c>
      <c r="B1371">
        <v>22</v>
      </c>
      <c r="C1371" s="6">
        <v>21</v>
      </c>
      <c r="D1371" s="6">
        <v>4</v>
      </c>
      <c r="E1371" s="8">
        <v>0</v>
      </c>
    </row>
    <row r="1372" spans="1:5" x14ac:dyDescent="0.2">
      <c r="A1372">
        <v>10768</v>
      </c>
      <c r="B1372">
        <v>31</v>
      </c>
      <c r="C1372" s="6">
        <v>12.5</v>
      </c>
      <c r="D1372" s="6">
        <v>50</v>
      </c>
      <c r="E1372" s="8">
        <v>0</v>
      </c>
    </row>
    <row r="1373" spans="1:5" x14ac:dyDescent="0.2">
      <c r="A1373">
        <v>10768</v>
      </c>
      <c r="B1373">
        <v>60</v>
      </c>
      <c r="C1373" s="6">
        <v>34</v>
      </c>
      <c r="D1373" s="6">
        <v>15</v>
      </c>
      <c r="E1373" s="8">
        <v>0</v>
      </c>
    </row>
    <row r="1374" spans="1:5" x14ac:dyDescent="0.2">
      <c r="A1374">
        <v>10768</v>
      </c>
      <c r="B1374">
        <v>71</v>
      </c>
      <c r="C1374" s="6">
        <v>21.5</v>
      </c>
      <c r="D1374" s="6">
        <v>12</v>
      </c>
      <c r="E1374" s="8">
        <v>0</v>
      </c>
    </row>
    <row r="1375" spans="1:5" x14ac:dyDescent="0.2">
      <c r="A1375">
        <v>10769</v>
      </c>
      <c r="B1375">
        <v>41</v>
      </c>
      <c r="C1375" s="6">
        <v>9.65</v>
      </c>
      <c r="D1375" s="6">
        <v>30</v>
      </c>
      <c r="E1375" s="8">
        <v>0.05</v>
      </c>
    </row>
    <row r="1376" spans="1:5" x14ac:dyDescent="0.2">
      <c r="A1376">
        <v>10769</v>
      </c>
      <c r="B1376">
        <v>52</v>
      </c>
      <c r="C1376" s="6">
        <v>7</v>
      </c>
      <c r="D1376" s="6">
        <v>15</v>
      </c>
      <c r="E1376" s="8">
        <v>0.05</v>
      </c>
    </row>
    <row r="1377" spans="1:5" x14ac:dyDescent="0.2">
      <c r="A1377">
        <v>10769</v>
      </c>
      <c r="B1377">
        <v>61</v>
      </c>
      <c r="C1377" s="6">
        <v>28.5</v>
      </c>
      <c r="D1377" s="6">
        <v>20</v>
      </c>
      <c r="E1377" s="8">
        <v>0</v>
      </c>
    </row>
    <row r="1378" spans="1:5" x14ac:dyDescent="0.2">
      <c r="A1378">
        <v>10769</v>
      </c>
      <c r="B1378">
        <v>62</v>
      </c>
      <c r="C1378" s="6">
        <v>49.3</v>
      </c>
      <c r="D1378" s="6">
        <v>15</v>
      </c>
      <c r="E1378" s="8">
        <v>0</v>
      </c>
    </row>
    <row r="1379" spans="1:5" x14ac:dyDescent="0.2">
      <c r="A1379">
        <v>10770</v>
      </c>
      <c r="B1379">
        <v>11</v>
      </c>
      <c r="C1379" s="6">
        <v>21</v>
      </c>
      <c r="D1379" s="6">
        <v>15</v>
      </c>
      <c r="E1379" s="8">
        <v>0.25</v>
      </c>
    </row>
    <row r="1380" spans="1:5" x14ac:dyDescent="0.2">
      <c r="A1380">
        <v>10771</v>
      </c>
      <c r="B1380">
        <v>71</v>
      </c>
      <c r="C1380" s="6">
        <v>21.5</v>
      </c>
      <c r="D1380" s="6">
        <v>16</v>
      </c>
      <c r="E1380" s="8">
        <v>0</v>
      </c>
    </row>
    <row r="1381" spans="1:5" x14ac:dyDescent="0.2">
      <c r="A1381">
        <v>10772</v>
      </c>
      <c r="B1381">
        <v>29</v>
      </c>
      <c r="C1381" s="6">
        <v>123.79</v>
      </c>
      <c r="D1381" s="6">
        <v>18</v>
      </c>
      <c r="E1381" s="8">
        <v>0</v>
      </c>
    </row>
    <row r="1382" spans="1:5" x14ac:dyDescent="0.2">
      <c r="A1382">
        <v>10772</v>
      </c>
      <c r="B1382">
        <v>59</v>
      </c>
      <c r="C1382" s="6">
        <v>55</v>
      </c>
      <c r="D1382" s="6">
        <v>25</v>
      </c>
      <c r="E1382" s="8">
        <v>0</v>
      </c>
    </row>
    <row r="1383" spans="1:5" x14ac:dyDescent="0.2">
      <c r="A1383">
        <v>10773</v>
      </c>
      <c r="B1383">
        <v>17</v>
      </c>
      <c r="C1383" s="6">
        <v>39</v>
      </c>
      <c r="D1383" s="6">
        <v>33</v>
      </c>
      <c r="E1383" s="8">
        <v>0</v>
      </c>
    </row>
    <row r="1384" spans="1:5" x14ac:dyDescent="0.2">
      <c r="A1384">
        <v>10773</v>
      </c>
      <c r="B1384">
        <v>31</v>
      </c>
      <c r="C1384" s="6">
        <v>12.5</v>
      </c>
      <c r="D1384" s="6">
        <v>70</v>
      </c>
      <c r="E1384" s="8">
        <v>0.2</v>
      </c>
    </row>
    <row r="1385" spans="1:5" x14ac:dyDescent="0.2">
      <c r="A1385">
        <v>10773</v>
      </c>
      <c r="B1385">
        <v>75</v>
      </c>
      <c r="C1385" s="6">
        <v>7.75</v>
      </c>
      <c r="D1385" s="6">
        <v>7</v>
      </c>
      <c r="E1385" s="8">
        <v>0.2</v>
      </c>
    </row>
    <row r="1386" spans="1:5" x14ac:dyDescent="0.2">
      <c r="A1386">
        <v>10774</v>
      </c>
      <c r="B1386">
        <v>31</v>
      </c>
      <c r="C1386" s="6">
        <v>12.5</v>
      </c>
      <c r="D1386" s="6">
        <v>2</v>
      </c>
      <c r="E1386" s="8">
        <v>0.25</v>
      </c>
    </row>
    <row r="1387" spans="1:5" x14ac:dyDescent="0.2">
      <c r="A1387">
        <v>10774</v>
      </c>
      <c r="B1387">
        <v>66</v>
      </c>
      <c r="C1387" s="6">
        <v>17</v>
      </c>
      <c r="D1387" s="6">
        <v>50</v>
      </c>
      <c r="E1387" s="8">
        <v>0</v>
      </c>
    </row>
    <row r="1388" spans="1:5" x14ac:dyDescent="0.2">
      <c r="A1388">
        <v>10775</v>
      </c>
      <c r="B1388">
        <v>10</v>
      </c>
      <c r="C1388" s="6">
        <v>31</v>
      </c>
      <c r="D1388" s="6">
        <v>6</v>
      </c>
      <c r="E1388" s="8">
        <v>0</v>
      </c>
    </row>
    <row r="1389" spans="1:5" x14ac:dyDescent="0.2">
      <c r="A1389">
        <v>10775</v>
      </c>
      <c r="B1389">
        <v>67</v>
      </c>
      <c r="C1389" s="6">
        <v>14</v>
      </c>
      <c r="D1389" s="6">
        <v>3</v>
      </c>
      <c r="E1389" s="8">
        <v>0</v>
      </c>
    </row>
    <row r="1390" spans="1:5" x14ac:dyDescent="0.2">
      <c r="A1390">
        <v>10776</v>
      </c>
      <c r="B1390">
        <v>31</v>
      </c>
      <c r="C1390" s="6">
        <v>12.5</v>
      </c>
      <c r="D1390" s="6">
        <v>16</v>
      </c>
      <c r="E1390" s="8">
        <v>0.05</v>
      </c>
    </row>
    <row r="1391" spans="1:5" x14ac:dyDescent="0.2">
      <c r="A1391">
        <v>10776</v>
      </c>
      <c r="B1391">
        <v>42</v>
      </c>
      <c r="C1391" s="6">
        <v>14</v>
      </c>
      <c r="D1391" s="6">
        <v>12</v>
      </c>
      <c r="E1391" s="8">
        <v>0.05</v>
      </c>
    </row>
    <row r="1392" spans="1:5" x14ac:dyDescent="0.2">
      <c r="A1392">
        <v>10776</v>
      </c>
      <c r="B1392">
        <v>45</v>
      </c>
      <c r="C1392" s="6">
        <v>9.5</v>
      </c>
      <c r="D1392" s="6">
        <v>27</v>
      </c>
      <c r="E1392" s="8">
        <v>0.05</v>
      </c>
    </row>
    <row r="1393" spans="1:5" x14ac:dyDescent="0.2">
      <c r="A1393">
        <v>10776</v>
      </c>
      <c r="B1393">
        <v>51</v>
      </c>
      <c r="C1393" s="6">
        <v>53</v>
      </c>
      <c r="D1393" s="6">
        <v>120</v>
      </c>
      <c r="E1393" s="8">
        <v>0.05</v>
      </c>
    </row>
    <row r="1394" spans="1:5" x14ac:dyDescent="0.2">
      <c r="A1394">
        <v>10777</v>
      </c>
      <c r="B1394">
        <v>42</v>
      </c>
      <c r="C1394" s="6">
        <v>14</v>
      </c>
      <c r="D1394" s="6">
        <v>20</v>
      </c>
      <c r="E1394" s="8">
        <v>0.2</v>
      </c>
    </row>
    <row r="1395" spans="1:5" x14ac:dyDescent="0.2">
      <c r="A1395">
        <v>10778</v>
      </c>
      <c r="B1395">
        <v>41</v>
      </c>
      <c r="C1395" s="6">
        <v>9.65</v>
      </c>
      <c r="D1395" s="6">
        <v>10</v>
      </c>
      <c r="E1395" s="8">
        <v>0</v>
      </c>
    </row>
    <row r="1396" spans="1:5" x14ac:dyDescent="0.2">
      <c r="A1396">
        <v>10779</v>
      </c>
      <c r="B1396">
        <v>16</v>
      </c>
      <c r="C1396" s="6">
        <v>17.45</v>
      </c>
      <c r="D1396" s="6">
        <v>20</v>
      </c>
      <c r="E1396" s="8">
        <v>0</v>
      </c>
    </row>
    <row r="1397" spans="1:5" x14ac:dyDescent="0.2">
      <c r="A1397">
        <v>10779</v>
      </c>
      <c r="B1397">
        <v>62</v>
      </c>
      <c r="C1397" s="6">
        <v>49.3</v>
      </c>
      <c r="D1397" s="6">
        <v>20</v>
      </c>
      <c r="E1397" s="8">
        <v>0</v>
      </c>
    </row>
    <row r="1398" spans="1:5" x14ac:dyDescent="0.2">
      <c r="A1398">
        <v>10780</v>
      </c>
      <c r="B1398">
        <v>70</v>
      </c>
      <c r="C1398" s="6">
        <v>15</v>
      </c>
      <c r="D1398" s="6">
        <v>35</v>
      </c>
      <c r="E1398" s="8">
        <v>0</v>
      </c>
    </row>
    <row r="1399" spans="1:5" x14ac:dyDescent="0.2">
      <c r="A1399">
        <v>10780</v>
      </c>
      <c r="B1399">
        <v>77</v>
      </c>
      <c r="C1399" s="6">
        <v>13</v>
      </c>
      <c r="D1399" s="6">
        <v>15</v>
      </c>
      <c r="E1399" s="8">
        <v>0</v>
      </c>
    </row>
    <row r="1400" spans="1:5" x14ac:dyDescent="0.2">
      <c r="A1400">
        <v>10781</v>
      </c>
      <c r="B1400">
        <v>54</v>
      </c>
      <c r="C1400" s="6">
        <v>7.45</v>
      </c>
      <c r="D1400" s="6">
        <v>3</v>
      </c>
      <c r="E1400" s="8">
        <v>0.2</v>
      </c>
    </row>
    <row r="1401" spans="1:5" x14ac:dyDescent="0.2">
      <c r="A1401">
        <v>10781</v>
      </c>
      <c r="B1401">
        <v>56</v>
      </c>
      <c r="C1401" s="6">
        <v>38</v>
      </c>
      <c r="D1401" s="6">
        <v>20</v>
      </c>
      <c r="E1401" s="8">
        <v>0.2</v>
      </c>
    </row>
    <row r="1402" spans="1:5" x14ac:dyDescent="0.2">
      <c r="A1402">
        <v>10781</v>
      </c>
      <c r="B1402">
        <v>74</v>
      </c>
      <c r="C1402" s="6">
        <v>10</v>
      </c>
      <c r="D1402" s="6">
        <v>35</v>
      </c>
      <c r="E1402" s="8">
        <v>0</v>
      </c>
    </row>
    <row r="1403" spans="1:5" x14ac:dyDescent="0.2">
      <c r="A1403">
        <v>10782</v>
      </c>
      <c r="B1403">
        <v>31</v>
      </c>
      <c r="C1403" s="6">
        <v>12.5</v>
      </c>
      <c r="D1403" s="6">
        <v>1</v>
      </c>
      <c r="E1403" s="8">
        <v>0</v>
      </c>
    </row>
    <row r="1404" spans="1:5" x14ac:dyDescent="0.2">
      <c r="A1404">
        <v>10783</v>
      </c>
      <c r="B1404">
        <v>31</v>
      </c>
      <c r="C1404" s="6">
        <v>12.5</v>
      </c>
      <c r="D1404" s="6">
        <v>10</v>
      </c>
      <c r="E1404" s="8">
        <v>0</v>
      </c>
    </row>
    <row r="1405" spans="1:5" x14ac:dyDescent="0.2">
      <c r="A1405">
        <v>10783</v>
      </c>
      <c r="B1405">
        <v>38</v>
      </c>
      <c r="C1405" s="6">
        <v>263.5</v>
      </c>
      <c r="D1405" s="6">
        <v>5</v>
      </c>
      <c r="E1405" s="8">
        <v>0</v>
      </c>
    </row>
    <row r="1406" spans="1:5" x14ac:dyDescent="0.2">
      <c r="A1406">
        <v>10784</v>
      </c>
      <c r="B1406">
        <v>36</v>
      </c>
      <c r="C1406" s="6">
        <v>19</v>
      </c>
      <c r="D1406" s="6">
        <v>30</v>
      </c>
      <c r="E1406" s="8">
        <v>0</v>
      </c>
    </row>
    <row r="1407" spans="1:5" x14ac:dyDescent="0.2">
      <c r="A1407">
        <v>10784</v>
      </c>
      <c r="B1407">
        <v>39</v>
      </c>
      <c r="C1407" s="6">
        <v>18</v>
      </c>
      <c r="D1407" s="6">
        <v>2</v>
      </c>
      <c r="E1407" s="8">
        <v>0.15</v>
      </c>
    </row>
    <row r="1408" spans="1:5" x14ac:dyDescent="0.2">
      <c r="A1408">
        <v>10784</v>
      </c>
      <c r="B1408">
        <v>72</v>
      </c>
      <c r="C1408" s="6">
        <v>34.799999999999997</v>
      </c>
      <c r="D1408" s="6">
        <v>30</v>
      </c>
      <c r="E1408" s="8">
        <v>0.15</v>
      </c>
    </row>
    <row r="1409" spans="1:5" x14ac:dyDescent="0.2">
      <c r="A1409">
        <v>10785</v>
      </c>
      <c r="B1409">
        <v>10</v>
      </c>
      <c r="C1409" s="6">
        <v>31</v>
      </c>
      <c r="D1409" s="6">
        <v>10</v>
      </c>
      <c r="E1409" s="8">
        <v>0</v>
      </c>
    </row>
    <row r="1410" spans="1:5" x14ac:dyDescent="0.2">
      <c r="A1410">
        <v>10785</v>
      </c>
      <c r="B1410">
        <v>75</v>
      </c>
      <c r="C1410" s="6">
        <v>7.75</v>
      </c>
      <c r="D1410" s="6">
        <v>10</v>
      </c>
      <c r="E1410" s="8">
        <v>0</v>
      </c>
    </row>
    <row r="1411" spans="1:5" x14ac:dyDescent="0.2">
      <c r="A1411">
        <v>10786</v>
      </c>
      <c r="B1411">
        <v>8</v>
      </c>
      <c r="C1411" s="6">
        <v>40</v>
      </c>
      <c r="D1411" s="6">
        <v>30</v>
      </c>
      <c r="E1411" s="8">
        <v>0.2</v>
      </c>
    </row>
    <row r="1412" spans="1:5" x14ac:dyDescent="0.2">
      <c r="A1412">
        <v>10786</v>
      </c>
      <c r="B1412">
        <v>30</v>
      </c>
      <c r="C1412" s="6">
        <v>25.89</v>
      </c>
      <c r="D1412" s="6">
        <v>15</v>
      </c>
      <c r="E1412" s="8">
        <v>0.2</v>
      </c>
    </row>
    <row r="1413" spans="1:5" x14ac:dyDescent="0.2">
      <c r="A1413">
        <v>10786</v>
      </c>
      <c r="B1413">
        <v>75</v>
      </c>
      <c r="C1413" s="6">
        <v>7.75</v>
      </c>
      <c r="D1413" s="6">
        <v>42</v>
      </c>
      <c r="E1413" s="8">
        <v>0.2</v>
      </c>
    </row>
    <row r="1414" spans="1:5" x14ac:dyDescent="0.2">
      <c r="A1414">
        <v>10787</v>
      </c>
      <c r="B1414">
        <v>2</v>
      </c>
      <c r="C1414" s="6">
        <v>19</v>
      </c>
      <c r="D1414" s="6">
        <v>15</v>
      </c>
      <c r="E1414" s="8">
        <v>0.05</v>
      </c>
    </row>
    <row r="1415" spans="1:5" x14ac:dyDescent="0.2">
      <c r="A1415">
        <v>10787</v>
      </c>
      <c r="B1415">
        <v>29</v>
      </c>
      <c r="C1415" s="6">
        <v>123.79</v>
      </c>
      <c r="D1415" s="6">
        <v>20</v>
      </c>
      <c r="E1415" s="8">
        <v>0.05</v>
      </c>
    </row>
    <row r="1416" spans="1:5" x14ac:dyDescent="0.2">
      <c r="A1416">
        <v>10788</v>
      </c>
      <c r="B1416">
        <v>19</v>
      </c>
      <c r="C1416" s="6">
        <v>9.1999999999999993</v>
      </c>
      <c r="D1416" s="6">
        <v>50</v>
      </c>
      <c r="E1416" s="8">
        <v>0.05</v>
      </c>
    </row>
    <row r="1417" spans="1:5" x14ac:dyDescent="0.2">
      <c r="A1417">
        <v>10788</v>
      </c>
      <c r="B1417">
        <v>75</v>
      </c>
      <c r="C1417" s="6">
        <v>7.75</v>
      </c>
      <c r="D1417" s="6">
        <v>40</v>
      </c>
      <c r="E1417" s="8">
        <v>0.05</v>
      </c>
    </row>
    <row r="1418" spans="1:5" x14ac:dyDescent="0.2">
      <c r="A1418">
        <v>10789</v>
      </c>
      <c r="B1418">
        <v>18</v>
      </c>
      <c r="C1418" s="6">
        <v>62.5</v>
      </c>
      <c r="D1418" s="6">
        <v>30</v>
      </c>
      <c r="E1418" s="8">
        <v>0</v>
      </c>
    </row>
    <row r="1419" spans="1:5" x14ac:dyDescent="0.2">
      <c r="A1419">
        <v>10789</v>
      </c>
      <c r="B1419">
        <v>35</v>
      </c>
      <c r="C1419" s="6">
        <v>18</v>
      </c>
      <c r="D1419" s="6">
        <v>15</v>
      </c>
      <c r="E1419" s="8">
        <v>0</v>
      </c>
    </row>
    <row r="1420" spans="1:5" x14ac:dyDescent="0.2">
      <c r="A1420">
        <v>10789</v>
      </c>
      <c r="B1420">
        <v>63</v>
      </c>
      <c r="C1420" s="6">
        <v>43.9</v>
      </c>
      <c r="D1420" s="6">
        <v>30</v>
      </c>
      <c r="E1420" s="8">
        <v>0</v>
      </c>
    </row>
    <row r="1421" spans="1:5" x14ac:dyDescent="0.2">
      <c r="A1421">
        <v>10789</v>
      </c>
      <c r="B1421">
        <v>68</v>
      </c>
      <c r="C1421" s="6">
        <v>12.5</v>
      </c>
      <c r="D1421" s="6">
        <v>18</v>
      </c>
      <c r="E1421" s="8">
        <v>0</v>
      </c>
    </row>
    <row r="1422" spans="1:5" x14ac:dyDescent="0.2">
      <c r="A1422">
        <v>10790</v>
      </c>
      <c r="B1422">
        <v>7</v>
      </c>
      <c r="C1422" s="6">
        <v>30</v>
      </c>
      <c r="D1422" s="6">
        <v>3</v>
      </c>
      <c r="E1422" s="8">
        <v>0.15</v>
      </c>
    </row>
    <row r="1423" spans="1:5" x14ac:dyDescent="0.2">
      <c r="A1423">
        <v>10790</v>
      </c>
      <c r="B1423">
        <v>56</v>
      </c>
      <c r="C1423" s="6">
        <v>38</v>
      </c>
      <c r="D1423" s="6">
        <v>20</v>
      </c>
      <c r="E1423" s="8">
        <v>0.15</v>
      </c>
    </row>
    <row r="1424" spans="1:5" x14ac:dyDescent="0.2">
      <c r="A1424">
        <v>10791</v>
      </c>
      <c r="B1424">
        <v>29</v>
      </c>
      <c r="C1424" s="6">
        <v>123.79</v>
      </c>
      <c r="D1424" s="6">
        <v>14</v>
      </c>
      <c r="E1424" s="8">
        <v>0.05</v>
      </c>
    </row>
    <row r="1425" spans="1:5" x14ac:dyDescent="0.2">
      <c r="A1425">
        <v>10791</v>
      </c>
      <c r="B1425">
        <v>41</v>
      </c>
      <c r="C1425" s="6">
        <v>9.65</v>
      </c>
      <c r="D1425" s="6">
        <v>20</v>
      </c>
      <c r="E1425" s="8">
        <v>0.05</v>
      </c>
    </row>
    <row r="1426" spans="1:5" x14ac:dyDescent="0.2">
      <c r="A1426">
        <v>10792</v>
      </c>
      <c r="B1426">
        <v>2</v>
      </c>
      <c r="C1426" s="6">
        <v>19</v>
      </c>
      <c r="D1426" s="6">
        <v>10</v>
      </c>
      <c r="E1426" s="8">
        <v>0</v>
      </c>
    </row>
    <row r="1427" spans="1:5" x14ac:dyDescent="0.2">
      <c r="A1427">
        <v>10792</v>
      </c>
      <c r="B1427">
        <v>54</v>
      </c>
      <c r="C1427" s="6">
        <v>7.45</v>
      </c>
      <c r="D1427" s="6">
        <v>3</v>
      </c>
      <c r="E1427" s="8">
        <v>0</v>
      </c>
    </row>
    <row r="1428" spans="1:5" x14ac:dyDescent="0.2">
      <c r="A1428">
        <v>10792</v>
      </c>
      <c r="B1428">
        <v>68</v>
      </c>
      <c r="C1428" s="6">
        <v>12.5</v>
      </c>
      <c r="D1428" s="6">
        <v>15</v>
      </c>
      <c r="E1428" s="8">
        <v>0</v>
      </c>
    </row>
    <row r="1429" spans="1:5" x14ac:dyDescent="0.2">
      <c r="A1429">
        <v>10793</v>
      </c>
      <c r="B1429">
        <v>41</v>
      </c>
      <c r="C1429" s="6">
        <v>9.65</v>
      </c>
      <c r="D1429" s="6">
        <v>14</v>
      </c>
      <c r="E1429" s="8">
        <v>0</v>
      </c>
    </row>
    <row r="1430" spans="1:5" x14ac:dyDescent="0.2">
      <c r="A1430">
        <v>10793</v>
      </c>
      <c r="B1430">
        <v>52</v>
      </c>
      <c r="C1430" s="6">
        <v>7</v>
      </c>
      <c r="D1430" s="6">
        <v>8</v>
      </c>
      <c r="E1430" s="8">
        <v>0</v>
      </c>
    </row>
    <row r="1431" spans="1:5" x14ac:dyDescent="0.2">
      <c r="A1431">
        <v>10794</v>
      </c>
      <c r="B1431">
        <v>14</v>
      </c>
      <c r="C1431" s="6">
        <v>23.25</v>
      </c>
      <c r="D1431" s="6">
        <v>15</v>
      </c>
      <c r="E1431" s="8">
        <v>0.2</v>
      </c>
    </row>
    <row r="1432" spans="1:5" x14ac:dyDescent="0.2">
      <c r="A1432">
        <v>10794</v>
      </c>
      <c r="B1432">
        <v>54</v>
      </c>
      <c r="C1432" s="6">
        <v>7.45</v>
      </c>
      <c r="D1432" s="6">
        <v>6</v>
      </c>
      <c r="E1432" s="8">
        <v>0.2</v>
      </c>
    </row>
    <row r="1433" spans="1:5" x14ac:dyDescent="0.2">
      <c r="A1433">
        <v>10795</v>
      </c>
      <c r="B1433">
        <v>16</v>
      </c>
      <c r="C1433" s="6">
        <v>17.45</v>
      </c>
      <c r="D1433" s="6">
        <v>65</v>
      </c>
      <c r="E1433" s="8">
        <v>0</v>
      </c>
    </row>
    <row r="1434" spans="1:5" x14ac:dyDescent="0.2">
      <c r="A1434">
        <v>10795</v>
      </c>
      <c r="B1434">
        <v>17</v>
      </c>
      <c r="C1434" s="6">
        <v>39</v>
      </c>
      <c r="D1434" s="6">
        <v>35</v>
      </c>
      <c r="E1434" s="8">
        <v>0.25</v>
      </c>
    </row>
    <row r="1435" spans="1:5" x14ac:dyDescent="0.2">
      <c r="A1435">
        <v>10796</v>
      </c>
      <c r="B1435">
        <v>26</v>
      </c>
      <c r="C1435" s="6">
        <v>31.23</v>
      </c>
      <c r="D1435" s="6">
        <v>21</v>
      </c>
      <c r="E1435" s="8">
        <v>0.2</v>
      </c>
    </row>
    <row r="1436" spans="1:5" x14ac:dyDescent="0.2">
      <c r="A1436">
        <v>10796</v>
      </c>
      <c r="B1436">
        <v>44</v>
      </c>
      <c r="C1436" s="6">
        <v>19.45</v>
      </c>
      <c r="D1436" s="6">
        <v>10</v>
      </c>
      <c r="E1436" s="8">
        <v>0</v>
      </c>
    </row>
    <row r="1437" spans="1:5" x14ac:dyDescent="0.2">
      <c r="A1437">
        <v>10796</v>
      </c>
      <c r="B1437">
        <v>64</v>
      </c>
      <c r="C1437" s="6">
        <v>33.25</v>
      </c>
      <c r="D1437" s="6">
        <v>35</v>
      </c>
      <c r="E1437" s="8">
        <v>0.2</v>
      </c>
    </row>
    <row r="1438" spans="1:5" x14ac:dyDescent="0.2">
      <c r="A1438">
        <v>10796</v>
      </c>
      <c r="B1438">
        <v>69</v>
      </c>
      <c r="C1438" s="6">
        <v>36</v>
      </c>
      <c r="D1438" s="6">
        <v>24</v>
      </c>
      <c r="E1438" s="8">
        <v>0.2</v>
      </c>
    </row>
    <row r="1439" spans="1:5" x14ac:dyDescent="0.2">
      <c r="A1439">
        <v>10797</v>
      </c>
      <c r="B1439">
        <v>11</v>
      </c>
      <c r="C1439" s="6">
        <v>21</v>
      </c>
      <c r="D1439" s="6">
        <v>20</v>
      </c>
      <c r="E1439" s="8">
        <v>0</v>
      </c>
    </row>
    <row r="1440" spans="1:5" x14ac:dyDescent="0.2">
      <c r="A1440">
        <v>10798</v>
      </c>
      <c r="B1440">
        <v>62</v>
      </c>
      <c r="C1440" s="6">
        <v>49.3</v>
      </c>
      <c r="D1440" s="6">
        <v>2</v>
      </c>
      <c r="E1440" s="8">
        <v>0</v>
      </c>
    </row>
    <row r="1441" spans="1:5" x14ac:dyDescent="0.2">
      <c r="A1441">
        <v>10798</v>
      </c>
      <c r="B1441">
        <v>72</v>
      </c>
      <c r="C1441" s="6">
        <v>34.799999999999997</v>
      </c>
      <c r="D1441" s="6">
        <v>10</v>
      </c>
      <c r="E1441" s="8">
        <v>0</v>
      </c>
    </row>
    <row r="1442" spans="1:5" x14ac:dyDescent="0.2">
      <c r="A1442">
        <v>10799</v>
      </c>
      <c r="B1442">
        <v>13</v>
      </c>
      <c r="C1442" s="6">
        <v>6</v>
      </c>
      <c r="D1442" s="6">
        <v>20</v>
      </c>
      <c r="E1442" s="8">
        <v>0.15</v>
      </c>
    </row>
    <row r="1443" spans="1:5" x14ac:dyDescent="0.2">
      <c r="A1443">
        <v>10799</v>
      </c>
      <c r="B1443">
        <v>24</v>
      </c>
      <c r="C1443" s="6">
        <v>4.5</v>
      </c>
      <c r="D1443" s="6">
        <v>20</v>
      </c>
      <c r="E1443" s="8">
        <v>0.15</v>
      </c>
    </row>
    <row r="1444" spans="1:5" x14ac:dyDescent="0.2">
      <c r="A1444">
        <v>10799</v>
      </c>
      <c r="B1444">
        <v>59</v>
      </c>
      <c r="C1444" s="6">
        <v>55</v>
      </c>
      <c r="D1444" s="6">
        <v>25</v>
      </c>
      <c r="E1444" s="8">
        <v>0</v>
      </c>
    </row>
    <row r="1445" spans="1:5" x14ac:dyDescent="0.2">
      <c r="A1445">
        <v>10800</v>
      </c>
      <c r="B1445">
        <v>11</v>
      </c>
      <c r="C1445" s="6">
        <v>21</v>
      </c>
      <c r="D1445" s="6">
        <v>50</v>
      </c>
      <c r="E1445" s="8">
        <v>0.1</v>
      </c>
    </row>
    <row r="1446" spans="1:5" x14ac:dyDescent="0.2">
      <c r="A1446">
        <v>10800</v>
      </c>
      <c r="B1446">
        <v>51</v>
      </c>
      <c r="C1446" s="6">
        <v>53</v>
      </c>
      <c r="D1446" s="6">
        <v>10</v>
      </c>
      <c r="E1446" s="8">
        <v>0.1</v>
      </c>
    </row>
    <row r="1447" spans="1:5" x14ac:dyDescent="0.2">
      <c r="A1447">
        <v>10800</v>
      </c>
      <c r="B1447">
        <v>54</v>
      </c>
      <c r="C1447" s="6">
        <v>7.45</v>
      </c>
      <c r="D1447" s="6">
        <v>7</v>
      </c>
      <c r="E1447" s="8">
        <v>0.1</v>
      </c>
    </row>
    <row r="1448" spans="1:5" x14ac:dyDescent="0.2">
      <c r="A1448">
        <v>10801</v>
      </c>
      <c r="B1448">
        <v>17</v>
      </c>
      <c r="C1448" s="6">
        <v>39</v>
      </c>
      <c r="D1448" s="6">
        <v>40</v>
      </c>
      <c r="E1448" s="8">
        <v>0.25</v>
      </c>
    </row>
    <row r="1449" spans="1:5" x14ac:dyDescent="0.2">
      <c r="A1449">
        <v>10801</v>
      </c>
      <c r="B1449">
        <v>29</v>
      </c>
      <c r="C1449" s="6">
        <v>123.79</v>
      </c>
      <c r="D1449" s="6">
        <v>20</v>
      </c>
      <c r="E1449" s="8">
        <v>0.25</v>
      </c>
    </row>
    <row r="1450" spans="1:5" x14ac:dyDescent="0.2">
      <c r="A1450">
        <v>10802</v>
      </c>
      <c r="B1450">
        <v>30</v>
      </c>
      <c r="C1450" s="6">
        <v>25.89</v>
      </c>
      <c r="D1450" s="6">
        <v>25</v>
      </c>
      <c r="E1450" s="8">
        <v>0.25</v>
      </c>
    </row>
    <row r="1451" spans="1:5" x14ac:dyDescent="0.2">
      <c r="A1451">
        <v>10802</v>
      </c>
      <c r="B1451">
        <v>51</v>
      </c>
      <c r="C1451" s="6">
        <v>53</v>
      </c>
      <c r="D1451" s="6">
        <v>30</v>
      </c>
      <c r="E1451" s="8">
        <v>0.25</v>
      </c>
    </row>
    <row r="1452" spans="1:5" x14ac:dyDescent="0.2">
      <c r="A1452">
        <v>10802</v>
      </c>
      <c r="B1452">
        <v>55</v>
      </c>
      <c r="C1452" s="6">
        <v>24</v>
      </c>
      <c r="D1452" s="6">
        <v>60</v>
      </c>
      <c r="E1452" s="8">
        <v>0.25</v>
      </c>
    </row>
    <row r="1453" spans="1:5" x14ac:dyDescent="0.2">
      <c r="A1453">
        <v>10802</v>
      </c>
      <c r="B1453">
        <v>62</v>
      </c>
      <c r="C1453" s="6">
        <v>49.3</v>
      </c>
      <c r="D1453" s="6">
        <v>5</v>
      </c>
      <c r="E1453" s="8">
        <v>0.25</v>
      </c>
    </row>
    <row r="1454" spans="1:5" x14ac:dyDescent="0.2">
      <c r="A1454">
        <v>10803</v>
      </c>
      <c r="B1454">
        <v>19</v>
      </c>
      <c r="C1454" s="6">
        <v>9.1999999999999993</v>
      </c>
      <c r="D1454" s="6">
        <v>24</v>
      </c>
      <c r="E1454" s="8">
        <v>0.05</v>
      </c>
    </row>
    <row r="1455" spans="1:5" x14ac:dyDescent="0.2">
      <c r="A1455">
        <v>10803</v>
      </c>
      <c r="B1455">
        <v>25</v>
      </c>
      <c r="C1455" s="6">
        <v>14</v>
      </c>
      <c r="D1455" s="6">
        <v>15</v>
      </c>
      <c r="E1455" s="8">
        <v>0.05</v>
      </c>
    </row>
    <row r="1456" spans="1:5" x14ac:dyDescent="0.2">
      <c r="A1456">
        <v>10803</v>
      </c>
      <c r="B1456">
        <v>59</v>
      </c>
      <c r="C1456" s="6">
        <v>55</v>
      </c>
      <c r="D1456" s="6">
        <v>15</v>
      </c>
      <c r="E1456" s="8">
        <v>0.05</v>
      </c>
    </row>
    <row r="1457" spans="1:5" x14ac:dyDescent="0.2">
      <c r="A1457">
        <v>10804</v>
      </c>
      <c r="B1457">
        <v>10</v>
      </c>
      <c r="C1457" s="6">
        <v>31</v>
      </c>
      <c r="D1457" s="6">
        <v>36</v>
      </c>
      <c r="E1457" s="8">
        <v>0</v>
      </c>
    </row>
    <row r="1458" spans="1:5" x14ac:dyDescent="0.2">
      <c r="A1458">
        <v>10804</v>
      </c>
      <c r="B1458">
        <v>28</v>
      </c>
      <c r="C1458" s="6">
        <v>45.6</v>
      </c>
      <c r="D1458" s="6">
        <v>24</v>
      </c>
      <c r="E1458" s="8">
        <v>0</v>
      </c>
    </row>
    <row r="1459" spans="1:5" x14ac:dyDescent="0.2">
      <c r="A1459">
        <v>10804</v>
      </c>
      <c r="B1459">
        <v>49</v>
      </c>
      <c r="C1459" s="6">
        <v>20</v>
      </c>
      <c r="D1459" s="6">
        <v>4</v>
      </c>
      <c r="E1459" s="8">
        <v>0.15</v>
      </c>
    </row>
    <row r="1460" spans="1:5" x14ac:dyDescent="0.2">
      <c r="A1460">
        <v>10805</v>
      </c>
      <c r="B1460">
        <v>34</v>
      </c>
      <c r="C1460" s="6">
        <v>14</v>
      </c>
      <c r="D1460" s="6">
        <v>10</v>
      </c>
      <c r="E1460" s="8">
        <v>0</v>
      </c>
    </row>
    <row r="1461" spans="1:5" x14ac:dyDescent="0.2">
      <c r="A1461">
        <v>10805</v>
      </c>
      <c r="B1461">
        <v>38</v>
      </c>
      <c r="C1461" s="6">
        <v>263.5</v>
      </c>
      <c r="D1461" s="6">
        <v>10</v>
      </c>
      <c r="E1461" s="8">
        <v>0</v>
      </c>
    </row>
    <row r="1462" spans="1:5" x14ac:dyDescent="0.2">
      <c r="A1462">
        <v>10806</v>
      </c>
      <c r="B1462">
        <v>2</v>
      </c>
      <c r="C1462" s="6">
        <v>19</v>
      </c>
      <c r="D1462" s="6">
        <v>20</v>
      </c>
      <c r="E1462" s="8">
        <v>0.25</v>
      </c>
    </row>
    <row r="1463" spans="1:5" x14ac:dyDescent="0.2">
      <c r="A1463">
        <v>10806</v>
      </c>
      <c r="B1463">
        <v>65</v>
      </c>
      <c r="C1463" s="6">
        <v>21.05</v>
      </c>
      <c r="D1463" s="6">
        <v>2</v>
      </c>
      <c r="E1463" s="8">
        <v>0</v>
      </c>
    </row>
    <row r="1464" spans="1:5" x14ac:dyDescent="0.2">
      <c r="A1464">
        <v>10806</v>
      </c>
      <c r="B1464">
        <v>74</v>
      </c>
      <c r="C1464" s="6">
        <v>10</v>
      </c>
      <c r="D1464" s="6">
        <v>15</v>
      </c>
      <c r="E1464" s="8">
        <v>0.25</v>
      </c>
    </row>
    <row r="1465" spans="1:5" x14ac:dyDescent="0.2">
      <c r="A1465">
        <v>10807</v>
      </c>
      <c r="B1465">
        <v>40</v>
      </c>
      <c r="C1465" s="6">
        <v>18.399999999999999</v>
      </c>
      <c r="D1465" s="6">
        <v>1</v>
      </c>
      <c r="E1465" s="8">
        <v>0</v>
      </c>
    </row>
    <row r="1466" spans="1:5" x14ac:dyDescent="0.2">
      <c r="A1466">
        <v>10808</v>
      </c>
      <c r="B1466">
        <v>56</v>
      </c>
      <c r="C1466" s="6">
        <v>38</v>
      </c>
      <c r="D1466" s="6">
        <v>20</v>
      </c>
      <c r="E1466" s="8">
        <v>0.15</v>
      </c>
    </row>
    <row r="1467" spans="1:5" x14ac:dyDescent="0.2">
      <c r="A1467">
        <v>10808</v>
      </c>
      <c r="B1467">
        <v>76</v>
      </c>
      <c r="C1467" s="6">
        <v>18</v>
      </c>
      <c r="D1467" s="6">
        <v>50</v>
      </c>
      <c r="E1467" s="8">
        <v>0.15</v>
      </c>
    </row>
    <row r="1468" spans="1:5" x14ac:dyDescent="0.2">
      <c r="A1468">
        <v>10809</v>
      </c>
      <c r="B1468">
        <v>52</v>
      </c>
      <c r="C1468" s="6">
        <v>7</v>
      </c>
      <c r="D1468" s="6">
        <v>20</v>
      </c>
      <c r="E1468" s="8">
        <v>0</v>
      </c>
    </row>
    <row r="1469" spans="1:5" x14ac:dyDescent="0.2">
      <c r="A1469">
        <v>10810</v>
      </c>
      <c r="B1469">
        <v>13</v>
      </c>
      <c r="C1469" s="6">
        <v>6</v>
      </c>
      <c r="D1469" s="6">
        <v>7</v>
      </c>
      <c r="E1469" s="8">
        <v>0</v>
      </c>
    </row>
    <row r="1470" spans="1:5" x14ac:dyDescent="0.2">
      <c r="A1470">
        <v>10810</v>
      </c>
      <c r="B1470">
        <v>25</v>
      </c>
      <c r="C1470" s="6">
        <v>14</v>
      </c>
      <c r="D1470" s="6">
        <v>5</v>
      </c>
      <c r="E1470" s="8">
        <v>0</v>
      </c>
    </row>
    <row r="1471" spans="1:5" x14ac:dyDescent="0.2">
      <c r="A1471">
        <v>10810</v>
      </c>
      <c r="B1471">
        <v>70</v>
      </c>
      <c r="C1471" s="6">
        <v>15</v>
      </c>
      <c r="D1471" s="6">
        <v>5</v>
      </c>
      <c r="E1471" s="8">
        <v>0</v>
      </c>
    </row>
    <row r="1472" spans="1:5" x14ac:dyDescent="0.2">
      <c r="A1472">
        <v>10811</v>
      </c>
      <c r="B1472">
        <v>19</v>
      </c>
      <c r="C1472" s="6">
        <v>9.1999999999999993</v>
      </c>
      <c r="D1472" s="6">
        <v>15</v>
      </c>
      <c r="E1472" s="8">
        <v>0</v>
      </c>
    </row>
    <row r="1473" spans="1:5" x14ac:dyDescent="0.2">
      <c r="A1473">
        <v>10811</v>
      </c>
      <c r="B1473">
        <v>23</v>
      </c>
      <c r="C1473" s="6">
        <v>9</v>
      </c>
      <c r="D1473" s="6">
        <v>18</v>
      </c>
      <c r="E1473" s="8">
        <v>0</v>
      </c>
    </row>
    <row r="1474" spans="1:5" x14ac:dyDescent="0.2">
      <c r="A1474">
        <v>10811</v>
      </c>
      <c r="B1474">
        <v>40</v>
      </c>
      <c r="C1474" s="6">
        <v>18.399999999999999</v>
      </c>
      <c r="D1474" s="6">
        <v>30</v>
      </c>
      <c r="E1474" s="8">
        <v>0</v>
      </c>
    </row>
    <row r="1475" spans="1:5" x14ac:dyDescent="0.2">
      <c r="A1475">
        <v>10812</v>
      </c>
      <c r="B1475">
        <v>31</v>
      </c>
      <c r="C1475" s="6">
        <v>12.5</v>
      </c>
      <c r="D1475" s="6">
        <v>16</v>
      </c>
      <c r="E1475" s="8">
        <v>0.1</v>
      </c>
    </row>
    <row r="1476" spans="1:5" x14ac:dyDescent="0.2">
      <c r="A1476">
        <v>10812</v>
      </c>
      <c r="B1476">
        <v>72</v>
      </c>
      <c r="C1476" s="6">
        <v>34.799999999999997</v>
      </c>
      <c r="D1476" s="6">
        <v>40</v>
      </c>
      <c r="E1476" s="8">
        <v>0.1</v>
      </c>
    </row>
    <row r="1477" spans="1:5" x14ac:dyDescent="0.2">
      <c r="A1477">
        <v>10812</v>
      </c>
      <c r="B1477">
        <v>77</v>
      </c>
      <c r="C1477" s="6">
        <v>13</v>
      </c>
      <c r="D1477" s="6">
        <v>20</v>
      </c>
      <c r="E1477" s="8">
        <v>0</v>
      </c>
    </row>
    <row r="1478" spans="1:5" x14ac:dyDescent="0.2">
      <c r="A1478">
        <v>10813</v>
      </c>
      <c r="B1478">
        <v>2</v>
      </c>
      <c r="C1478" s="6">
        <v>19</v>
      </c>
      <c r="D1478" s="6">
        <v>12</v>
      </c>
      <c r="E1478" s="8">
        <v>0.2</v>
      </c>
    </row>
    <row r="1479" spans="1:5" x14ac:dyDescent="0.2">
      <c r="A1479">
        <v>10813</v>
      </c>
      <c r="B1479">
        <v>46</v>
      </c>
      <c r="C1479" s="6">
        <v>12</v>
      </c>
      <c r="D1479" s="6">
        <v>35</v>
      </c>
      <c r="E1479" s="8">
        <v>0</v>
      </c>
    </row>
    <row r="1480" spans="1:5" x14ac:dyDescent="0.2">
      <c r="A1480">
        <v>10814</v>
      </c>
      <c r="B1480">
        <v>41</v>
      </c>
      <c r="C1480" s="6">
        <v>9.65</v>
      </c>
      <c r="D1480" s="6">
        <v>20</v>
      </c>
      <c r="E1480" s="8">
        <v>0</v>
      </c>
    </row>
    <row r="1481" spans="1:5" x14ac:dyDescent="0.2">
      <c r="A1481">
        <v>10814</v>
      </c>
      <c r="B1481">
        <v>43</v>
      </c>
      <c r="C1481" s="6">
        <v>46</v>
      </c>
      <c r="D1481" s="6">
        <v>20</v>
      </c>
      <c r="E1481" s="8">
        <v>0.15</v>
      </c>
    </row>
    <row r="1482" spans="1:5" x14ac:dyDescent="0.2">
      <c r="A1482">
        <v>10814</v>
      </c>
      <c r="B1482">
        <v>48</v>
      </c>
      <c r="C1482" s="6">
        <v>12.75</v>
      </c>
      <c r="D1482" s="6">
        <v>8</v>
      </c>
      <c r="E1482" s="8">
        <v>0.15</v>
      </c>
    </row>
    <row r="1483" spans="1:5" x14ac:dyDescent="0.2">
      <c r="A1483">
        <v>10814</v>
      </c>
      <c r="B1483">
        <v>61</v>
      </c>
      <c r="C1483" s="6">
        <v>28.5</v>
      </c>
      <c r="D1483" s="6">
        <v>30</v>
      </c>
      <c r="E1483" s="8">
        <v>0.15</v>
      </c>
    </row>
    <row r="1484" spans="1:5" x14ac:dyDescent="0.2">
      <c r="A1484">
        <v>10815</v>
      </c>
      <c r="B1484">
        <v>33</v>
      </c>
      <c r="C1484" s="6">
        <v>2.5</v>
      </c>
      <c r="D1484" s="6">
        <v>16</v>
      </c>
      <c r="E1484" s="8">
        <v>0</v>
      </c>
    </row>
    <row r="1485" spans="1:5" x14ac:dyDescent="0.2">
      <c r="A1485">
        <v>10816</v>
      </c>
      <c r="B1485">
        <v>38</v>
      </c>
      <c r="C1485" s="6">
        <v>263.5</v>
      </c>
      <c r="D1485" s="6">
        <v>30</v>
      </c>
      <c r="E1485" s="8">
        <v>0.05</v>
      </c>
    </row>
    <row r="1486" spans="1:5" x14ac:dyDescent="0.2">
      <c r="A1486">
        <v>10816</v>
      </c>
      <c r="B1486">
        <v>62</v>
      </c>
      <c r="C1486" s="6">
        <v>49.3</v>
      </c>
      <c r="D1486" s="6">
        <v>20</v>
      </c>
      <c r="E1486" s="8">
        <v>0.05</v>
      </c>
    </row>
    <row r="1487" spans="1:5" x14ac:dyDescent="0.2">
      <c r="A1487">
        <v>10817</v>
      </c>
      <c r="B1487">
        <v>26</v>
      </c>
      <c r="C1487" s="6">
        <v>31.23</v>
      </c>
      <c r="D1487" s="6">
        <v>40</v>
      </c>
      <c r="E1487" s="8">
        <v>0.15</v>
      </c>
    </row>
    <row r="1488" spans="1:5" x14ac:dyDescent="0.2">
      <c r="A1488">
        <v>10817</v>
      </c>
      <c r="B1488">
        <v>38</v>
      </c>
      <c r="C1488" s="6">
        <v>263.5</v>
      </c>
      <c r="D1488" s="6">
        <v>30</v>
      </c>
      <c r="E1488" s="8">
        <v>0</v>
      </c>
    </row>
    <row r="1489" spans="1:5" x14ac:dyDescent="0.2">
      <c r="A1489">
        <v>10817</v>
      </c>
      <c r="B1489">
        <v>40</v>
      </c>
      <c r="C1489" s="6">
        <v>18.399999999999999</v>
      </c>
      <c r="D1489" s="6">
        <v>60</v>
      </c>
      <c r="E1489" s="8">
        <v>0.15</v>
      </c>
    </row>
    <row r="1490" spans="1:5" x14ac:dyDescent="0.2">
      <c r="A1490">
        <v>10817</v>
      </c>
      <c r="B1490">
        <v>62</v>
      </c>
      <c r="C1490" s="6">
        <v>49.3</v>
      </c>
      <c r="D1490" s="6">
        <v>25</v>
      </c>
      <c r="E1490" s="8">
        <v>0.15</v>
      </c>
    </row>
    <row r="1491" spans="1:5" x14ac:dyDescent="0.2">
      <c r="A1491">
        <v>10818</v>
      </c>
      <c r="B1491">
        <v>32</v>
      </c>
      <c r="C1491" s="6">
        <v>32</v>
      </c>
      <c r="D1491" s="6">
        <v>20</v>
      </c>
      <c r="E1491" s="8">
        <v>0</v>
      </c>
    </row>
    <row r="1492" spans="1:5" x14ac:dyDescent="0.2">
      <c r="A1492">
        <v>10818</v>
      </c>
      <c r="B1492">
        <v>41</v>
      </c>
      <c r="C1492" s="6">
        <v>9.65</v>
      </c>
      <c r="D1492" s="6">
        <v>20</v>
      </c>
      <c r="E1492" s="8">
        <v>0</v>
      </c>
    </row>
    <row r="1493" spans="1:5" x14ac:dyDescent="0.2">
      <c r="A1493">
        <v>10819</v>
      </c>
      <c r="B1493">
        <v>43</v>
      </c>
      <c r="C1493" s="6">
        <v>46</v>
      </c>
      <c r="D1493" s="6">
        <v>7</v>
      </c>
      <c r="E1493" s="8">
        <v>0</v>
      </c>
    </row>
    <row r="1494" spans="1:5" x14ac:dyDescent="0.2">
      <c r="A1494">
        <v>10819</v>
      </c>
      <c r="B1494">
        <v>75</v>
      </c>
      <c r="C1494" s="6">
        <v>7.75</v>
      </c>
      <c r="D1494" s="6">
        <v>20</v>
      </c>
      <c r="E1494" s="8">
        <v>0</v>
      </c>
    </row>
    <row r="1495" spans="1:5" x14ac:dyDescent="0.2">
      <c r="A1495">
        <v>10820</v>
      </c>
      <c r="B1495">
        <v>56</v>
      </c>
      <c r="C1495" s="6">
        <v>38</v>
      </c>
      <c r="D1495" s="6">
        <v>30</v>
      </c>
      <c r="E1495" s="8">
        <v>0</v>
      </c>
    </row>
    <row r="1496" spans="1:5" x14ac:dyDescent="0.2">
      <c r="A1496">
        <v>10821</v>
      </c>
      <c r="B1496">
        <v>35</v>
      </c>
      <c r="C1496" s="6">
        <v>18</v>
      </c>
      <c r="D1496" s="6">
        <v>20</v>
      </c>
      <c r="E1496" s="8">
        <v>0</v>
      </c>
    </row>
    <row r="1497" spans="1:5" x14ac:dyDescent="0.2">
      <c r="A1497">
        <v>10821</v>
      </c>
      <c r="B1497">
        <v>51</v>
      </c>
      <c r="C1497" s="6">
        <v>53</v>
      </c>
      <c r="D1497" s="6">
        <v>6</v>
      </c>
      <c r="E1497" s="8">
        <v>0</v>
      </c>
    </row>
    <row r="1498" spans="1:5" x14ac:dyDescent="0.2">
      <c r="A1498">
        <v>10822</v>
      </c>
      <c r="B1498">
        <v>62</v>
      </c>
      <c r="C1498" s="6">
        <v>49.3</v>
      </c>
      <c r="D1498" s="6">
        <v>3</v>
      </c>
      <c r="E1498" s="8">
        <v>0</v>
      </c>
    </row>
    <row r="1499" spans="1:5" x14ac:dyDescent="0.2">
      <c r="A1499">
        <v>10822</v>
      </c>
      <c r="B1499">
        <v>70</v>
      </c>
      <c r="C1499" s="6">
        <v>15</v>
      </c>
      <c r="D1499" s="6">
        <v>6</v>
      </c>
      <c r="E1499" s="8">
        <v>0</v>
      </c>
    </row>
    <row r="1500" spans="1:5" x14ac:dyDescent="0.2">
      <c r="A1500">
        <v>10823</v>
      </c>
      <c r="B1500">
        <v>11</v>
      </c>
      <c r="C1500" s="6">
        <v>21</v>
      </c>
      <c r="D1500" s="6">
        <v>20</v>
      </c>
      <c r="E1500" s="8">
        <v>0.1</v>
      </c>
    </row>
    <row r="1501" spans="1:5" x14ac:dyDescent="0.2">
      <c r="A1501">
        <v>10823</v>
      </c>
      <c r="B1501">
        <v>57</v>
      </c>
      <c r="C1501" s="6">
        <v>19.5</v>
      </c>
      <c r="D1501" s="6">
        <v>15</v>
      </c>
      <c r="E1501" s="8">
        <v>0</v>
      </c>
    </row>
    <row r="1502" spans="1:5" x14ac:dyDescent="0.2">
      <c r="A1502">
        <v>10823</v>
      </c>
      <c r="B1502">
        <v>59</v>
      </c>
      <c r="C1502" s="6">
        <v>55</v>
      </c>
      <c r="D1502" s="6">
        <v>40</v>
      </c>
      <c r="E1502" s="8">
        <v>0.1</v>
      </c>
    </row>
    <row r="1503" spans="1:5" x14ac:dyDescent="0.2">
      <c r="A1503">
        <v>10823</v>
      </c>
      <c r="B1503">
        <v>77</v>
      </c>
      <c r="C1503" s="6">
        <v>13</v>
      </c>
      <c r="D1503" s="6">
        <v>15</v>
      </c>
      <c r="E1503" s="8">
        <v>0.1</v>
      </c>
    </row>
    <row r="1504" spans="1:5" x14ac:dyDescent="0.2">
      <c r="A1504">
        <v>10824</v>
      </c>
      <c r="B1504">
        <v>41</v>
      </c>
      <c r="C1504" s="6">
        <v>9.65</v>
      </c>
      <c r="D1504" s="6">
        <v>12</v>
      </c>
      <c r="E1504" s="8">
        <v>0</v>
      </c>
    </row>
    <row r="1505" spans="1:5" x14ac:dyDescent="0.2">
      <c r="A1505">
        <v>10824</v>
      </c>
      <c r="B1505">
        <v>70</v>
      </c>
      <c r="C1505" s="6">
        <v>15</v>
      </c>
      <c r="D1505" s="6">
        <v>9</v>
      </c>
      <c r="E1505" s="8">
        <v>0</v>
      </c>
    </row>
    <row r="1506" spans="1:5" x14ac:dyDescent="0.2">
      <c r="A1506">
        <v>10825</v>
      </c>
      <c r="B1506">
        <v>26</v>
      </c>
      <c r="C1506" s="6">
        <v>31.23</v>
      </c>
      <c r="D1506" s="6">
        <v>12</v>
      </c>
      <c r="E1506" s="8">
        <v>0</v>
      </c>
    </row>
    <row r="1507" spans="1:5" x14ac:dyDescent="0.2">
      <c r="A1507">
        <v>10825</v>
      </c>
      <c r="B1507">
        <v>53</v>
      </c>
      <c r="C1507" s="6">
        <v>32.799999999999997</v>
      </c>
      <c r="D1507" s="6">
        <v>20</v>
      </c>
      <c r="E1507" s="8">
        <v>0</v>
      </c>
    </row>
    <row r="1508" spans="1:5" x14ac:dyDescent="0.2">
      <c r="A1508">
        <v>10826</v>
      </c>
      <c r="B1508">
        <v>31</v>
      </c>
      <c r="C1508" s="6">
        <v>12.5</v>
      </c>
      <c r="D1508" s="6">
        <v>35</v>
      </c>
      <c r="E1508" s="8">
        <v>0</v>
      </c>
    </row>
    <row r="1509" spans="1:5" x14ac:dyDescent="0.2">
      <c r="A1509">
        <v>10826</v>
      </c>
      <c r="B1509">
        <v>57</v>
      </c>
      <c r="C1509" s="6">
        <v>19.5</v>
      </c>
      <c r="D1509" s="6">
        <v>15</v>
      </c>
      <c r="E1509" s="8">
        <v>0</v>
      </c>
    </row>
    <row r="1510" spans="1:5" x14ac:dyDescent="0.2">
      <c r="A1510">
        <v>10827</v>
      </c>
      <c r="B1510">
        <v>10</v>
      </c>
      <c r="C1510" s="6">
        <v>31</v>
      </c>
      <c r="D1510" s="6">
        <v>15</v>
      </c>
      <c r="E1510" s="8">
        <v>0</v>
      </c>
    </row>
    <row r="1511" spans="1:5" x14ac:dyDescent="0.2">
      <c r="A1511">
        <v>10827</v>
      </c>
      <c r="B1511">
        <v>39</v>
      </c>
      <c r="C1511" s="6">
        <v>18</v>
      </c>
      <c r="D1511" s="6">
        <v>21</v>
      </c>
      <c r="E1511" s="8">
        <v>0</v>
      </c>
    </row>
    <row r="1512" spans="1:5" x14ac:dyDescent="0.2">
      <c r="A1512">
        <v>10828</v>
      </c>
      <c r="B1512">
        <v>20</v>
      </c>
      <c r="C1512" s="6">
        <v>81</v>
      </c>
      <c r="D1512" s="6">
        <v>5</v>
      </c>
      <c r="E1512" s="8">
        <v>0</v>
      </c>
    </row>
    <row r="1513" spans="1:5" x14ac:dyDescent="0.2">
      <c r="A1513">
        <v>10828</v>
      </c>
      <c r="B1513">
        <v>38</v>
      </c>
      <c r="C1513" s="6">
        <v>263.5</v>
      </c>
      <c r="D1513" s="6">
        <v>2</v>
      </c>
      <c r="E1513" s="8">
        <v>0</v>
      </c>
    </row>
    <row r="1514" spans="1:5" x14ac:dyDescent="0.2">
      <c r="A1514">
        <v>10829</v>
      </c>
      <c r="B1514">
        <v>2</v>
      </c>
      <c r="C1514" s="6">
        <v>19</v>
      </c>
      <c r="D1514" s="6">
        <v>10</v>
      </c>
      <c r="E1514" s="8">
        <v>0</v>
      </c>
    </row>
    <row r="1515" spans="1:5" x14ac:dyDescent="0.2">
      <c r="A1515">
        <v>10829</v>
      </c>
      <c r="B1515">
        <v>8</v>
      </c>
      <c r="C1515" s="6">
        <v>40</v>
      </c>
      <c r="D1515" s="6">
        <v>20</v>
      </c>
      <c r="E1515" s="8">
        <v>0</v>
      </c>
    </row>
    <row r="1516" spans="1:5" x14ac:dyDescent="0.2">
      <c r="A1516">
        <v>10829</v>
      </c>
      <c r="B1516">
        <v>13</v>
      </c>
      <c r="C1516" s="6">
        <v>6</v>
      </c>
      <c r="D1516" s="6">
        <v>10</v>
      </c>
      <c r="E1516" s="8">
        <v>0</v>
      </c>
    </row>
    <row r="1517" spans="1:5" x14ac:dyDescent="0.2">
      <c r="A1517">
        <v>10829</v>
      </c>
      <c r="B1517">
        <v>60</v>
      </c>
      <c r="C1517" s="6">
        <v>34</v>
      </c>
      <c r="D1517" s="6">
        <v>21</v>
      </c>
      <c r="E1517" s="8">
        <v>0</v>
      </c>
    </row>
    <row r="1518" spans="1:5" x14ac:dyDescent="0.2">
      <c r="A1518">
        <v>10830</v>
      </c>
      <c r="B1518">
        <v>6</v>
      </c>
      <c r="C1518" s="6">
        <v>25</v>
      </c>
      <c r="D1518" s="6">
        <v>6</v>
      </c>
      <c r="E1518" s="8">
        <v>0</v>
      </c>
    </row>
    <row r="1519" spans="1:5" x14ac:dyDescent="0.2">
      <c r="A1519">
        <v>10830</v>
      </c>
      <c r="B1519">
        <v>39</v>
      </c>
      <c r="C1519" s="6">
        <v>18</v>
      </c>
      <c r="D1519" s="6">
        <v>28</v>
      </c>
      <c r="E1519" s="8">
        <v>0</v>
      </c>
    </row>
    <row r="1520" spans="1:5" x14ac:dyDescent="0.2">
      <c r="A1520">
        <v>10830</v>
      </c>
      <c r="B1520">
        <v>60</v>
      </c>
      <c r="C1520" s="6">
        <v>34</v>
      </c>
      <c r="D1520" s="6">
        <v>30</v>
      </c>
      <c r="E1520" s="8">
        <v>0</v>
      </c>
    </row>
    <row r="1521" spans="1:5" x14ac:dyDescent="0.2">
      <c r="A1521">
        <v>10830</v>
      </c>
      <c r="B1521">
        <v>68</v>
      </c>
      <c r="C1521" s="6">
        <v>12.5</v>
      </c>
      <c r="D1521" s="6">
        <v>24</v>
      </c>
      <c r="E1521" s="8">
        <v>0</v>
      </c>
    </row>
    <row r="1522" spans="1:5" x14ac:dyDescent="0.2">
      <c r="A1522">
        <v>10831</v>
      </c>
      <c r="B1522">
        <v>19</v>
      </c>
      <c r="C1522" s="6">
        <v>9.1999999999999993</v>
      </c>
      <c r="D1522" s="6">
        <v>2</v>
      </c>
      <c r="E1522" s="8">
        <v>0</v>
      </c>
    </row>
    <row r="1523" spans="1:5" x14ac:dyDescent="0.2">
      <c r="A1523">
        <v>10831</v>
      </c>
      <c r="B1523">
        <v>35</v>
      </c>
      <c r="C1523" s="6">
        <v>18</v>
      </c>
      <c r="D1523" s="6">
        <v>8</v>
      </c>
      <c r="E1523" s="8">
        <v>0</v>
      </c>
    </row>
    <row r="1524" spans="1:5" x14ac:dyDescent="0.2">
      <c r="A1524">
        <v>10831</v>
      </c>
      <c r="B1524">
        <v>38</v>
      </c>
      <c r="C1524" s="6">
        <v>263.5</v>
      </c>
      <c r="D1524" s="6">
        <v>8</v>
      </c>
      <c r="E1524" s="8">
        <v>0</v>
      </c>
    </row>
    <row r="1525" spans="1:5" x14ac:dyDescent="0.2">
      <c r="A1525">
        <v>10831</v>
      </c>
      <c r="B1525">
        <v>43</v>
      </c>
      <c r="C1525" s="6">
        <v>46</v>
      </c>
      <c r="D1525" s="6">
        <v>9</v>
      </c>
      <c r="E1525" s="8">
        <v>0</v>
      </c>
    </row>
    <row r="1526" spans="1:5" x14ac:dyDescent="0.2">
      <c r="A1526">
        <v>10832</v>
      </c>
      <c r="B1526">
        <v>13</v>
      </c>
      <c r="C1526" s="6">
        <v>6</v>
      </c>
      <c r="D1526" s="6">
        <v>3</v>
      </c>
      <c r="E1526" s="8">
        <v>0.2</v>
      </c>
    </row>
    <row r="1527" spans="1:5" x14ac:dyDescent="0.2">
      <c r="A1527">
        <v>10832</v>
      </c>
      <c r="B1527">
        <v>25</v>
      </c>
      <c r="C1527" s="6">
        <v>14</v>
      </c>
      <c r="D1527" s="6">
        <v>10</v>
      </c>
      <c r="E1527" s="8">
        <v>0.2</v>
      </c>
    </row>
    <row r="1528" spans="1:5" x14ac:dyDescent="0.2">
      <c r="A1528">
        <v>10832</v>
      </c>
      <c r="B1528">
        <v>44</v>
      </c>
      <c r="C1528" s="6">
        <v>19.45</v>
      </c>
      <c r="D1528" s="6">
        <v>16</v>
      </c>
      <c r="E1528" s="8">
        <v>0.2</v>
      </c>
    </row>
    <row r="1529" spans="1:5" x14ac:dyDescent="0.2">
      <c r="A1529">
        <v>10832</v>
      </c>
      <c r="B1529">
        <v>64</v>
      </c>
      <c r="C1529" s="6">
        <v>33.25</v>
      </c>
      <c r="D1529" s="6">
        <v>3</v>
      </c>
      <c r="E1529" s="8">
        <v>0</v>
      </c>
    </row>
    <row r="1530" spans="1:5" x14ac:dyDescent="0.2">
      <c r="A1530">
        <v>10833</v>
      </c>
      <c r="B1530">
        <v>7</v>
      </c>
      <c r="C1530" s="6">
        <v>30</v>
      </c>
      <c r="D1530" s="6">
        <v>20</v>
      </c>
      <c r="E1530" s="8">
        <v>0.1</v>
      </c>
    </row>
    <row r="1531" spans="1:5" x14ac:dyDescent="0.2">
      <c r="A1531">
        <v>10833</v>
      </c>
      <c r="B1531">
        <v>31</v>
      </c>
      <c r="C1531" s="6">
        <v>12.5</v>
      </c>
      <c r="D1531" s="6">
        <v>9</v>
      </c>
      <c r="E1531" s="8">
        <v>0.1</v>
      </c>
    </row>
    <row r="1532" spans="1:5" x14ac:dyDescent="0.2">
      <c r="A1532">
        <v>10833</v>
      </c>
      <c r="B1532">
        <v>53</v>
      </c>
      <c r="C1532" s="6">
        <v>32.799999999999997</v>
      </c>
      <c r="D1532" s="6">
        <v>9</v>
      </c>
      <c r="E1532" s="8">
        <v>0.1</v>
      </c>
    </row>
    <row r="1533" spans="1:5" x14ac:dyDescent="0.2">
      <c r="A1533">
        <v>10834</v>
      </c>
      <c r="B1533">
        <v>29</v>
      </c>
      <c r="C1533" s="6">
        <v>123.79</v>
      </c>
      <c r="D1533" s="6">
        <v>8</v>
      </c>
      <c r="E1533" s="8">
        <v>0.05</v>
      </c>
    </row>
    <row r="1534" spans="1:5" x14ac:dyDescent="0.2">
      <c r="A1534">
        <v>10834</v>
      </c>
      <c r="B1534">
        <v>30</v>
      </c>
      <c r="C1534" s="6">
        <v>25.89</v>
      </c>
      <c r="D1534" s="6">
        <v>20</v>
      </c>
      <c r="E1534" s="8">
        <v>0.05</v>
      </c>
    </row>
    <row r="1535" spans="1:5" x14ac:dyDescent="0.2">
      <c r="A1535">
        <v>10835</v>
      </c>
      <c r="B1535">
        <v>59</v>
      </c>
      <c r="C1535" s="6">
        <v>55</v>
      </c>
      <c r="D1535" s="6">
        <v>15</v>
      </c>
      <c r="E1535" s="8">
        <v>0</v>
      </c>
    </row>
    <row r="1536" spans="1:5" x14ac:dyDescent="0.2">
      <c r="A1536">
        <v>10835</v>
      </c>
      <c r="B1536">
        <v>77</v>
      </c>
      <c r="C1536" s="6">
        <v>13</v>
      </c>
      <c r="D1536" s="6">
        <v>2</v>
      </c>
      <c r="E1536" s="8">
        <v>0.2</v>
      </c>
    </row>
    <row r="1537" spans="1:5" x14ac:dyDescent="0.2">
      <c r="A1537">
        <v>10836</v>
      </c>
      <c r="B1537">
        <v>22</v>
      </c>
      <c r="C1537" s="6">
        <v>21</v>
      </c>
      <c r="D1537" s="6">
        <v>52</v>
      </c>
      <c r="E1537" s="8">
        <v>0</v>
      </c>
    </row>
    <row r="1538" spans="1:5" x14ac:dyDescent="0.2">
      <c r="A1538">
        <v>10836</v>
      </c>
      <c r="B1538">
        <v>35</v>
      </c>
      <c r="C1538" s="6">
        <v>18</v>
      </c>
      <c r="D1538" s="6">
        <v>6</v>
      </c>
      <c r="E1538" s="8">
        <v>0</v>
      </c>
    </row>
    <row r="1539" spans="1:5" x14ac:dyDescent="0.2">
      <c r="A1539">
        <v>10836</v>
      </c>
      <c r="B1539">
        <v>57</v>
      </c>
      <c r="C1539" s="6">
        <v>19.5</v>
      </c>
      <c r="D1539" s="6">
        <v>24</v>
      </c>
      <c r="E1539" s="8">
        <v>0</v>
      </c>
    </row>
    <row r="1540" spans="1:5" x14ac:dyDescent="0.2">
      <c r="A1540">
        <v>10836</v>
      </c>
      <c r="B1540">
        <v>60</v>
      </c>
      <c r="C1540" s="6">
        <v>34</v>
      </c>
      <c r="D1540" s="6">
        <v>60</v>
      </c>
      <c r="E1540" s="8">
        <v>0</v>
      </c>
    </row>
    <row r="1541" spans="1:5" x14ac:dyDescent="0.2">
      <c r="A1541">
        <v>10836</v>
      </c>
      <c r="B1541">
        <v>64</v>
      </c>
      <c r="C1541" s="6">
        <v>33.25</v>
      </c>
      <c r="D1541" s="6">
        <v>30</v>
      </c>
      <c r="E1541" s="8">
        <v>0</v>
      </c>
    </row>
    <row r="1542" spans="1:5" x14ac:dyDescent="0.2">
      <c r="A1542">
        <v>10837</v>
      </c>
      <c r="B1542">
        <v>13</v>
      </c>
      <c r="C1542" s="6">
        <v>6</v>
      </c>
      <c r="D1542" s="6">
        <v>6</v>
      </c>
      <c r="E1542" s="8">
        <v>0</v>
      </c>
    </row>
    <row r="1543" spans="1:5" x14ac:dyDescent="0.2">
      <c r="A1543">
        <v>10837</v>
      </c>
      <c r="B1543">
        <v>40</v>
      </c>
      <c r="C1543" s="6">
        <v>18.399999999999999</v>
      </c>
      <c r="D1543" s="6">
        <v>25</v>
      </c>
      <c r="E1543" s="8">
        <v>0</v>
      </c>
    </row>
    <row r="1544" spans="1:5" x14ac:dyDescent="0.2">
      <c r="A1544">
        <v>10837</v>
      </c>
      <c r="B1544">
        <v>47</v>
      </c>
      <c r="C1544" s="6">
        <v>9.5</v>
      </c>
      <c r="D1544" s="6">
        <v>40</v>
      </c>
      <c r="E1544" s="8">
        <v>0.25</v>
      </c>
    </row>
    <row r="1545" spans="1:5" x14ac:dyDescent="0.2">
      <c r="A1545">
        <v>10837</v>
      </c>
      <c r="B1545">
        <v>76</v>
      </c>
      <c r="C1545" s="6">
        <v>18</v>
      </c>
      <c r="D1545" s="6">
        <v>21</v>
      </c>
      <c r="E1545" s="8">
        <v>0.25</v>
      </c>
    </row>
    <row r="1546" spans="1:5" x14ac:dyDescent="0.2">
      <c r="A1546">
        <v>10838</v>
      </c>
      <c r="B1546">
        <v>1</v>
      </c>
      <c r="C1546" s="6">
        <v>18</v>
      </c>
      <c r="D1546" s="6">
        <v>4</v>
      </c>
      <c r="E1546" s="8">
        <v>0.25</v>
      </c>
    </row>
    <row r="1547" spans="1:5" x14ac:dyDescent="0.2">
      <c r="A1547">
        <v>10838</v>
      </c>
      <c r="B1547">
        <v>18</v>
      </c>
      <c r="C1547" s="6">
        <v>62.5</v>
      </c>
      <c r="D1547" s="6">
        <v>25</v>
      </c>
      <c r="E1547" s="8">
        <v>0.25</v>
      </c>
    </row>
    <row r="1548" spans="1:5" x14ac:dyDescent="0.2">
      <c r="A1548">
        <v>10838</v>
      </c>
      <c r="B1548">
        <v>36</v>
      </c>
      <c r="C1548" s="6">
        <v>19</v>
      </c>
      <c r="D1548" s="6">
        <v>50</v>
      </c>
      <c r="E1548" s="8">
        <v>0.25</v>
      </c>
    </row>
    <row r="1549" spans="1:5" x14ac:dyDescent="0.2">
      <c r="A1549">
        <v>10839</v>
      </c>
      <c r="B1549">
        <v>58</v>
      </c>
      <c r="C1549" s="6">
        <v>13.25</v>
      </c>
      <c r="D1549" s="6">
        <v>30</v>
      </c>
      <c r="E1549" s="8">
        <v>0.1</v>
      </c>
    </row>
    <row r="1550" spans="1:5" x14ac:dyDescent="0.2">
      <c r="A1550">
        <v>10839</v>
      </c>
      <c r="B1550">
        <v>72</v>
      </c>
      <c r="C1550" s="6">
        <v>34.799999999999997</v>
      </c>
      <c r="D1550" s="6">
        <v>15</v>
      </c>
      <c r="E1550" s="8">
        <v>0.1</v>
      </c>
    </row>
    <row r="1551" spans="1:5" x14ac:dyDescent="0.2">
      <c r="A1551">
        <v>10840</v>
      </c>
      <c r="B1551">
        <v>25</v>
      </c>
      <c r="C1551" s="6">
        <v>14</v>
      </c>
      <c r="D1551" s="6">
        <v>6</v>
      </c>
      <c r="E1551" s="8">
        <v>0.2</v>
      </c>
    </row>
    <row r="1552" spans="1:5" x14ac:dyDescent="0.2">
      <c r="A1552">
        <v>10840</v>
      </c>
      <c r="B1552">
        <v>39</v>
      </c>
      <c r="C1552" s="6">
        <v>18</v>
      </c>
      <c r="D1552" s="6">
        <v>10</v>
      </c>
      <c r="E1552" s="8">
        <v>0.2</v>
      </c>
    </row>
    <row r="1553" spans="1:5" x14ac:dyDescent="0.2">
      <c r="A1553">
        <v>10841</v>
      </c>
      <c r="B1553">
        <v>10</v>
      </c>
      <c r="C1553" s="6">
        <v>31</v>
      </c>
      <c r="D1553" s="6">
        <v>16</v>
      </c>
      <c r="E1553" s="8">
        <v>0</v>
      </c>
    </row>
    <row r="1554" spans="1:5" x14ac:dyDescent="0.2">
      <c r="A1554">
        <v>10841</v>
      </c>
      <c r="B1554">
        <v>56</v>
      </c>
      <c r="C1554" s="6">
        <v>38</v>
      </c>
      <c r="D1554" s="6">
        <v>30</v>
      </c>
      <c r="E1554" s="8">
        <v>0</v>
      </c>
    </row>
    <row r="1555" spans="1:5" x14ac:dyDescent="0.2">
      <c r="A1555">
        <v>10841</v>
      </c>
      <c r="B1555">
        <v>59</v>
      </c>
      <c r="C1555" s="6">
        <v>55</v>
      </c>
      <c r="D1555" s="6">
        <v>50</v>
      </c>
      <c r="E1555" s="8">
        <v>0</v>
      </c>
    </row>
    <row r="1556" spans="1:5" x14ac:dyDescent="0.2">
      <c r="A1556">
        <v>10841</v>
      </c>
      <c r="B1556">
        <v>77</v>
      </c>
      <c r="C1556" s="6">
        <v>13</v>
      </c>
      <c r="D1556" s="6">
        <v>15</v>
      </c>
      <c r="E1556" s="8">
        <v>0</v>
      </c>
    </row>
    <row r="1557" spans="1:5" x14ac:dyDescent="0.2">
      <c r="A1557">
        <v>10842</v>
      </c>
      <c r="B1557">
        <v>11</v>
      </c>
      <c r="C1557" s="6">
        <v>21</v>
      </c>
      <c r="D1557" s="6">
        <v>15</v>
      </c>
      <c r="E1557" s="8">
        <v>0</v>
      </c>
    </row>
    <row r="1558" spans="1:5" x14ac:dyDescent="0.2">
      <c r="A1558">
        <v>10842</v>
      </c>
      <c r="B1558">
        <v>43</v>
      </c>
      <c r="C1558" s="6">
        <v>46</v>
      </c>
      <c r="D1558" s="6">
        <v>5</v>
      </c>
      <c r="E1558" s="8">
        <v>0</v>
      </c>
    </row>
    <row r="1559" spans="1:5" x14ac:dyDescent="0.2">
      <c r="A1559">
        <v>10842</v>
      </c>
      <c r="B1559">
        <v>68</v>
      </c>
      <c r="C1559" s="6">
        <v>12.5</v>
      </c>
      <c r="D1559" s="6">
        <v>20</v>
      </c>
      <c r="E1559" s="8">
        <v>0</v>
      </c>
    </row>
    <row r="1560" spans="1:5" x14ac:dyDescent="0.2">
      <c r="A1560">
        <v>10842</v>
      </c>
      <c r="B1560">
        <v>70</v>
      </c>
      <c r="C1560" s="6">
        <v>15</v>
      </c>
      <c r="D1560" s="6">
        <v>12</v>
      </c>
      <c r="E1560" s="8">
        <v>0</v>
      </c>
    </row>
    <row r="1561" spans="1:5" x14ac:dyDescent="0.2">
      <c r="A1561">
        <v>10843</v>
      </c>
      <c r="B1561">
        <v>51</v>
      </c>
      <c r="C1561" s="6">
        <v>53</v>
      </c>
      <c r="D1561" s="6">
        <v>4</v>
      </c>
      <c r="E1561" s="8">
        <v>0.25</v>
      </c>
    </row>
    <row r="1562" spans="1:5" x14ac:dyDescent="0.2">
      <c r="A1562">
        <v>10844</v>
      </c>
      <c r="B1562">
        <v>22</v>
      </c>
      <c r="C1562" s="6">
        <v>21</v>
      </c>
      <c r="D1562" s="6">
        <v>35</v>
      </c>
      <c r="E1562" s="8">
        <v>0</v>
      </c>
    </row>
    <row r="1563" spans="1:5" x14ac:dyDescent="0.2">
      <c r="A1563">
        <v>10845</v>
      </c>
      <c r="B1563">
        <v>23</v>
      </c>
      <c r="C1563" s="6">
        <v>9</v>
      </c>
      <c r="D1563" s="6">
        <v>70</v>
      </c>
      <c r="E1563" s="8">
        <v>0.1</v>
      </c>
    </row>
    <row r="1564" spans="1:5" x14ac:dyDescent="0.2">
      <c r="A1564">
        <v>10845</v>
      </c>
      <c r="B1564">
        <v>35</v>
      </c>
      <c r="C1564" s="6">
        <v>18</v>
      </c>
      <c r="D1564" s="6">
        <v>25</v>
      </c>
      <c r="E1564" s="8">
        <v>0.1</v>
      </c>
    </row>
    <row r="1565" spans="1:5" x14ac:dyDescent="0.2">
      <c r="A1565">
        <v>10845</v>
      </c>
      <c r="B1565">
        <v>42</v>
      </c>
      <c r="C1565" s="6">
        <v>14</v>
      </c>
      <c r="D1565" s="6">
        <v>42</v>
      </c>
      <c r="E1565" s="8">
        <v>0.1</v>
      </c>
    </row>
    <row r="1566" spans="1:5" x14ac:dyDescent="0.2">
      <c r="A1566">
        <v>10845</v>
      </c>
      <c r="B1566">
        <v>58</v>
      </c>
      <c r="C1566" s="6">
        <v>13.25</v>
      </c>
      <c r="D1566" s="6">
        <v>60</v>
      </c>
      <c r="E1566" s="8">
        <v>0.1</v>
      </c>
    </row>
    <row r="1567" spans="1:5" x14ac:dyDescent="0.2">
      <c r="A1567">
        <v>10845</v>
      </c>
      <c r="B1567">
        <v>64</v>
      </c>
      <c r="C1567" s="6">
        <v>33.25</v>
      </c>
      <c r="D1567" s="6">
        <v>48</v>
      </c>
      <c r="E1567" s="8">
        <v>0</v>
      </c>
    </row>
    <row r="1568" spans="1:5" x14ac:dyDescent="0.2">
      <c r="A1568">
        <v>10846</v>
      </c>
      <c r="B1568">
        <v>4</v>
      </c>
      <c r="C1568" s="6">
        <v>22</v>
      </c>
      <c r="D1568" s="6">
        <v>21</v>
      </c>
      <c r="E1568" s="8">
        <v>0</v>
      </c>
    </row>
    <row r="1569" spans="1:5" x14ac:dyDescent="0.2">
      <c r="A1569">
        <v>10846</v>
      </c>
      <c r="B1569">
        <v>70</v>
      </c>
      <c r="C1569" s="6">
        <v>15</v>
      </c>
      <c r="D1569" s="6">
        <v>30</v>
      </c>
      <c r="E1569" s="8">
        <v>0</v>
      </c>
    </row>
    <row r="1570" spans="1:5" x14ac:dyDescent="0.2">
      <c r="A1570">
        <v>10846</v>
      </c>
      <c r="B1570">
        <v>74</v>
      </c>
      <c r="C1570" s="6">
        <v>10</v>
      </c>
      <c r="D1570" s="6">
        <v>20</v>
      </c>
      <c r="E1570" s="8">
        <v>0</v>
      </c>
    </row>
    <row r="1571" spans="1:5" x14ac:dyDescent="0.2">
      <c r="A1571">
        <v>10847</v>
      </c>
      <c r="B1571">
        <v>1</v>
      </c>
      <c r="C1571" s="6">
        <v>18</v>
      </c>
      <c r="D1571" s="6">
        <v>80</v>
      </c>
      <c r="E1571" s="8">
        <v>0.2</v>
      </c>
    </row>
    <row r="1572" spans="1:5" x14ac:dyDescent="0.2">
      <c r="A1572">
        <v>10847</v>
      </c>
      <c r="B1572">
        <v>19</v>
      </c>
      <c r="C1572" s="6">
        <v>9.1999999999999993</v>
      </c>
      <c r="D1572" s="6">
        <v>12</v>
      </c>
      <c r="E1572" s="8">
        <v>0.2</v>
      </c>
    </row>
    <row r="1573" spans="1:5" x14ac:dyDescent="0.2">
      <c r="A1573">
        <v>10847</v>
      </c>
      <c r="B1573">
        <v>37</v>
      </c>
      <c r="C1573" s="6">
        <v>26</v>
      </c>
      <c r="D1573" s="6">
        <v>60</v>
      </c>
      <c r="E1573" s="8">
        <v>0.2</v>
      </c>
    </row>
    <row r="1574" spans="1:5" x14ac:dyDescent="0.2">
      <c r="A1574">
        <v>10847</v>
      </c>
      <c r="B1574">
        <v>45</v>
      </c>
      <c r="C1574" s="6">
        <v>9.5</v>
      </c>
      <c r="D1574" s="6">
        <v>36</v>
      </c>
      <c r="E1574" s="8">
        <v>0.2</v>
      </c>
    </row>
    <row r="1575" spans="1:5" x14ac:dyDescent="0.2">
      <c r="A1575">
        <v>10847</v>
      </c>
      <c r="B1575">
        <v>60</v>
      </c>
      <c r="C1575" s="6">
        <v>34</v>
      </c>
      <c r="D1575" s="6">
        <v>45</v>
      </c>
      <c r="E1575" s="8">
        <v>0.2</v>
      </c>
    </row>
    <row r="1576" spans="1:5" x14ac:dyDescent="0.2">
      <c r="A1576">
        <v>10847</v>
      </c>
      <c r="B1576">
        <v>71</v>
      </c>
      <c r="C1576" s="6">
        <v>21.5</v>
      </c>
      <c r="D1576" s="6">
        <v>55</v>
      </c>
      <c r="E1576" s="8">
        <v>0.2</v>
      </c>
    </row>
    <row r="1577" spans="1:5" x14ac:dyDescent="0.2">
      <c r="A1577">
        <v>10848</v>
      </c>
      <c r="B1577">
        <v>5</v>
      </c>
      <c r="C1577" s="6">
        <v>21.35</v>
      </c>
      <c r="D1577" s="6">
        <v>30</v>
      </c>
      <c r="E1577" s="8">
        <v>0</v>
      </c>
    </row>
    <row r="1578" spans="1:5" x14ac:dyDescent="0.2">
      <c r="A1578">
        <v>10848</v>
      </c>
      <c r="B1578">
        <v>9</v>
      </c>
      <c r="C1578" s="6">
        <v>97</v>
      </c>
      <c r="D1578" s="6">
        <v>3</v>
      </c>
      <c r="E1578" s="8">
        <v>0</v>
      </c>
    </row>
    <row r="1579" spans="1:5" x14ac:dyDescent="0.2">
      <c r="A1579">
        <v>10849</v>
      </c>
      <c r="B1579">
        <v>3</v>
      </c>
      <c r="C1579" s="6">
        <v>10</v>
      </c>
      <c r="D1579" s="6">
        <v>49</v>
      </c>
      <c r="E1579" s="8">
        <v>0</v>
      </c>
    </row>
    <row r="1580" spans="1:5" x14ac:dyDescent="0.2">
      <c r="A1580">
        <v>10849</v>
      </c>
      <c r="B1580">
        <v>26</v>
      </c>
      <c r="C1580" s="6">
        <v>31.23</v>
      </c>
      <c r="D1580" s="6">
        <v>18</v>
      </c>
      <c r="E1580" s="8">
        <v>0.15</v>
      </c>
    </row>
    <row r="1581" spans="1:5" x14ac:dyDescent="0.2">
      <c r="A1581">
        <v>10850</v>
      </c>
      <c r="B1581">
        <v>25</v>
      </c>
      <c r="C1581" s="6">
        <v>14</v>
      </c>
      <c r="D1581" s="6">
        <v>20</v>
      </c>
      <c r="E1581" s="8">
        <v>0.15</v>
      </c>
    </row>
    <row r="1582" spans="1:5" x14ac:dyDescent="0.2">
      <c r="A1582">
        <v>10850</v>
      </c>
      <c r="B1582">
        <v>33</v>
      </c>
      <c r="C1582" s="6">
        <v>2.5</v>
      </c>
      <c r="D1582" s="6">
        <v>4</v>
      </c>
      <c r="E1582" s="8">
        <v>0.15</v>
      </c>
    </row>
    <row r="1583" spans="1:5" x14ac:dyDescent="0.2">
      <c r="A1583">
        <v>10850</v>
      </c>
      <c r="B1583">
        <v>70</v>
      </c>
      <c r="C1583" s="6">
        <v>15</v>
      </c>
      <c r="D1583" s="6">
        <v>30</v>
      </c>
      <c r="E1583" s="8">
        <v>0.15</v>
      </c>
    </row>
    <row r="1584" spans="1:5" x14ac:dyDescent="0.2">
      <c r="A1584">
        <v>10851</v>
      </c>
      <c r="B1584">
        <v>2</v>
      </c>
      <c r="C1584" s="6">
        <v>19</v>
      </c>
      <c r="D1584" s="6">
        <v>5</v>
      </c>
      <c r="E1584" s="8">
        <v>0.05</v>
      </c>
    </row>
    <row r="1585" spans="1:5" x14ac:dyDescent="0.2">
      <c r="A1585">
        <v>10851</v>
      </c>
      <c r="B1585">
        <v>25</v>
      </c>
      <c r="C1585" s="6">
        <v>14</v>
      </c>
      <c r="D1585" s="6">
        <v>10</v>
      </c>
      <c r="E1585" s="8">
        <v>0.05</v>
      </c>
    </row>
    <row r="1586" spans="1:5" x14ac:dyDescent="0.2">
      <c r="A1586">
        <v>10851</v>
      </c>
      <c r="B1586">
        <v>57</v>
      </c>
      <c r="C1586" s="6">
        <v>19.5</v>
      </c>
      <c r="D1586" s="6">
        <v>10</v>
      </c>
      <c r="E1586" s="8">
        <v>0.05</v>
      </c>
    </row>
    <row r="1587" spans="1:5" x14ac:dyDescent="0.2">
      <c r="A1587">
        <v>10851</v>
      </c>
      <c r="B1587">
        <v>59</v>
      </c>
      <c r="C1587" s="6">
        <v>55</v>
      </c>
      <c r="D1587" s="6">
        <v>42</v>
      </c>
      <c r="E1587" s="8">
        <v>0.05</v>
      </c>
    </row>
    <row r="1588" spans="1:5" x14ac:dyDescent="0.2">
      <c r="A1588">
        <v>10852</v>
      </c>
      <c r="B1588">
        <v>2</v>
      </c>
      <c r="C1588" s="6">
        <v>19</v>
      </c>
      <c r="D1588" s="6">
        <v>15</v>
      </c>
      <c r="E1588" s="8">
        <v>0</v>
      </c>
    </row>
    <row r="1589" spans="1:5" x14ac:dyDescent="0.2">
      <c r="A1589">
        <v>10852</v>
      </c>
      <c r="B1589">
        <v>17</v>
      </c>
      <c r="C1589" s="6">
        <v>39</v>
      </c>
      <c r="D1589" s="6">
        <v>6</v>
      </c>
      <c r="E1589" s="8">
        <v>0</v>
      </c>
    </row>
    <row r="1590" spans="1:5" x14ac:dyDescent="0.2">
      <c r="A1590">
        <v>10852</v>
      </c>
      <c r="B1590">
        <v>62</v>
      </c>
      <c r="C1590" s="6">
        <v>49.3</v>
      </c>
      <c r="D1590" s="6">
        <v>50</v>
      </c>
      <c r="E1590" s="8">
        <v>0</v>
      </c>
    </row>
    <row r="1591" spans="1:5" x14ac:dyDescent="0.2">
      <c r="A1591">
        <v>10853</v>
      </c>
      <c r="B1591">
        <v>18</v>
      </c>
      <c r="C1591" s="6">
        <v>62.5</v>
      </c>
      <c r="D1591" s="6">
        <v>10</v>
      </c>
      <c r="E1591" s="8">
        <v>0</v>
      </c>
    </row>
    <row r="1592" spans="1:5" x14ac:dyDescent="0.2">
      <c r="A1592">
        <v>10854</v>
      </c>
      <c r="B1592">
        <v>10</v>
      </c>
      <c r="C1592" s="6">
        <v>31</v>
      </c>
      <c r="D1592" s="6">
        <v>100</v>
      </c>
      <c r="E1592" s="8">
        <v>0.15</v>
      </c>
    </row>
    <row r="1593" spans="1:5" x14ac:dyDescent="0.2">
      <c r="A1593">
        <v>10854</v>
      </c>
      <c r="B1593">
        <v>13</v>
      </c>
      <c r="C1593" s="6">
        <v>6</v>
      </c>
      <c r="D1593" s="6">
        <v>65</v>
      </c>
      <c r="E1593" s="8">
        <v>0.15</v>
      </c>
    </row>
    <row r="1594" spans="1:5" x14ac:dyDescent="0.2">
      <c r="A1594">
        <v>10855</v>
      </c>
      <c r="B1594">
        <v>16</v>
      </c>
      <c r="C1594" s="6">
        <v>17.45</v>
      </c>
      <c r="D1594" s="6">
        <v>50</v>
      </c>
      <c r="E1594" s="8">
        <v>0</v>
      </c>
    </row>
    <row r="1595" spans="1:5" x14ac:dyDescent="0.2">
      <c r="A1595">
        <v>10855</v>
      </c>
      <c r="B1595">
        <v>31</v>
      </c>
      <c r="C1595" s="6">
        <v>12.5</v>
      </c>
      <c r="D1595" s="6">
        <v>14</v>
      </c>
      <c r="E1595" s="8">
        <v>0</v>
      </c>
    </row>
    <row r="1596" spans="1:5" x14ac:dyDescent="0.2">
      <c r="A1596">
        <v>10855</v>
      </c>
      <c r="B1596">
        <v>56</v>
      </c>
      <c r="C1596" s="6">
        <v>38</v>
      </c>
      <c r="D1596" s="6">
        <v>24</v>
      </c>
      <c r="E1596" s="8">
        <v>0</v>
      </c>
    </row>
    <row r="1597" spans="1:5" x14ac:dyDescent="0.2">
      <c r="A1597">
        <v>10855</v>
      </c>
      <c r="B1597">
        <v>65</v>
      </c>
      <c r="C1597" s="6">
        <v>21.05</v>
      </c>
      <c r="D1597" s="6">
        <v>15</v>
      </c>
      <c r="E1597" s="8">
        <v>0.15</v>
      </c>
    </row>
    <row r="1598" spans="1:5" x14ac:dyDescent="0.2">
      <c r="A1598">
        <v>10856</v>
      </c>
      <c r="B1598">
        <v>2</v>
      </c>
      <c r="C1598" s="6">
        <v>19</v>
      </c>
      <c r="D1598" s="6">
        <v>20</v>
      </c>
      <c r="E1598" s="8">
        <v>0</v>
      </c>
    </row>
    <row r="1599" spans="1:5" x14ac:dyDescent="0.2">
      <c r="A1599">
        <v>10856</v>
      </c>
      <c r="B1599">
        <v>42</v>
      </c>
      <c r="C1599" s="6">
        <v>14</v>
      </c>
      <c r="D1599" s="6">
        <v>20</v>
      </c>
      <c r="E1599" s="8">
        <v>0</v>
      </c>
    </row>
    <row r="1600" spans="1:5" x14ac:dyDescent="0.2">
      <c r="A1600">
        <v>10857</v>
      </c>
      <c r="B1600">
        <v>3</v>
      </c>
      <c r="C1600" s="6">
        <v>10</v>
      </c>
      <c r="D1600" s="6">
        <v>30</v>
      </c>
      <c r="E1600" s="8">
        <v>0</v>
      </c>
    </row>
    <row r="1601" spans="1:5" x14ac:dyDescent="0.2">
      <c r="A1601">
        <v>10857</v>
      </c>
      <c r="B1601">
        <v>26</v>
      </c>
      <c r="C1601" s="6">
        <v>31.23</v>
      </c>
      <c r="D1601" s="6">
        <v>35</v>
      </c>
      <c r="E1601" s="8">
        <v>0.25</v>
      </c>
    </row>
    <row r="1602" spans="1:5" x14ac:dyDescent="0.2">
      <c r="A1602">
        <v>10857</v>
      </c>
      <c r="B1602">
        <v>29</v>
      </c>
      <c r="C1602" s="6">
        <v>123.79</v>
      </c>
      <c r="D1602" s="6">
        <v>10</v>
      </c>
      <c r="E1602" s="8">
        <v>0.25</v>
      </c>
    </row>
    <row r="1603" spans="1:5" x14ac:dyDescent="0.2">
      <c r="A1603">
        <v>10858</v>
      </c>
      <c r="B1603">
        <v>7</v>
      </c>
      <c r="C1603" s="6">
        <v>30</v>
      </c>
      <c r="D1603" s="6">
        <v>5</v>
      </c>
      <c r="E1603" s="8">
        <v>0</v>
      </c>
    </row>
    <row r="1604" spans="1:5" x14ac:dyDescent="0.2">
      <c r="A1604">
        <v>10858</v>
      </c>
      <c r="B1604">
        <v>27</v>
      </c>
      <c r="C1604" s="6">
        <v>43.9</v>
      </c>
      <c r="D1604" s="6">
        <v>10</v>
      </c>
      <c r="E1604" s="8">
        <v>0</v>
      </c>
    </row>
    <row r="1605" spans="1:5" x14ac:dyDescent="0.2">
      <c r="A1605">
        <v>10858</v>
      </c>
      <c r="B1605">
        <v>70</v>
      </c>
      <c r="C1605" s="6">
        <v>15</v>
      </c>
      <c r="D1605" s="6">
        <v>4</v>
      </c>
      <c r="E1605" s="8">
        <v>0</v>
      </c>
    </row>
    <row r="1606" spans="1:5" x14ac:dyDescent="0.2">
      <c r="A1606">
        <v>10859</v>
      </c>
      <c r="B1606">
        <v>24</v>
      </c>
      <c r="C1606" s="6">
        <v>4.5</v>
      </c>
      <c r="D1606" s="6">
        <v>40</v>
      </c>
      <c r="E1606" s="8">
        <v>0.25</v>
      </c>
    </row>
    <row r="1607" spans="1:5" x14ac:dyDescent="0.2">
      <c r="A1607">
        <v>10859</v>
      </c>
      <c r="B1607">
        <v>54</v>
      </c>
      <c r="C1607" s="6">
        <v>7.45</v>
      </c>
      <c r="D1607" s="6">
        <v>35</v>
      </c>
      <c r="E1607" s="8">
        <v>0.25</v>
      </c>
    </row>
    <row r="1608" spans="1:5" x14ac:dyDescent="0.2">
      <c r="A1608">
        <v>10859</v>
      </c>
      <c r="B1608">
        <v>64</v>
      </c>
      <c r="C1608" s="6">
        <v>33.25</v>
      </c>
      <c r="D1608" s="6">
        <v>30</v>
      </c>
      <c r="E1608" s="8">
        <v>0.25</v>
      </c>
    </row>
    <row r="1609" spans="1:5" x14ac:dyDescent="0.2">
      <c r="A1609">
        <v>10860</v>
      </c>
      <c r="B1609">
        <v>51</v>
      </c>
      <c r="C1609" s="6">
        <v>53</v>
      </c>
      <c r="D1609" s="6">
        <v>3</v>
      </c>
      <c r="E1609" s="8">
        <v>0</v>
      </c>
    </row>
    <row r="1610" spans="1:5" x14ac:dyDescent="0.2">
      <c r="A1610">
        <v>10860</v>
      </c>
      <c r="B1610">
        <v>76</v>
      </c>
      <c r="C1610" s="6">
        <v>18</v>
      </c>
      <c r="D1610" s="6">
        <v>20</v>
      </c>
      <c r="E1610" s="8">
        <v>0</v>
      </c>
    </row>
    <row r="1611" spans="1:5" x14ac:dyDescent="0.2">
      <c r="A1611">
        <v>10861</v>
      </c>
      <c r="B1611">
        <v>17</v>
      </c>
      <c r="C1611" s="6">
        <v>39</v>
      </c>
      <c r="D1611" s="6">
        <v>42</v>
      </c>
      <c r="E1611" s="8">
        <v>0</v>
      </c>
    </row>
    <row r="1612" spans="1:5" x14ac:dyDescent="0.2">
      <c r="A1612">
        <v>10861</v>
      </c>
      <c r="B1612">
        <v>18</v>
      </c>
      <c r="C1612" s="6">
        <v>62.5</v>
      </c>
      <c r="D1612" s="6">
        <v>20</v>
      </c>
      <c r="E1612" s="8">
        <v>0</v>
      </c>
    </row>
    <row r="1613" spans="1:5" x14ac:dyDescent="0.2">
      <c r="A1613">
        <v>10861</v>
      </c>
      <c r="B1613">
        <v>21</v>
      </c>
      <c r="C1613" s="6">
        <v>10</v>
      </c>
      <c r="D1613" s="6">
        <v>40</v>
      </c>
      <c r="E1613" s="8">
        <v>0</v>
      </c>
    </row>
    <row r="1614" spans="1:5" x14ac:dyDescent="0.2">
      <c r="A1614">
        <v>10861</v>
      </c>
      <c r="B1614">
        <v>33</v>
      </c>
      <c r="C1614" s="6">
        <v>2.5</v>
      </c>
      <c r="D1614" s="6">
        <v>35</v>
      </c>
      <c r="E1614" s="8">
        <v>0</v>
      </c>
    </row>
    <row r="1615" spans="1:5" x14ac:dyDescent="0.2">
      <c r="A1615">
        <v>10861</v>
      </c>
      <c r="B1615">
        <v>62</v>
      </c>
      <c r="C1615" s="6">
        <v>49.3</v>
      </c>
      <c r="D1615" s="6">
        <v>3</v>
      </c>
      <c r="E1615" s="8">
        <v>0</v>
      </c>
    </row>
    <row r="1616" spans="1:5" x14ac:dyDescent="0.2">
      <c r="A1616">
        <v>10862</v>
      </c>
      <c r="B1616">
        <v>11</v>
      </c>
      <c r="C1616" s="6">
        <v>21</v>
      </c>
      <c r="D1616" s="6">
        <v>25</v>
      </c>
      <c r="E1616" s="8">
        <v>0</v>
      </c>
    </row>
    <row r="1617" spans="1:5" x14ac:dyDescent="0.2">
      <c r="A1617">
        <v>10862</v>
      </c>
      <c r="B1617">
        <v>52</v>
      </c>
      <c r="C1617" s="6">
        <v>7</v>
      </c>
      <c r="D1617" s="6">
        <v>8</v>
      </c>
      <c r="E1617" s="8">
        <v>0</v>
      </c>
    </row>
    <row r="1618" spans="1:5" x14ac:dyDescent="0.2">
      <c r="A1618">
        <v>10863</v>
      </c>
      <c r="B1618">
        <v>1</v>
      </c>
      <c r="C1618" s="6">
        <v>18</v>
      </c>
      <c r="D1618" s="6">
        <v>20</v>
      </c>
      <c r="E1618" s="8">
        <v>0.15</v>
      </c>
    </row>
    <row r="1619" spans="1:5" x14ac:dyDescent="0.2">
      <c r="A1619">
        <v>10863</v>
      </c>
      <c r="B1619">
        <v>58</v>
      </c>
      <c r="C1619" s="6">
        <v>13.25</v>
      </c>
      <c r="D1619" s="6">
        <v>12</v>
      </c>
      <c r="E1619" s="8">
        <v>0.15</v>
      </c>
    </row>
    <row r="1620" spans="1:5" x14ac:dyDescent="0.2">
      <c r="A1620">
        <v>10864</v>
      </c>
      <c r="B1620">
        <v>35</v>
      </c>
      <c r="C1620" s="6">
        <v>18</v>
      </c>
      <c r="D1620" s="6">
        <v>4</v>
      </c>
      <c r="E1620" s="8">
        <v>0</v>
      </c>
    </row>
    <row r="1621" spans="1:5" x14ac:dyDescent="0.2">
      <c r="A1621">
        <v>10864</v>
      </c>
      <c r="B1621">
        <v>67</v>
      </c>
      <c r="C1621" s="6">
        <v>14</v>
      </c>
      <c r="D1621" s="6">
        <v>15</v>
      </c>
      <c r="E1621" s="8">
        <v>0</v>
      </c>
    </row>
    <row r="1622" spans="1:5" x14ac:dyDescent="0.2">
      <c r="A1622">
        <v>10865</v>
      </c>
      <c r="B1622">
        <v>38</v>
      </c>
      <c r="C1622" s="6">
        <v>263.5</v>
      </c>
      <c r="D1622" s="6">
        <v>60</v>
      </c>
      <c r="E1622" s="8">
        <v>0.05</v>
      </c>
    </row>
    <row r="1623" spans="1:5" x14ac:dyDescent="0.2">
      <c r="A1623">
        <v>10865</v>
      </c>
      <c r="B1623">
        <v>39</v>
      </c>
      <c r="C1623" s="6">
        <v>18</v>
      </c>
      <c r="D1623" s="6">
        <v>80</v>
      </c>
      <c r="E1623" s="8">
        <v>0.05</v>
      </c>
    </row>
    <row r="1624" spans="1:5" x14ac:dyDescent="0.2">
      <c r="A1624">
        <v>10866</v>
      </c>
      <c r="B1624">
        <v>2</v>
      </c>
      <c r="C1624" s="6">
        <v>19</v>
      </c>
      <c r="D1624" s="6">
        <v>21</v>
      </c>
      <c r="E1624" s="8">
        <v>0.25</v>
      </c>
    </row>
    <row r="1625" spans="1:5" x14ac:dyDescent="0.2">
      <c r="A1625">
        <v>10866</v>
      </c>
      <c r="B1625">
        <v>24</v>
      </c>
      <c r="C1625" s="6">
        <v>4.5</v>
      </c>
      <c r="D1625" s="6">
        <v>6</v>
      </c>
      <c r="E1625" s="8">
        <v>0.25</v>
      </c>
    </row>
    <row r="1626" spans="1:5" x14ac:dyDescent="0.2">
      <c r="A1626">
        <v>10866</v>
      </c>
      <c r="B1626">
        <v>30</v>
      </c>
      <c r="C1626" s="6">
        <v>25.89</v>
      </c>
      <c r="D1626" s="6">
        <v>40</v>
      </c>
      <c r="E1626" s="8">
        <v>0.25</v>
      </c>
    </row>
    <row r="1627" spans="1:5" x14ac:dyDescent="0.2">
      <c r="A1627">
        <v>10867</v>
      </c>
      <c r="B1627">
        <v>53</v>
      </c>
      <c r="C1627" s="6">
        <v>32.799999999999997</v>
      </c>
      <c r="D1627" s="6">
        <v>3</v>
      </c>
      <c r="E1627" s="8">
        <v>0</v>
      </c>
    </row>
    <row r="1628" spans="1:5" x14ac:dyDescent="0.2">
      <c r="A1628">
        <v>10868</v>
      </c>
      <c r="B1628">
        <v>26</v>
      </c>
      <c r="C1628" s="6">
        <v>31.23</v>
      </c>
      <c r="D1628" s="6">
        <v>20</v>
      </c>
      <c r="E1628" s="8">
        <v>0</v>
      </c>
    </row>
    <row r="1629" spans="1:5" x14ac:dyDescent="0.2">
      <c r="A1629">
        <v>10868</v>
      </c>
      <c r="B1629">
        <v>35</v>
      </c>
      <c r="C1629" s="6">
        <v>18</v>
      </c>
      <c r="D1629" s="6">
        <v>30</v>
      </c>
      <c r="E1629" s="8">
        <v>0</v>
      </c>
    </row>
    <row r="1630" spans="1:5" x14ac:dyDescent="0.2">
      <c r="A1630">
        <v>10868</v>
      </c>
      <c r="B1630">
        <v>49</v>
      </c>
      <c r="C1630" s="6">
        <v>20</v>
      </c>
      <c r="D1630" s="6">
        <v>42</v>
      </c>
      <c r="E1630" s="8">
        <v>0.1</v>
      </c>
    </row>
    <row r="1631" spans="1:5" x14ac:dyDescent="0.2">
      <c r="A1631">
        <v>10869</v>
      </c>
      <c r="B1631">
        <v>1</v>
      </c>
      <c r="C1631" s="6">
        <v>18</v>
      </c>
      <c r="D1631" s="6">
        <v>40</v>
      </c>
      <c r="E1631" s="8">
        <v>0</v>
      </c>
    </row>
    <row r="1632" spans="1:5" x14ac:dyDescent="0.2">
      <c r="A1632">
        <v>10869</v>
      </c>
      <c r="B1632">
        <v>11</v>
      </c>
      <c r="C1632" s="6">
        <v>21</v>
      </c>
      <c r="D1632" s="6">
        <v>10</v>
      </c>
      <c r="E1632" s="8">
        <v>0</v>
      </c>
    </row>
    <row r="1633" spans="1:5" x14ac:dyDescent="0.2">
      <c r="A1633">
        <v>10869</v>
      </c>
      <c r="B1633">
        <v>23</v>
      </c>
      <c r="C1633" s="6">
        <v>9</v>
      </c>
      <c r="D1633" s="6">
        <v>50</v>
      </c>
      <c r="E1633" s="8">
        <v>0</v>
      </c>
    </row>
    <row r="1634" spans="1:5" x14ac:dyDescent="0.2">
      <c r="A1634">
        <v>10869</v>
      </c>
      <c r="B1634">
        <v>68</v>
      </c>
      <c r="C1634" s="6">
        <v>12.5</v>
      </c>
      <c r="D1634" s="6">
        <v>20</v>
      </c>
      <c r="E1634" s="8">
        <v>0</v>
      </c>
    </row>
    <row r="1635" spans="1:5" x14ac:dyDescent="0.2">
      <c r="A1635">
        <v>10870</v>
      </c>
      <c r="B1635">
        <v>35</v>
      </c>
      <c r="C1635" s="6">
        <v>18</v>
      </c>
      <c r="D1635" s="6">
        <v>3</v>
      </c>
      <c r="E1635" s="8">
        <v>0</v>
      </c>
    </row>
    <row r="1636" spans="1:5" x14ac:dyDescent="0.2">
      <c r="A1636">
        <v>10870</v>
      </c>
      <c r="B1636">
        <v>51</v>
      </c>
      <c r="C1636" s="6">
        <v>53</v>
      </c>
      <c r="D1636" s="6">
        <v>2</v>
      </c>
      <c r="E1636" s="8">
        <v>0</v>
      </c>
    </row>
    <row r="1637" spans="1:5" x14ac:dyDescent="0.2">
      <c r="A1637">
        <v>10871</v>
      </c>
      <c r="B1637">
        <v>6</v>
      </c>
      <c r="C1637" s="6">
        <v>25</v>
      </c>
      <c r="D1637" s="6">
        <v>50</v>
      </c>
      <c r="E1637" s="8">
        <v>0.05</v>
      </c>
    </row>
    <row r="1638" spans="1:5" x14ac:dyDescent="0.2">
      <c r="A1638">
        <v>10871</v>
      </c>
      <c r="B1638">
        <v>16</v>
      </c>
      <c r="C1638" s="6">
        <v>17.45</v>
      </c>
      <c r="D1638" s="6">
        <v>12</v>
      </c>
      <c r="E1638" s="8">
        <v>0.05</v>
      </c>
    </row>
    <row r="1639" spans="1:5" x14ac:dyDescent="0.2">
      <c r="A1639">
        <v>10871</v>
      </c>
      <c r="B1639">
        <v>17</v>
      </c>
      <c r="C1639" s="6">
        <v>39</v>
      </c>
      <c r="D1639" s="6">
        <v>16</v>
      </c>
      <c r="E1639" s="8">
        <v>0.05</v>
      </c>
    </row>
    <row r="1640" spans="1:5" x14ac:dyDescent="0.2">
      <c r="A1640">
        <v>10872</v>
      </c>
      <c r="B1640">
        <v>55</v>
      </c>
      <c r="C1640" s="6">
        <v>24</v>
      </c>
      <c r="D1640" s="6">
        <v>10</v>
      </c>
      <c r="E1640" s="8">
        <v>0.05</v>
      </c>
    </row>
    <row r="1641" spans="1:5" x14ac:dyDescent="0.2">
      <c r="A1641">
        <v>10872</v>
      </c>
      <c r="B1641">
        <v>62</v>
      </c>
      <c r="C1641" s="6">
        <v>49.3</v>
      </c>
      <c r="D1641" s="6">
        <v>20</v>
      </c>
      <c r="E1641" s="8">
        <v>0.05</v>
      </c>
    </row>
    <row r="1642" spans="1:5" x14ac:dyDescent="0.2">
      <c r="A1642">
        <v>10872</v>
      </c>
      <c r="B1642">
        <v>64</v>
      </c>
      <c r="C1642" s="6">
        <v>33.25</v>
      </c>
      <c r="D1642" s="6">
        <v>15</v>
      </c>
      <c r="E1642" s="8">
        <v>0.05</v>
      </c>
    </row>
    <row r="1643" spans="1:5" x14ac:dyDescent="0.2">
      <c r="A1643">
        <v>10872</v>
      </c>
      <c r="B1643">
        <v>65</v>
      </c>
      <c r="C1643" s="6">
        <v>21.05</v>
      </c>
      <c r="D1643" s="6">
        <v>21</v>
      </c>
      <c r="E1643" s="8">
        <v>0.05</v>
      </c>
    </row>
    <row r="1644" spans="1:5" x14ac:dyDescent="0.2">
      <c r="A1644">
        <v>10873</v>
      </c>
      <c r="B1644">
        <v>21</v>
      </c>
      <c r="C1644" s="6">
        <v>10</v>
      </c>
      <c r="D1644" s="6">
        <v>20</v>
      </c>
      <c r="E1644" s="8">
        <v>0</v>
      </c>
    </row>
    <row r="1645" spans="1:5" x14ac:dyDescent="0.2">
      <c r="A1645">
        <v>10873</v>
      </c>
      <c r="B1645">
        <v>28</v>
      </c>
      <c r="C1645" s="6">
        <v>45.6</v>
      </c>
      <c r="D1645" s="6">
        <v>3</v>
      </c>
      <c r="E1645" s="8">
        <v>0</v>
      </c>
    </row>
    <row r="1646" spans="1:5" x14ac:dyDescent="0.2">
      <c r="A1646">
        <v>10874</v>
      </c>
      <c r="B1646">
        <v>10</v>
      </c>
      <c r="C1646" s="6">
        <v>31</v>
      </c>
      <c r="D1646" s="6">
        <v>10</v>
      </c>
      <c r="E1646" s="8">
        <v>0</v>
      </c>
    </row>
    <row r="1647" spans="1:5" x14ac:dyDescent="0.2">
      <c r="A1647">
        <v>10875</v>
      </c>
      <c r="B1647">
        <v>19</v>
      </c>
      <c r="C1647" s="6">
        <v>9.1999999999999993</v>
      </c>
      <c r="D1647" s="6">
        <v>25</v>
      </c>
      <c r="E1647" s="8">
        <v>0</v>
      </c>
    </row>
    <row r="1648" spans="1:5" x14ac:dyDescent="0.2">
      <c r="A1648">
        <v>10875</v>
      </c>
      <c r="B1648">
        <v>47</v>
      </c>
      <c r="C1648" s="6">
        <v>9.5</v>
      </c>
      <c r="D1648" s="6">
        <v>21</v>
      </c>
      <c r="E1648" s="8">
        <v>0.1</v>
      </c>
    </row>
    <row r="1649" spans="1:5" x14ac:dyDescent="0.2">
      <c r="A1649">
        <v>10875</v>
      </c>
      <c r="B1649">
        <v>49</v>
      </c>
      <c r="C1649" s="6">
        <v>20</v>
      </c>
      <c r="D1649" s="6">
        <v>15</v>
      </c>
      <c r="E1649" s="8">
        <v>0</v>
      </c>
    </row>
    <row r="1650" spans="1:5" x14ac:dyDescent="0.2">
      <c r="A1650">
        <v>10876</v>
      </c>
      <c r="B1650">
        <v>46</v>
      </c>
      <c r="C1650" s="6">
        <v>12</v>
      </c>
      <c r="D1650" s="6">
        <v>21</v>
      </c>
      <c r="E1650" s="8">
        <v>0</v>
      </c>
    </row>
    <row r="1651" spans="1:5" x14ac:dyDescent="0.2">
      <c r="A1651">
        <v>10876</v>
      </c>
      <c r="B1651">
        <v>64</v>
      </c>
      <c r="C1651" s="6">
        <v>33.25</v>
      </c>
      <c r="D1651" s="6">
        <v>20</v>
      </c>
      <c r="E1651" s="8">
        <v>0</v>
      </c>
    </row>
    <row r="1652" spans="1:5" x14ac:dyDescent="0.2">
      <c r="A1652">
        <v>10877</v>
      </c>
      <c r="B1652">
        <v>16</v>
      </c>
      <c r="C1652" s="6">
        <v>17.45</v>
      </c>
      <c r="D1652" s="6">
        <v>30</v>
      </c>
      <c r="E1652" s="8">
        <v>0.25</v>
      </c>
    </row>
    <row r="1653" spans="1:5" x14ac:dyDescent="0.2">
      <c r="A1653">
        <v>10877</v>
      </c>
      <c r="B1653">
        <v>18</v>
      </c>
      <c r="C1653" s="6">
        <v>62.5</v>
      </c>
      <c r="D1653" s="6">
        <v>25</v>
      </c>
      <c r="E1653" s="8">
        <v>0</v>
      </c>
    </row>
    <row r="1654" spans="1:5" x14ac:dyDescent="0.2">
      <c r="A1654">
        <v>10878</v>
      </c>
      <c r="B1654">
        <v>20</v>
      </c>
      <c r="C1654" s="6">
        <v>81</v>
      </c>
      <c r="D1654" s="6">
        <v>20</v>
      </c>
      <c r="E1654" s="8">
        <v>0.05</v>
      </c>
    </row>
    <row r="1655" spans="1:5" x14ac:dyDescent="0.2">
      <c r="A1655">
        <v>10879</v>
      </c>
      <c r="B1655">
        <v>40</v>
      </c>
      <c r="C1655" s="6">
        <v>18.399999999999999</v>
      </c>
      <c r="D1655" s="6">
        <v>12</v>
      </c>
      <c r="E1655" s="8">
        <v>0</v>
      </c>
    </row>
    <row r="1656" spans="1:5" x14ac:dyDescent="0.2">
      <c r="A1656">
        <v>10879</v>
      </c>
      <c r="B1656">
        <v>65</v>
      </c>
      <c r="C1656" s="6">
        <v>21.05</v>
      </c>
      <c r="D1656" s="6">
        <v>10</v>
      </c>
      <c r="E1656" s="8">
        <v>0</v>
      </c>
    </row>
    <row r="1657" spans="1:5" x14ac:dyDescent="0.2">
      <c r="A1657">
        <v>10879</v>
      </c>
      <c r="B1657">
        <v>76</v>
      </c>
      <c r="C1657" s="6">
        <v>18</v>
      </c>
      <c r="D1657" s="6">
        <v>10</v>
      </c>
      <c r="E1657" s="8">
        <v>0</v>
      </c>
    </row>
    <row r="1658" spans="1:5" x14ac:dyDescent="0.2">
      <c r="A1658">
        <v>10880</v>
      </c>
      <c r="B1658">
        <v>23</v>
      </c>
      <c r="C1658" s="6">
        <v>9</v>
      </c>
      <c r="D1658" s="6">
        <v>30</v>
      </c>
      <c r="E1658" s="8">
        <v>0.2</v>
      </c>
    </row>
    <row r="1659" spans="1:5" x14ac:dyDescent="0.2">
      <c r="A1659">
        <v>10880</v>
      </c>
      <c r="B1659">
        <v>61</v>
      </c>
      <c r="C1659" s="6">
        <v>28.5</v>
      </c>
      <c r="D1659" s="6">
        <v>30</v>
      </c>
      <c r="E1659" s="8">
        <v>0.2</v>
      </c>
    </row>
    <row r="1660" spans="1:5" x14ac:dyDescent="0.2">
      <c r="A1660">
        <v>10880</v>
      </c>
      <c r="B1660">
        <v>70</v>
      </c>
      <c r="C1660" s="6">
        <v>15</v>
      </c>
      <c r="D1660" s="6">
        <v>50</v>
      </c>
      <c r="E1660" s="8">
        <v>0.2</v>
      </c>
    </row>
    <row r="1661" spans="1:5" x14ac:dyDescent="0.2">
      <c r="A1661">
        <v>10881</v>
      </c>
      <c r="B1661">
        <v>73</v>
      </c>
      <c r="C1661" s="6">
        <v>15</v>
      </c>
      <c r="D1661" s="6">
        <v>10</v>
      </c>
      <c r="E1661" s="8">
        <v>0</v>
      </c>
    </row>
    <row r="1662" spans="1:5" x14ac:dyDescent="0.2">
      <c r="A1662">
        <v>10882</v>
      </c>
      <c r="B1662">
        <v>42</v>
      </c>
      <c r="C1662" s="6">
        <v>14</v>
      </c>
      <c r="D1662" s="6">
        <v>25</v>
      </c>
      <c r="E1662" s="8">
        <v>0</v>
      </c>
    </row>
    <row r="1663" spans="1:5" x14ac:dyDescent="0.2">
      <c r="A1663">
        <v>10882</v>
      </c>
      <c r="B1663">
        <v>49</v>
      </c>
      <c r="C1663" s="6">
        <v>20</v>
      </c>
      <c r="D1663" s="6">
        <v>20</v>
      </c>
      <c r="E1663" s="8">
        <v>0.15</v>
      </c>
    </row>
    <row r="1664" spans="1:5" x14ac:dyDescent="0.2">
      <c r="A1664">
        <v>10882</v>
      </c>
      <c r="B1664">
        <v>54</v>
      </c>
      <c r="C1664" s="6">
        <v>7.45</v>
      </c>
      <c r="D1664" s="6">
        <v>32</v>
      </c>
      <c r="E1664" s="8">
        <v>0.15</v>
      </c>
    </row>
    <row r="1665" spans="1:5" x14ac:dyDescent="0.2">
      <c r="A1665">
        <v>10883</v>
      </c>
      <c r="B1665">
        <v>24</v>
      </c>
      <c r="C1665" s="6">
        <v>4.5</v>
      </c>
      <c r="D1665" s="6">
        <v>8</v>
      </c>
      <c r="E1665" s="8">
        <v>0</v>
      </c>
    </row>
    <row r="1666" spans="1:5" x14ac:dyDescent="0.2">
      <c r="A1666">
        <v>10884</v>
      </c>
      <c r="B1666">
        <v>21</v>
      </c>
      <c r="C1666" s="6">
        <v>10</v>
      </c>
      <c r="D1666" s="6">
        <v>40</v>
      </c>
      <c r="E1666" s="8">
        <v>0.05</v>
      </c>
    </row>
    <row r="1667" spans="1:5" x14ac:dyDescent="0.2">
      <c r="A1667">
        <v>10884</v>
      </c>
      <c r="B1667">
        <v>56</v>
      </c>
      <c r="C1667" s="6">
        <v>38</v>
      </c>
      <c r="D1667" s="6">
        <v>21</v>
      </c>
      <c r="E1667" s="8">
        <v>0.05</v>
      </c>
    </row>
    <row r="1668" spans="1:5" x14ac:dyDescent="0.2">
      <c r="A1668">
        <v>10884</v>
      </c>
      <c r="B1668">
        <v>65</v>
      </c>
      <c r="C1668" s="6">
        <v>21.05</v>
      </c>
      <c r="D1668" s="6">
        <v>12</v>
      </c>
      <c r="E1668" s="8">
        <v>0.05</v>
      </c>
    </row>
    <row r="1669" spans="1:5" x14ac:dyDescent="0.2">
      <c r="A1669">
        <v>10885</v>
      </c>
      <c r="B1669">
        <v>2</v>
      </c>
      <c r="C1669" s="6">
        <v>19</v>
      </c>
      <c r="D1669" s="6">
        <v>20</v>
      </c>
      <c r="E1669" s="8">
        <v>0</v>
      </c>
    </row>
    <row r="1670" spans="1:5" x14ac:dyDescent="0.2">
      <c r="A1670">
        <v>10885</v>
      </c>
      <c r="B1670">
        <v>24</v>
      </c>
      <c r="C1670" s="6">
        <v>4.5</v>
      </c>
      <c r="D1670" s="6">
        <v>12</v>
      </c>
      <c r="E1670" s="8">
        <v>0</v>
      </c>
    </row>
    <row r="1671" spans="1:5" x14ac:dyDescent="0.2">
      <c r="A1671">
        <v>10885</v>
      </c>
      <c r="B1671">
        <v>70</v>
      </c>
      <c r="C1671" s="6">
        <v>15</v>
      </c>
      <c r="D1671" s="6">
        <v>30</v>
      </c>
      <c r="E1671" s="8">
        <v>0</v>
      </c>
    </row>
    <row r="1672" spans="1:5" x14ac:dyDescent="0.2">
      <c r="A1672">
        <v>10885</v>
      </c>
      <c r="B1672">
        <v>77</v>
      </c>
      <c r="C1672" s="6">
        <v>13</v>
      </c>
      <c r="D1672" s="6">
        <v>25</v>
      </c>
      <c r="E1672" s="8">
        <v>0</v>
      </c>
    </row>
    <row r="1673" spans="1:5" x14ac:dyDescent="0.2">
      <c r="A1673">
        <v>10886</v>
      </c>
      <c r="B1673">
        <v>10</v>
      </c>
      <c r="C1673" s="6">
        <v>31</v>
      </c>
      <c r="D1673" s="6">
        <v>70</v>
      </c>
      <c r="E1673" s="8">
        <v>0</v>
      </c>
    </row>
    <row r="1674" spans="1:5" x14ac:dyDescent="0.2">
      <c r="A1674">
        <v>10886</v>
      </c>
      <c r="B1674">
        <v>31</v>
      </c>
      <c r="C1674" s="6">
        <v>12.5</v>
      </c>
      <c r="D1674" s="6">
        <v>35</v>
      </c>
      <c r="E1674" s="8">
        <v>0</v>
      </c>
    </row>
    <row r="1675" spans="1:5" x14ac:dyDescent="0.2">
      <c r="A1675">
        <v>10886</v>
      </c>
      <c r="B1675">
        <v>77</v>
      </c>
      <c r="C1675" s="6">
        <v>13</v>
      </c>
      <c r="D1675" s="6">
        <v>40</v>
      </c>
      <c r="E1675" s="8">
        <v>0</v>
      </c>
    </row>
    <row r="1676" spans="1:5" x14ac:dyDescent="0.2">
      <c r="A1676">
        <v>10887</v>
      </c>
      <c r="B1676">
        <v>25</v>
      </c>
      <c r="C1676" s="6">
        <v>14</v>
      </c>
      <c r="D1676" s="6">
        <v>5</v>
      </c>
      <c r="E1676" s="8">
        <v>0</v>
      </c>
    </row>
    <row r="1677" spans="1:5" x14ac:dyDescent="0.2">
      <c r="A1677">
        <v>10888</v>
      </c>
      <c r="B1677">
        <v>2</v>
      </c>
      <c r="C1677" s="6">
        <v>19</v>
      </c>
      <c r="D1677" s="6">
        <v>20</v>
      </c>
      <c r="E1677" s="8">
        <v>0</v>
      </c>
    </row>
    <row r="1678" spans="1:5" x14ac:dyDescent="0.2">
      <c r="A1678">
        <v>10888</v>
      </c>
      <c r="B1678">
        <v>68</v>
      </c>
      <c r="C1678" s="6">
        <v>12.5</v>
      </c>
      <c r="D1678" s="6">
        <v>18</v>
      </c>
      <c r="E1678" s="8">
        <v>0</v>
      </c>
    </row>
    <row r="1679" spans="1:5" x14ac:dyDescent="0.2">
      <c r="A1679">
        <v>10889</v>
      </c>
      <c r="B1679">
        <v>11</v>
      </c>
      <c r="C1679" s="6">
        <v>21</v>
      </c>
      <c r="D1679" s="6">
        <v>40</v>
      </c>
      <c r="E1679" s="8">
        <v>0</v>
      </c>
    </row>
    <row r="1680" spans="1:5" x14ac:dyDescent="0.2">
      <c r="A1680">
        <v>10889</v>
      </c>
      <c r="B1680">
        <v>38</v>
      </c>
      <c r="C1680" s="6">
        <v>263.5</v>
      </c>
      <c r="D1680" s="6">
        <v>40</v>
      </c>
      <c r="E1680" s="8">
        <v>0</v>
      </c>
    </row>
    <row r="1681" spans="1:5" x14ac:dyDescent="0.2">
      <c r="A1681">
        <v>10890</v>
      </c>
      <c r="B1681">
        <v>17</v>
      </c>
      <c r="C1681" s="6">
        <v>39</v>
      </c>
      <c r="D1681" s="6">
        <v>15</v>
      </c>
      <c r="E1681" s="8">
        <v>0</v>
      </c>
    </row>
    <row r="1682" spans="1:5" x14ac:dyDescent="0.2">
      <c r="A1682">
        <v>10890</v>
      </c>
      <c r="B1682">
        <v>34</v>
      </c>
      <c r="C1682" s="6">
        <v>14</v>
      </c>
      <c r="D1682" s="6">
        <v>10</v>
      </c>
      <c r="E1682" s="8">
        <v>0</v>
      </c>
    </row>
    <row r="1683" spans="1:5" x14ac:dyDescent="0.2">
      <c r="A1683">
        <v>10890</v>
      </c>
      <c r="B1683">
        <v>41</v>
      </c>
      <c r="C1683" s="6">
        <v>9.65</v>
      </c>
      <c r="D1683" s="6">
        <v>14</v>
      </c>
      <c r="E1683" s="8">
        <v>0</v>
      </c>
    </row>
    <row r="1684" spans="1:5" x14ac:dyDescent="0.2">
      <c r="A1684">
        <v>10891</v>
      </c>
      <c r="B1684">
        <v>30</v>
      </c>
      <c r="C1684" s="6">
        <v>25.89</v>
      </c>
      <c r="D1684" s="6">
        <v>15</v>
      </c>
      <c r="E1684" s="8">
        <v>0.05</v>
      </c>
    </row>
    <row r="1685" spans="1:5" x14ac:dyDescent="0.2">
      <c r="A1685">
        <v>10892</v>
      </c>
      <c r="B1685">
        <v>59</v>
      </c>
      <c r="C1685" s="6">
        <v>55</v>
      </c>
      <c r="D1685" s="6">
        <v>40</v>
      </c>
      <c r="E1685" s="8">
        <v>0.05</v>
      </c>
    </row>
    <row r="1686" spans="1:5" x14ac:dyDescent="0.2">
      <c r="A1686">
        <v>10893</v>
      </c>
      <c r="B1686">
        <v>8</v>
      </c>
      <c r="C1686" s="6">
        <v>40</v>
      </c>
      <c r="D1686" s="6">
        <v>30</v>
      </c>
      <c r="E1686" s="8">
        <v>0</v>
      </c>
    </row>
    <row r="1687" spans="1:5" x14ac:dyDescent="0.2">
      <c r="A1687">
        <v>10893</v>
      </c>
      <c r="B1687">
        <v>24</v>
      </c>
      <c r="C1687" s="6">
        <v>4.5</v>
      </c>
      <c r="D1687" s="6">
        <v>10</v>
      </c>
      <c r="E1687" s="8">
        <v>0</v>
      </c>
    </row>
    <row r="1688" spans="1:5" x14ac:dyDescent="0.2">
      <c r="A1688">
        <v>10893</v>
      </c>
      <c r="B1688">
        <v>29</v>
      </c>
      <c r="C1688" s="6">
        <v>123.79</v>
      </c>
      <c r="D1688" s="6">
        <v>24</v>
      </c>
      <c r="E1688" s="8">
        <v>0</v>
      </c>
    </row>
    <row r="1689" spans="1:5" x14ac:dyDescent="0.2">
      <c r="A1689">
        <v>10893</v>
      </c>
      <c r="B1689">
        <v>30</v>
      </c>
      <c r="C1689" s="6">
        <v>25.89</v>
      </c>
      <c r="D1689" s="6">
        <v>35</v>
      </c>
      <c r="E1689" s="8">
        <v>0</v>
      </c>
    </row>
    <row r="1690" spans="1:5" x14ac:dyDescent="0.2">
      <c r="A1690">
        <v>10893</v>
      </c>
      <c r="B1690">
        <v>36</v>
      </c>
      <c r="C1690" s="6">
        <v>19</v>
      </c>
      <c r="D1690" s="6">
        <v>20</v>
      </c>
      <c r="E1690" s="8">
        <v>0</v>
      </c>
    </row>
    <row r="1691" spans="1:5" x14ac:dyDescent="0.2">
      <c r="A1691">
        <v>10894</v>
      </c>
      <c r="B1691">
        <v>13</v>
      </c>
      <c r="C1691" s="6">
        <v>6</v>
      </c>
      <c r="D1691" s="6">
        <v>28</v>
      </c>
      <c r="E1691" s="8">
        <v>0.05</v>
      </c>
    </row>
    <row r="1692" spans="1:5" x14ac:dyDescent="0.2">
      <c r="A1692">
        <v>10894</v>
      </c>
      <c r="B1692">
        <v>69</v>
      </c>
      <c r="C1692" s="6">
        <v>36</v>
      </c>
      <c r="D1692" s="6">
        <v>50</v>
      </c>
      <c r="E1692" s="8">
        <v>0.05</v>
      </c>
    </row>
    <row r="1693" spans="1:5" x14ac:dyDescent="0.2">
      <c r="A1693">
        <v>10894</v>
      </c>
      <c r="B1693">
        <v>75</v>
      </c>
      <c r="C1693" s="6">
        <v>7.75</v>
      </c>
      <c r="D1693" s="6">
        <v>120</v>
      </c>
      <c r="E1693" s="8">
        <v>0.05</v>
      </c>
    </row>
    <row r="1694" spans="1:5" x14ac:dyDescent="0.2">
      <c r="A1694">
        <v>10895</v>
      </c>
      <c r="B1694">
        <v>24</v>
      </c>
      <c r="C1694" s="6">
        <v>4.5</v>
      </c>
      <c r="D1694" s="6">
        <v>110</v>
      </c>
      <c r="E1694" s="8">
        <v>0</v>
      </c>
    </row>
    <row r="1695" spans="1:5" x14ac:dyDescent="0.2">
      <c r="A1695">
        <v>10895</v>
      </c>
      <c r="B1695">
        <v>39</v>
      </c>
      <c r="C1695" s="6">
        <v>18</v>
      </c>
      <c r="D1695" s="6">
        <v>45</v>
      </c>
      <c r="E1695" s="8">
        <v>0</v>
      </c>
    </row>
    <row r="1696" spans="1:5" x14ac:dyDescent="0.2">
      <c r="A1696">
        <v>10895</v>
      </c>
      <c r="B1696">
        <v>40</v>
      </c>
      <c r="C1696" s="6">
        <v>18.399999999999999</v>
      </c>
      <c r="D1696" s="6">
        <v>91</v>
      </c>
      <c r="E1696" s="8">
        <v>0</v>
      </c>
    </row>
    <row r="1697" spans="1:5" x14ac:dyDescent="0.2">
      <c r="A1697">
        <v>10895</v>
      </c>
      <c r="B1697">
        <v>60</v>
      </c>
      <c r="C1697" s="6">
        <v>34</v>
      </c>
      <c r="D1697" s="6">
        <v>100</v>
      </c>
      <c r="E1697" s="8">
        <v>0</v>
      </c>
    </row>
    <row r="1698" spans="1:5" x14ac:dyDescent="0.2">
      <c r="A1698">
        <v>10896</v>
      </c>
      <c r="B1698">
        <v>45</v>
      </c>
      <c r="C1698" s="6">
        <v>9.5</v>
      </c>
      <c r="D1698" s="6">
        <v>15</v>
      </c>
      <c r="E1698" s="8">
        <v>0</v>
      </c>
    </row>
    <row r="1699" spans="1:5" x14ac:dyDescent="0.2">
      <c r="A1699">
        <v>10896</v>
      </c>
      <c r="B1699">
        <v>56</v>
      </c>
      <c r="C1699" s="6">
        <v>38</v>
      </c>
      <c r="D1699" s="6">
        <v>16</v>
      </c>
      <c r="E1699" s="8">
        <v>0</v>
      </c>
    </row>
    <row r="1700" spans="1:5" x14ac:dyDescent="0.2">
      <c r="A1700">
        <v>10897</v>
      </c>
      <c r="B1700">
        <v>29</v>
      </c>
      <c r="C1700" s="6">
        <v>123.79</v>
      </c>
      <c r="D1700" s="6">
        <v>80</v>
      </c>
      <c r="E1700" s="8">
        <v>0</v>
      </c>
    </row>
    <row r="1701" spans="1:5" x14ac:dyDescent="0.2">
      <c r="A1701">
        <v>10897</v>
      </c>
      <c r="B1701">
        <v>30</v>
      </c>
      <c r="C1701" s="6">
        <v>25.89</v>
      </c>
      <c r="D1701" s="6">
        <v>36</v>
      </c>
      <c r="E1701" s="8">
        <v>0</v>
      </c>
    </row>
    <row r="1702" spans="1:5" x14ac:dyDescent="0.2">
      <c r="A1702">
        <v>10898</v>
      </c>
      <c r="B1702">
        <v>13</v>
      </c>
      <c r="C1702" s="6">
        <v>6</v>
      </c>
      <c r="D1702" s="6">
        <v>5</v>
      </c>
      <c r="E1702" s="8">
        <v>0</v>
      </c>
    </row>
    <row r="1703" spans="1:5" x14ac:dyDescent="0.2">
      <c r="A1703">
        <v>10899</v>
      </c>
      <c r="B1703">
        <v>39</v>
      </c>
      <c r="C1703" s="6">
        <v>18</v>
      </c>
      <c r="D1703" s="6">
        <v>8</v>
      </c>
      <c r="E1703" s="8">
        <v>0.15</v>
      </c>
    </row>
    <row r="1704" spans="1:5" x14ac:dyDescent="0.2">
      <c r="A1704">
        <v>10900</v>
      </c>
      <c r="B1704">
        <v>70</v>
      </c>
      <c r="C1704" s="6">
        <v>15</v>
      </c>
      <c r="D1704" s="6">
        <v>3</v>
      </c>
      <c r="E1704" s="8">
        <v>0.25</v>
      </c>
    </row>
    <row r="1705" spans="1:5" x14ac:dyDescent="0.2">
      <c r="A1705">
        <v>10901</v>
      </c>
      <c r="B1705">
        <v>41</v>
      </c>
      <c r="C1705" s="6">
        <v>9.65</v>
      </c>
      <c r="D1705" s="6">
        <v>30</v>
      </c>
      <c r="E1705" s="8">
        <v>0</v>
      </c>
    </row>
    <row r="1706" spans="1:5" x14ac:dyDescent="0.2">
      <c r="A1706">
        <v>10901</v>
      </c>
      <c r="B1706">
        <v>71</v>
      </c>
      <c r="C1706" s="6">
        <v>21.5</v>
      </c>
      <c r="D1706" s="6">
        <v>30</v>
      </c>
      <c r="E1706" s="8">
        <v>0</v>
      </c>
    </row>
    <row r="1707" spans="1:5" x14ac:dyDescent="0.2">
      <c r="A1707">
        <v>10902</v>
      </c>
      <c r="B1707">
        <v>55</v>
      </c>
      <c r="C1707" s="6">
        <v>24</v>
      </c>
      <c r="D1707" s="6">
        <v>30</v>
      </c>
      <c r="E1707" s="8">
        <v>0.15</v>
      </c>
    </row>
    <row r="1708" spans="1:5" x14ac:dyDescent="0.2">
      <c r="A1708">
        <v>10902</v>
      </c>
      <c r="B1708">
        <v>62</v>
      </c>
      <c r="C1708" s="6">
        <v>49.3</v>
      </c>
      <c r="D1708" s="6">
        <v>6</v>
      </c>
      <c r="E1708" s="8">
        <v>0.15</v>
      </c>
    </row>
    <row r="1709" spans="1:5" x14ac:dyDescent="0.2">
      <c r="A1709">
        <v>10903</v>
      </c>
      <c r="B1709">
        <v>13</v>
      </c>
      <c r="C1709" s="6">
        <v>6</v>
      </c>
      <c r="D1709" s="6">
        <v>40</v>
      </c>
      <c r="E1709" s="8">
        <v>0</v>
      </c>
    </row>
    <row r="1710" spans="1:5" x14ac:dyDescent="0.2">
      <c r="A1710">
        <v>10903</v>
      </c>
      <c r="B1710">
        <v>65</v>
      </c>
      <c r="C1710" s="6">
        <v>21.05</v>
      </c>
      <c r="D1710" s="6">
        <v>21</v>
      </c>
      <c r="E1710" s="8">
        <v>0</v>
      </c>
    </row>
    <row r="1711" spans="1:5" x14ac:dyDescent="0.2">
      <c r="A1711">
        <v>10903</v>
      </c>
      <c r="B1711">
        <v>68</v>
      </c>
      <c r="C1711" s="6">
        <v>12.5</v>
      </c>
      <c r="D1711" s="6">
        <v>20</v>
      </c>
      <c r="E1711" s="8">
        <v>0</v>
      </c>
    </row>
    <row r="1712" spans="1:5" x14ac:dyDescent="0.2">
      <c r="A1712">
        <v>10904</v>
      </c>
      <c r="B1712">
        <v>58</v>
      </c>
      <c r="C1712" s="6">
        <v>13.25</v>
      </c>
      <c r="D1712" s="6">
        <v>15</v>
      </c>
      <c r="E1712" s="8">
        <v>0</v>
      </c>
    </row>
    <row r="1713" spans="1:5" x14ac:dyDescent="0.2">
      <c r="A1713">
        <v>10904</v>
      </c>
      <c r="B1713">
        <v>62</v>
      </c>
      <c r="C1713" s="6">
        <v>49.3</v>
      </c>
      <c r="D1713" s="6">
        <v>35</v>
      </c>
      <c r="E1713" s="8">
        <v>0</v>
      </c>
    </row>
    <row r="1714" spans="1:5" x14ac:dyDescent="0.2">
      <c r="A1714">
        <v>10905</v>
      </c>
      <c r="B1714">
        <v>1</v>
      </c>
      <c r="C1714" s="6">
        <v>18</v>
      </c>
      <c r="D1714" s="6">
        <v>20</v>
      </c>
      <c r="E1714" s="8">
        <v>0.05</v>
      </c>
    </row>
    <row r="1715" spans="1:5" x14ac:dyDescent="0.2">
      <c r="A1715">
        <v>10906</v>
      </c>
      <c r="B1715">
        <v>61</v>
      </c>
      <c r="C1715" s="6">
        <v>28.5</v>
      </c>
      <c r="D1715" s="6">
        <v>15</v>
      </c>
      <c r="E1715" s="8">
        <v>0</v>
      </c>
    </row>
    <row r="1716" spans="1:5" x14ac:dyDescent="0.2">
      <c r="A1716">
        <v>10907</v>
      </c>
      <c r="B1716">
        <v>75</v>
      </c>
      <c r="C1716" s="6">
        <v>7.75</v>
      </c>
      <c r="D1716" s="6">
        <v>14</v>
      </c>
      <c r="E1716" s="8">
        <v>0</v>
      </c>
    </row>
    <row r="1717" spans="1:5" x14ac:dyDescent="0.2">
      <c r="A1717">
        <v>10908</v>
      </c>
      <c r="B1717">
        <v>7</v>
      </c>
      <c r="C1717" s="6">
        <v>30</v>
      </c>
      <c r="D1717" s="6">
        <v>20</v>
      </c>
      <c r="E1717" s="8">
        <v>0.05</v>
      </c>
    </row>
    <row r="1718" spans="1:5" x14ac:dyDescent="0.2">
      <c r="A1718">
        <v>10908</v>
      </c>
      <c r="B1718">
        <v>52</v>
      </c>
      <c r="C1718" s="6">
        <v>7</v>
      </c>
      <c r="D1718" s="6">
        <v>14</v>
      </c>
      <c r="E1718" s="8">
        <v>0.05</v>
      </c>
    </row>
    <row r="1719" spans="1:5" x14ac:dyDescent="0.2">
      <c r="A1719">
        <v>10909</v>
      </c>
      <c r="B1719">
        <v>7</v>
      </c>
      <c r="C1719" s="6">
        <v>30</v>
      </c>
      <c r="D1719" s="6">
        <v>12</v>
      </c>
      <c r="E1719" s="8">
        <v>0</v>
      </c>
    </row>
    <row r="1720" spans="1:5" x14ac:dyDescent="0.2">
      <c r="A1720">
        <v>10909</v>
      </c>
      <c r="B1720">
        <v>16</v>
      </c>
      <c r="C1720" s="6">
        <v>17.45</v>
      </c>
      <c r="D1720" s="6">
        <v>15</v>
      </c>
      <c r="E1720" s="8">
        <v>0</v>
      </c>
    </row>
    <row r="1721" spans="1:5" x14ac:dyDescent="0.2">
      <c r="A1721">
        <v>10909</v>
      </c>
      <c r="B1721">
        <v>41</v>
      </c>
      <c r="C1721" s="6">
        <v>9.65</v>
      </c>
      <c r="D1721" s="6">
        <v>5</v>
      </c>
      <c r="E1721" s="8">
        <v>0</v>
      </c>
    </row>
    <row r="1722" spans="1:5" x14ac:dyDescent="0.2">
      <c r="A1722">
        <v>10910</v>
      </c>
      <c r="B1722">
        <v>19</v>
      </c>
      <c r="C1722" s="6">
        <v>9.1999999999999993</v>
      </c>
      <c r="D1722" s="6">
        <v>12</v>
      </c>
      <c r="E1722" s="8">
        <v>0</v>
      </c>
    </row>
    <row r="1723" spans="1:5" x14ac:dyDescent="0.2">
      <c r="A1723">
        <v>10910</v>
      </c>
      <c r="B1723">
        <v>49</v>
      </c>
      <c r="C1723" s="6">
        <v>20</v>
      </c>
      <c r="D1723" s="6">
        <v>10</v>
      </c>
      <c r="E1723" s="8">
        <v>0</v>
      </c>
    </row>
    <row r="1724" spans="1:5" x14ac:dyDescent="0.2">
      <c r="A1724">
        <v>10910</v>
      </c>
      <c r="B1724">
        <v>61</v>
      </c>
      <c r="C1724" s="6">
        <v>28.5</v>
      </c>
      <c r="D1724" s="6">
        <v>5</v>
      </c>
      <c r="E1724" s="8">
        <v>0</v>
      </c>
    </row>
    <row r="1725" spans="1:5" x14ac:dyDescent="0.2">
      <c r="A1725">
        <v>10911</v>
      </c>
      <c r="B1725">
        <v>1</v>
      </c>
      <c r="C1725" s="6">
        <v>18</v>
      </c>
      <c r="D1725" s="6">
        <v>10</v>
      </c>
      <c r="E1725" s="8">
        <v>0</v>
      </c>
    </row>
    <row r="1726" spans="1:5" x14ac:dyDescent="0.2">
      <c r="A1726">
        <v>10911</v>
      </c>
      <c r="B1726">
        <v>17</v>
      </c>
      <c r="C1726" s="6">
        <v>39</v>
      </c>
      <c r="D1726" s="6">
        <v>12</v>
      </c>
      <c r="E1726" s="8">
        <v>0</v>
      </c>
    </row>
    <row r="1727" spans="1:5" x14ac:dyDescent="0.2">
      <c r="A1727">
        <v>10911</v>
      </c>
      <c r="B1727">
        <v>67</v>
      </c>
      <c r="C1727" s="6">
        <v>14</v>
      </c>
      <c r="D1727" s="6">
        <v>15</v>
      </c>
      <c r="E1727" s="8">
        <v>0</v>
      </c>
    </row>
    <row r="1728" spans="1:5" x14ac:dyDescent="0.2">
      <c r="A1728">
        <v>10912</v>
      </c>
      <c r="B1728">
        <v>11</v>
      </c>
      <c r="C1728" s="6">
        <v>21</v>
      </c>
      <c r="D1728" s="6">
        <v>40</v>
      </c>
      <c r="E1728" s="8">
        <v>0.25</v>
      </c>
    </row>
    <row r="1729" spans="1:5" x14ac:dyDescent="0.2">
      <c r="A1729">
        <v>10912</v>
      </c>
      <c r="B1729">
        <v>29</v>
      </c>
      <c r="C1729" s="6">
        <v>123.79</v>
      </c>
      <c r="D1729" s="6">
        <v>60</v>
      </c>
      <c r="E1729" s="8">
        <v>0.25</v>
      </c>
    </row>
    <row r="1730" spans="1:5" x14ac:dyDescent="0.2">
      <c r="A1730">
        <v>10913</v>
      </c>
      <c r="B1730">
        <v>4</v>
      </c>
      <c r="C1730" s="6">
        <v>22</v>
      </c>
      <c r="D1730" s="6">
        <v>30</v>
      </c>
      <c r="E1730" s="8">
        <v>0.25</v>
      </c>
    </row>
    <row r="1731" spans="1:5" x14ac:dyDescent="0.2">
      <c r="A1731">
        <v>10913</v>
      </c>
      <c r="B1731">
        <v>33</v>
      </c>
      <c r="C1731" s="6">
        <v>2.5</v>
      </c>
      <c r="D1731" s="6">
        <v>40</v>
      </c>
      <c r="E1731" s="8">
        <v>0.25</v>
      </c>
    </row>
    <row r="1732" spans="1:5" x14ac:dyDescent="0.2">
      <c r="A1732">
        <v>10913</v>
      </c>
      <c r="B1732">
        <v>58</v>
      </c>
      <c r="C1732" s="6">
        <v>13.25</v>
      </c>
      <c r="D1732" s="6">
        <v>15</v>
      </c>
      <c r="E1732" s="8">
        <v>0</v>
      </c>
    </row>
    <row r="1733" spans="1:5" x14ac:dyDescent="0.2">
      <c r="A1733">
        <v>10914</v>
      </c>
      <c r="B1733">
        <v>71</v>
      </c>
      <c r="C1733" s="6">
        <v>21.5</v>
      </c>
      <c r="D1733" s="6">
        <v>25</v>
      </c>
      <c r="E1733" s="8">
        <v>0</v>
      </c>
    </row>
    <row r="1734" spans="1:5" x14ac:dyDescent="0.2">
      <c r="A1734">
        <v>10915</v>
      </c>
      <c r="B1734">
        <v>17</v>
      </c>
      <c r="C1734" s="6">
        <v>39</v>
      </c>
      <c r="D1734" s="6">
        <v>10</v>
      </c>
      <c r="E1734" s="8">
        <v>0</v>
      </c>
    </row>
    <row r="1735" spans="1:5" x14ac:dyDescent="0.2">
      <c r="A1735">
        <v>10915</v>
      </c>
      <c r="B1735">
        <v>33</v>
      </c>
      <c r="C1735" s="6">
        <v>2.5</v>
      </c>
      <c r="D1735" s="6">
        <v>30</v>
      </c>
      <c r="E1735" s="8">
        <v>0</v>
      </c>
    </row>
    <row r="1736" spans="1:5" x14ac:dyDescent="0.2">
      <c r="A1736">
        <v>10915</v>
      </c>
      <c r="B1736">
        <v>54</v>
      </c>
      <c r="C1736" s="6">
        <v>7.45</v>
      </c>
      <c r="D1736" s="6">
        <v>10</v>
      </c>
      <c r="E1736" s="8">
        <v>0</v>
      </c>
    </row>
    <row r="1737" spans="1:5" x14ac:dyDescent="0.2">
      <c r="A1737">
        <v>10916</v>
      </c>
      <c r="B1737">
        <v>16</v>
      </c>
      <c r="C1737" s="6">
        <v>17.45</v>
      </c>
      <c r="D1737" s="6">
        <v>6</v>
      </c>
      <c r="E1737" s="8">
        <v>0</v>
      </c>
    </row>
    <row r="1738" spans="1:5" x14ac:dyDescent="0.2">
      <c r="A1738">
        <v>10916</v>
      </c>
      <c r="B1738">
        <v>32</v>
      </c>
      <c r="C1738" s="6">
        <v>32</v>
      </c>
      <c r="D1738" s="6">
        <v>6</v>
      </c>
      <c r="E1738" s="8">
        <v>0</v>
      </c>
    </row>
    <row r="1739" spans="1:5" x14ac:dyDescent="0.2">
      <c r="A1739">
        <v>10916</v>
      </c>
      <c r="B1739">
        <v>57</v>
      </c>
      <c r="C1739" s="6">
        <v>19.5</v>
      </c>
      <c r="D1739" s="6">
        <v>20</v>
      </c>
      <c r="E1739" s="8">
        <v>0</v>
      </c>
    </row>
    <row r="1740" spans="1:5" x14ac:dyDescent="0.2">
      <c r="A1740">
        <v>10917</v>
      </c>
      <c r="B1740">
        <v>30</v>
      </c>
      <c r="C1740" s="6">
        <v>25.89</v>
      </c>
      <c r="D1740" s="6">
        <v>1</v>
      </c>
      <c r="E1740" s="8">
        <v>0</v>
      </c>
    </row>
    <row r="1741" spans="1:5" x14ac:dyDescent="0.2">
      <c r="A1741">
        <v>10917</v>
      </c>
      <c r="B1741">
        <v>60</v>
      </c>
      <c r="C1741" s="6">
        <v>34</v>
      </c>
      <c r="D1741" s="6">
        <v>10</v>
      </c>
      <c r="E1741" s="8">
        <v>0</v>
      </c>
    </row>
    <row r="1742" spans="1:5" x14ac:dyDescent="0.2">
      <c r="A1742">
        <v>10918</v>
      </c>
      <c r="B1742">
        <v>1</v>
      </c>
      <c r="C1742" s="6">
        <v>18</v>
      </c>
      <c r="D1742" s="6">
        <v>60</v>
      </c>
      <c r="E1742" s="8">
        <v>0.25</v>
      </c>
    </row>
    <row r="1743" spans="1:5" x14ac:dyDescent="0.2">
      <c r="A1743">
        <v>10918</v>
      </c>
      <c r="B1743">
        <v>60</v>
      </c>
      <c r="C1743" s="6">
        <v>34</v>
      </c>
      <c r="D1743" s="6">
        <v>25</v>
      </c>
      <c r="E1743" s="8">
        <v>0.25</v>
      </c>
    </row>
    <row r="1744" spans="1:5" x14ac:dyDescent="0.2">
      <c r="A1744">
        <v>10919</v>
      </c>
      <c r="B1744">
        <v>16</v>
      </c>
      <c r="C1744" s="6">
        <v>17.45</v>
      </c>
      <c r="D1744" s="6">
        <v>24</v>
      </c>
      <c r="E1744" s="8">
        <v>0</v>
      </c>
    </row>
    <row r="1745" spans="1:5" x14ac:dyDescent="0.2">
      <c r="A1745">
        <v>10919</v>
      </c>
      <c r="B1745">
        <v>25</v>
      </c>
      <c r="C1745" s="6">
        <v>14</v>
      </c>
      <c r="D1745" s="6">
        <v>24</v>
      </c>
      <c r="E1745" s="8">
        <v>0</v>
      </c>
    </row>
    <row r="1746" spans="1:5" x14ac:dyDescent="0.2">
      <c r="A1746">
        <v>10919</v>
      </c>
      <c r="B1746">
        <v>40</v>
      </c>
      <c r="C1746" s="6">
        <v>18.399999999999999</v>
      </c>
      <c r="D1746" s="6">
        <v>20</v>
      </c>
      <c r="E1746" s="8">
        <v>0</v>
      </c>
    </row>
    <row r="1747" spans="1:5" x14ac:dyDescent="0.2">
      <c r="A1747">
        <v>10920</v>
      </c>
      <c r="B1747">
        <v>50</v>
      </c>
      <c r="C1747" s="6">
        <v>16.25</v>
      </c>
      <c r="D1747" s="6">
        <v>24</v>
      </c>
      <c r="E1747" s="8">
        <v>0</v>
      </c>
    </row>
    <row r="1748" spans="1:5" x14ac:dyDescent="0.2">
      <c r="A1748">
        <v>10921</v>
      </c>
      <c r="B1748">
        <v>35</v>
      </c>
      <c r="C1748" s="6">
        <v>18</v>
      </c>
      <c r="D1748" s="6">
        <v>10</v>
      </c>
      <c r="E1748" s="8">
        <v>0</v>
      </c>
    </row>
    <row r="1749" spans="1:5" x14ac:dyDescent="0.2">
      <c r="A1749">
        <v>10921</v>
      </c>
      <c r="B1749">
        <v>63</v>
      </c>
      <c r="C1749" s="6">
        <v>43.9</v>
      </c>
      <c r="D1749" s="6">
        <v>40</v>
      </c>
      <c r="E1749" s="8">
        <v>0</v>
      </c>
    </row>
    <row r="1750" spans="1:5" x14ac:dyDescent="0.2">
      <c r="A1750">
        <v>10922</v>
      </c>
      <c r="B1750">
        <v>17</v>
      </c>
      <c r="C1750" s="6">
        <v>39</v>
      </c>
      <c r="D1750" s="6">
        <v>15</v>
      </c>
      <c r="E1750" s="8">
        <v>0</v>
      </c>
    </row>
    <row r="1751" spans="1:5" x14ac:dyDescent="0.2">
      <c r="A1751">
        <v>10922</v>
      </c>
      <c r="B1751">
        <v>24</v>
      </c>
      <c r="C1751" s="6">
        <v>4.5</v>
      </c>
      <c r="D1751" s="6">
        <v>35</v>
      </c>
      <c r="E1751" s="8">
        <v>0</v>
      </c>
    </row>
    <row r="1752" spans="1:5" x14ac:dyDescent="0.2">
      <c r="A1752">
        <v>10923</v>
      </c>
      <c r="B1752">
        <v>42</v>
      </c>
      <c r="C1752" s="6">
        <v>14</v>
      </c>
      <c r="D1752" s="6">
        <v>10</v>
      </c>
      <c r="E1752" s="8">
        <v>0.2</v>
      </c>
    </row>
    <row r="1753" spans="1:5" x14ac:dyDescent="0.2">
      <c r="A1753">
        <v>10923</v>
      </c>
      <c r="B1753">
        <v>43</v>
      </c>
      <c r="C1753" s="6">
        <v>46</v>
      </c>
      <c r="D1753" s="6">
        <v>10</v>
      </c>
      <c r="E1753" s="8">
        <v>0.2</v>
      </c>
    </row>
    <row r="1754" spans="1:5" x14ac:dyDescent="0.2">
      <c r="A1754">
        <v>10923</v>
      </c>
      <c r="B1754">
        <v>67</v>
      </c>
      <c r="C1754" s="6">
        <v>14</v>
      </c>
      <c r="D1754" s="6">
        <v>24</v>
      </c>
      <c r="E1754" s="8">
        <v>0.2</v>
      </c>
    </row>
    <row r="1755" spans="1:5" x14ac:dyDescent="0.2">
      <c r="A1755">
        <v>10924</v>
      </c>
      <c r="B1755">
        <v>10</v>
      </c>
      <c r="C1755" s="6">
        <v>31</v>
      </c>
      <c r="D1755" s="6">
        <v>20</v>
      </c>
      <c r="E1755" s="8">
        <v>0.1</v>
      </c>
    </row>
    <row r="1756" spans="1:5" x14ac:dyDescent="0.2">
      <c r="A1756">
        <v>10924</v>
      </c>
      <c r="B1756">
        <v>28</v>
      </c>
      <c r="C1756" s="6">
        <v>45.6</v>
      </c>
      <c r="D1756" s="6">
        <v>30</v>
      </c>
      <c r="E1756" s="8">
        <v>0.1</v>
      </c>
    </row>
    <row r="1757" spans="1:5" x14ac:dyDescent="0.2">
      <c r="A1757">
        <v>10924</v>
      </c>
      <c r="B1757">
        <v>75</v>
      </c>
      <c r="C1757" s="6">
        <v>7.75</v>
      </c>
      <c r="D1757" s="6">
        <v>6</v>
      </c>
      <c r="E1757" s="8">
        <v>0</v>
      </c>
    </row>
    <row r="1758" spans="1:5" x14ac:dyDescent="0.2">
      <c r="A1758">
        <v>10925</v>
      </c>
      <c r="B1758">
        <v>36</v>
      </c>
      <c r="C1758" s="6">
        <v>19</v>
      </c>
      <c r="D1758" s="6">
        <v>25</v>
      </c>
      <c r="E1758" s="8">
        <v>0.15</v>
      </c>
    </row>
    <row r="1759" spans="1:5" x14ac:dyDescent="0.2">
      <c r="A1759">
        <v>10925</v>
      </c>
      <c r="B1759">
        <v>52</v>
      </c>
      <c r="C1759" s="6">
        <v>7</v>
      </c>
      <c r="D1759" s="6">
        <v>12</v>
      </c>
      <c r="E1759" s="8">
        <v>0.15</v>
      </c>
    </row>
    <row r="1760" spans="1:5" x14ac:dyDescent="0.2">
      <c r="A1760">
        <v>10926</v>
      </c>
      <c r="B1760">
        <v>11</v>
      </c>
      <c r="C1760" s="6">
        <v>21</v>
      </c>
      <c r="D1760" s="6">
        <v>2</v>
      </c>
      <c r="E1760" s="8">
        <v>0</v>
      </c>
    </row>
    <row r="1761" spans="1:5" x14ac:dyDescent="0.2">
      <c r="A1761">
        <v>10926</v>
      </c>
      <c r="B1761">
        <v>13</v>
      </c>
      <c r="C1761" s="6">
        <v>6</v>
      </c>
      <c r="D1761" s="6">
        <v>10</v>
      </c>
      <c r="E1761" s="8">
        <v>0</v>
      </c>
    </row>
    <row r="1762" spans="1:5" x14ac:dyDescent="0.2">
      <c r="A1762">
        <v>10926</v>
      </c>
      <c r="B1762">
        <v>19</v>
      </c>
      <c r="C1762" s="6">
        <v>9.1999999999999993</v>
      </c>
      <c r="D1762" s="6">
        <v>7</v>
      </c>
      <c r="E1762" s="8">
        <v>0</v>
      </c>
    </row>
    <row r="1763" spans="1:5" x14ac:dyDescent="0.2">
      <c r="A1763">
        <v>10926</v>
      </c>
      <c r="B1763">
        <v>72</v>
      </c>
      <c r="C1763" s="6">
        <v>34.799999999999997</v>
      </c>
      <c r="D1763" s="6">
        <v>10</v>
      </c>
      <c r="E1763" s="8">
        <v>0</v>
      </c>
    </row>
    <row r="1764" spans="1:5" x14ac:dyDescent="0.2">
      <c r="A1764">
        <v>10927</v>
      </c>
      <c r="B1764">
        <v>20</v>
      </c>
      <c r="C1764" s="6">
        <v>81</v>
      </c>
      <c r="D1764" s="6">
        <v>5</v>
      </c>
      <c r="E1764" s="8">
        <v>0</v>
      </c>
    </row>
    <row r="1765" spans="1:5" x14ac:dyDescent="0.2">
      <c r="A1765">
        <v>10927</v>
      </c>
      <c r="B1765">
        <v>52</v>
      </c>
      <c r="C1765" s="6">
        <v>7</v>
      </c>
      <c r="D1765" s="6">
        <v>5</v>
      </c>
      <c r="E1765" s="8">
        <v>0</v>
      </c>
    </row>
    <row r="1766" spans="1:5" x14ac:dyDescent="0.2">
      <c r="A1766">
        <v>10927</v>
      </c>
      <c r="B1766">
        <v>76</v>
      </c>
      <c r="C1766" s="6">
        <v>18</v>
      </c>
      <c r="D1766" s="6">
        <v>20</v>
      </c>
      <c r="E1766" s="8">
        <v>0</v>
      </c>
    </row>
    <row r="1767" spans="1:5" x14ac:dyDescent="0.2">
      <c r="A1767">
        <v>10928</v>
      </c>
      <c r="B1767">
        <v>47</v>
      </c>
      <c r="C1767" s="6">
        <v>9.5</v>
      </c>
      <c r="D1767" s="6">
        <v>5</v>
      </c>
      <c r="E1767" s="8">
        <v>0</v>
      </c>
    </row>
    <row r="1768" spans="1:5" x14ac:dyDescent="0.2">
      <c r="A1768">
        <v>10928</v>
      </c>
      <c r="B1768">
        <v>76</v>
      </c>
      <c r="C1768" s="6">
        <v>18</v>
      </c>
      <c r="D1768" s="6">
        <v>5</v>
      </c>
      <c r="E1768" s="8">
        <v>0</v>
      </c>
    </row>
    <row r="1769" spans="1:5" x14ac:dyDescent="0.2">
      <c r="A1769">
        <v>10929</v>
      </c>
      <c r="B1769">
        <v>21</v>
      </c>
      <c r="C1769" s="6">
        <v>10</v>
      </c>
      <c r="D1769" s="6">
        <v>60</v>
      </c>
      <c r="E1769" s="8">
        <v>0</v>
      </c>
    </row>
    <row r="1770" spans="1:5" x14ac:dyDescent="0.2">
      <c r="A1770">
        <v>10929</v>
      </c>
      <c r="B1770">
        <v>75</v>
      </c>
      <c r="C1770" s="6">
        <v>7.75</v>
      </c>
      <c r="D1770" s="6">
        <v>49</v>
      </c>
      <c r="E1770" s="8">
        <v>0</v>
      </c>
    </row>
    <row r="1771" spans="1:5" x14ac:dyDescent="0.2">
      <c r="A1771">
        <v>10929</v>
      </c>
      <c r="B1771">
        <v>77</v>
      </c>
      <c r="C1771" s="6">
        <v>13</v>
      </c>
      <c r="D1771" s="6">
        <v>15</v>
      </c>
      <c r="E1771" s="8">
        <v>0</v>
      </c>
    </row>
    <row r="1772" spans="1:5" x14ac:dyDescent="0.2">
      <c r="A1772">
        <v>10930</v>
      </c>
      <c r="B1772">
        <v>21</v>
      </c>
      <c r="C1772" s="6">
        <v>10</v>
      </c>
      <c r="D1772" s="6">
        <v>36</v>
      </c>
      <c r="E1772" s="8">
        <v>0</v>
      </c>
    </row>
    <row r="1773" spans="1:5" x14ac:dyDescent="0.2">
      <c r="A1773">
        <v>10930</v>
      </c>
      <c r="B1773">
        <v>27</v>
      </c>
      <c r="C1773" s="6">
        <v>43.9</v>
      </c>
      <c r="D1773" s="6">
        <v>25</v>
      </c>
      <c r="E1773" s="8">
        <v>0</v>
      </c>
    </row>
    <row r="1774" spans="1:5" x14ac:dyDescent="0.2">
      <c r="A1774">
        <v>10930</v>
      </c>
      <c r="B1774">
        <v>55</v>
      </c>
      <c r="C1774" s="6">
        <v>24</v>
      </c>
      <c r="D1774" s="6">
        <v>25</v>
      </c>
      <c r="E1774" s="8">
        <v>0.2</v>
      </c>
    </row>
    <row r="1775" spans="1:5" x14ac:dyDescent="0.2">
      <c r="A1775">
        <v>10930</v>
      </c>
      <c r="B1775">
        <v>58</v>
      </c>
      <c r="C1775" s="6">
        <v>13.25</v>
      </c>
      <c r="D1775" s="6">
        <v>30</v>
      </c>
      <c r="E1775" s="8">
        <v>0.2</v>
      </c>
    </row>
    <row r="1776" spans="1:5" x14ac:dyDescent="0.2">
      <c r="A1776">
        <v>10931</v>
      </c>
      <c r="B1776">
        <v>13</v>
      </c>
      <c r="C1776" s="6">
        <v>6</v>
      </c>
      <c r="D1776" s="6">
        <v>42</v>
      </c>
      <c r="E1776" s="8">
        <v>0.15</v>
      </c>
    </row>
    <row r="1777" spans="1:5" x14ac:dyDescent="0.2">
      <c r="A1777">
        <v>10931</v>
      </c>
      <c r="B1777">
        <v>57</v>
      </c>
      <c r="C1777" s="6">
        <v>19.5</v>
      </c>
      <c r="D1777" s="6">
        <v>30</v>
      </c>
      <c r="E1777" s="8">
        <v>0</v>
      </c>
    </row>
    <row r="1778" spans="1:5" x14ac:dyDescent="0.2">
      <c r="A1778">
        <v>10932</v>
      </c>
      <c r="B1778">
        <v>16</v>
      </c>
      <c r="C1778" s="6">
        <v>17.45</v>
      </c>
      <c r="D1778" s="6">
        <v>30</v>
      </c>
      <c r="E1778" s="8">
        <v>0.1</v>
      </c>
    </row>
    <row r="1779" spans="1:5" x14ac:dyDescent="0.2">
      <c r="A1779">
        <v>10932</v>
      </c>
      <c r="B1779">
        <v>62</v>
      </c>
      <c r="C1779" s="6">
        <v>49.3</v>
      </c>
      <c r="D1779" s="6">
        <v>14</v>
      </c>
      <c r="E1779" s="8">
        <v>0.1</v>
      </c>
    </row>
    <row r="1780" spans="1:5" x14ac:dyDescent="0.2">
      <c r="A1780">
        <v>10932</v>
      </c>
      <c r="B1780">
        <v>72</v>
      </c>
      <c r="C1780" s="6">
        <v>34.799999999999997</v>
      </c>
      <c r="D1780" s="6">
        <v>16</v>
      </c>
      <c r="E1780" s="8">
        <v>0</v>
      </c>
    </row>
    <row r="1781" spans="1:5" x14ac:dyDescent="0.2">
      <c r="A1781">
        <v>10932</v>
      </c>
      <c r="B1781">
        <v>75</v>
      </c>
      <c r="C1781" s="6">
        <v>7.75</v>
      </c>
      <c r="D1781" s="6">
        <v>20</v>
      </c>
      <c r="E1781" s="8">
        <v>0.1</v>
      </c>
    </row>
    <row r="1782" spans="1:5" x14ac:dyDescent="0.2">
      <c r="A1782">
        <v>10933</v>
      </c>
      <c r="B1782">
        <v>53</v>
      </c>
      <c r="C1782" s="6">
        <v>32.799999999999997</v>
      </c>
      <c r="D1782" s="6">
        <v>2</v>
      </c>
      <c r="E1782" s="8">
        <v>0</v>
      </c>
    </row>
    <row r="1783" spans="1:5" x14ac:dyDescent="0.2">
      <c r="A1783">
        <v>10933</v>
      </c>
      <c r="B1783">
        <v>61</v>
      </c>
      <c r="C1783" s="6">
        <v>28.5</v>
      </c>
      <c r="D1783" s="6">
        <v>30</v>
      </c>
      <c r="E1783" s="8">
        <v>0</v>
      </c>
    </row>
    <row r="1784" spans="1:5" x14ac:dyDescent="0.2">
      <c r="A1784">
        <v>10934</v>
      </c>
      <c r="B1784">
        <v>6</v>
      </c>
      <c r="C1784" s="6">
        <v>25</v>
      </c>
      <c r="D1784" s="6">
        <v>20</v>
      </c>
      <c r="E1784" s="8">
        <v>0</v>
      </c>
    </row>
    <row r="1785" spans="1:5" x14ac:dyDescent="0.2">
      <c r="A1785">
        <v>10935</v>
      </c>
      <c r="B1785">
        <v>1</v>
      </c>
      <c r="C1785" s="6">
        <v>18</v>
      </c>
      <c r="D1785" s="6">
        <v>21</v>
      </c>
      <c r="E1785" s="8">
        <v>0</v>
      </c>
    </row>
    <row r="1786" spans="1:5" x14ac:dyDescent="0.2">
      <c r="A1786">
        <v>10935</v>
      </c>
      <c r="B1786">
        <v>18</v>
      </c>
      <c r="C1786" s="6">
        <v>62.5</v>
      </c>
      <c r="D1786" s="6">
        <v>4</v>
      </c>
      <c r="E1786" s="8">
        <v>0.25</v>
      </c>
    </row>
    <row r="1787" spans="1:5" x14ac:dyDescent="0.2">
      <c r="A1787">
        <v>10935</v>
      </c>
      <c r="B1787">
        <v>23</v>
      </c>
      <c r="C1787" s="6">
        <v>9</v>
      </c>
      <c r="D1787" s="6">
        <v>8</v>
      </c>
      <c r="E1787" s="8">
        <v>0.25</v>
      </c>
    </row>
    <row r="1788" spans="1:5" x14ac:dyDescent="0.2">
      <c r="A1788">
        <v>10936</v>
      </c>
      <c r="B1788">
        <v>36</v>
      </c>
      <c r="C1788" s="6">
        <v>19</v>
      </c>
      <c r="D1788" s="6">
        <v>30</v>
      </c>
      <c r="E1788" s="8">
        <v>0.2</v>
      </c>
    </row>
    <row r="1789" spans="1:5" x14ac:dyDescent="0.2">
      <c r="A1789">
        <v>10937</v>
      </c>
      <c r="B1789">
        <v>28</v>
      </c>
      <c r="C1789" s="6">
        <v>45.6</v>
      </c>
      <c r="D1789" s="6">
        <v>8</v>
      </c>
      <c r="E1789" s="8">
        <v>0</v>
      </c>
    </row>
    <row r="1790" spans="1:5" x14ac:dyDescent="0.2">
      <c r="A1790">
        <v>10937</v>
      </c>
      <c r="B1790">
        <v>34</v>
      </c>
      <c r="C1790" s="6">
        <v>14</v>
      </c>
      <c r="D1790" s="6">
        <v>20</v>
      </c>
      <c r="E1790" s="8">
        <v>0</v>
      </c>
    </row>
    <row r="1791" spans="1:5" x14ac:dyDescent="0.2">
      <c r="A1791">
        <v>10938</v>
      </c>
      <c r="B1791">
        <v>13</v>
      </c>
      <c r="C1791" s="6">
        <v>6</v>
      </c>
      <c r="D1791" s="6">
        <v>20</v>
      </c>
      <c r="E1791" s="8">
        <v>0.25</v>
      </c>
    </row>
    <row r="1792" spans="1:5" x14ac:dyDescent="0.2">
      <c r="A1792">
        <v>10938</v>
      </c>
      <c r="B1792">
        <v>43</v>
      </c>
      <c r="C1792" s="6">
        <v>46</v>
      </c>
      <c r="D1792" s="6">
        <v>24</v>
      </c>
      <c r="E1792" s="8">
        <v>0.25</v>
      </c>
    </row>
    <row r="1793" spans="1:5" x14ac:dyDescent="0.2">
      <c r="A1793">
        <v>10938</v>
      </c>
      <c r="B1793">
        <v>60</v>
      </c>
      <c r="C1793" s="6">
        <v>34</v>
      </c>
      <c r="D1793" s="6">
        <v>49</v>
      </c>
      <c r="E1793" s="8">
        <v>0.25</v>
      </c>
    </row>
    <row r="1794" spans="1:5" x14ac:dyDescent="0.2">
      <c r="A1794">
        <v>10938</v>
      </c>
      <c r="B1794">
        <v>71</v>
      </c>
      <c r="C1794" s="6">
        <v>21.5</v>
      </c>
      <c r="D1794" s="6">
        <v>35</v>
      </c>
      <c r="E1794" s="8">
        <v>0.25</v>
      </c>
    </row>
    <row r="1795" spans="1:5" x14ac:dyDescent="0.2">
      <c r="A1795">
        <v>10939</v>
      </c>
      <c r="B1795">
        <v>2</v>
      </c>
      <c r="C1795" s="6">
        <v>19</v>
      </c>
      <c r="D1795" s="6">
        <v>10</v>
      </c>
      <c r="E1795" s="8">
        <v>0.15</v>
      </c>
    </row>
    <row r="1796" spans="1:5" x14ac:dyDescent="0.2">
      <c r="A1796">
        <v>10939</v>
      </c>
      <c r="B1796">
        <v>67</v>
      </c>
      <c r="C1796" s="6">
        <v>14</v>
      </c>
      <c r="D1796" s="6">
        <v>40</v>
      </c>
      <c r="E1796" s="8">
        <v>0.15</v>
      </c>
    </row>
    <row r="1797" spans="1:5" x14ac:dyDescent="0.2">
      <c r="A1797">
        <v>10940</v>
      </c>
      <c r="B1797">
        <v>7</v>
      </c>
      <c r="C1797" s="6">
        <v>30</v>
      </c>
      <c r="D1797" s="6">
        <v>8</v>
      </c>
      <c r="E1797" s="8">
        <v>0</v>
      </c>
    </row>
    <row r="1798" spans="1:5" x14ac:dyDescent="0.2">
      <c r="A1798">
        <v>10940</v>
      </c>
      <c r="B1798">
        <v>13</v>
      </c>
      <c r="C1798" s="6">
        <v>6</v>
      </c>
      <c r="D1798" s="6">
        <v>20</v>
      </c>
      <c r="E1798" s="8">
        <v>0</v>
      </c>
    </row>
    <row r="1799" spans="1:5" x14ac:dyDescent="0.2">
      <c r="A1799">
        <v>10941</v>
      </c>
      <c r="B1799">
        <v>31</v>
      </c>
      <c r="C1799" s="6">
        <v>12.5</v>
      </c>
      <c r="D1799" s="6">
        <v>44</v>
      </c>
      <c r="E1799" s="8">
        <v>0.25</v>
      </c>
    </row>
    <row r="1800" spans="1:5" x14ac:dyDescent="0.2">
      <c r="A1800">
        <v>10941</v>
      </c>
      <c r="B1800">
        <v>62</v>
      </c>
      <c r="C1800" s="6">
        <v>49.3</v>
      </c>
      <c r="D1800" s="6">
        <v>30</v>
      </c>
      <c r="E1800" s="8">
        <v>0.25</v>
      </c>
    </row>
    <row r="1801" spans="1:5" x14ac:dyDescent="0.2">
      <c r="A1801">
        <v>10941</v>
      </c>
      <c r="B1801">
        <v>68</v>
      </c>
      <c r="C1801" s="6">
        <v>12.5</v>
      </c>
      <c r="D1801" s="6">
        <v>80</v>
      </c>
      <c r="E1801" s="8">
        <v>0.25</v>
      </c>
    </row>
    <row r="1802" spans="1:5" x14ac:dyDescent="0.2">
      <c r="A1802">
        <v>10941</v>
      </c>
      <c r="B1802">
        <v>72</v>
      </c>
      <c r="C1802" s="6">
        <v>34.799999999999997</v>
      </c>
      <c r="D1802" s="6">
        <v>50</v>
      </c>
      <c r="E1802" s="8">
        <v>0</v>
      </c>
    </row>
    <row r="1803" spans="1:5" x14ac:dyDescent="0.2">
      <c r="A1803">
        <v>10942</v>
      </c>
      <c r="B1803">
        <v>49</v>
      </c>
      <c r="C1803" s="6">
        <v>20</v>
      </c>
      <c r="D1803" s="6">
        <v>28</v>
      </c>
      <c r="E1803" s="8">
        <v>0</v>
      </c>
    </row>
    <row r="1804" spans="1:5" x14ac:dyDescent="0.2">
      <c r="A1804">
        <v>10943</v>
      </c>
      <c r="B1804">
        <v>13</v>
      </c>
      <c r="C1804" s="6">
        <v>6</v>
      </c>
      <c r="D1804" s="6">
        <v>15</v>
      </c>
      <c r="E1804" s="8">
        <v>0</v>
      </c>
    </row>
    <row r="1805" spans="1:5" x14ac:dyDescent="0.2">
      <c r="A1805">
        <v>10943</v>
      </c>
      <c r="B1805">
        <v>22</v>
      </c>
      <c r="C1805" s="6">
        <v>21</v>
      </c>
      <c r="D1805" s="6">
        <v>21</v>
      </c>
      <c r="E1805" s="8">
        <v>0</v>
      </c>
    </row>
    <row r="1806" spans="1:5" x14ac:dyDescent="0.2">
      <c r="A1806">
        <v>10943</v>
      </c>
      <c r="B1806">
        <v>46</v>
      </c>
      <c r="C1806" s="6">
        <v>12</v>
      </c>
      <c r="D1806" s="6">
        <v>15</v>
      </c>
      <c r="E1806" s="8">
        <v>0</v>
      </c>
    </row>
    <row r="1807" spans="1:5" x14ac:dyDescent="0.2">
      <c r="A1807">
        <v>10944</v>
      </c>
      <c r="B1807">
        <v>11</v>
      </c>
      <c r="C1807" s="6">
        <v>21</v>
      </c>
      <c r="D1807" s="6">
        <v>5</v>
      </c>
      <c r="E1807" s="8">
        <v>0.25</v>
      </c>
    </row>
    <row r="1808" spans="1:5" x14ac:dyDescent="0.2">
      <c r="A1808">
        <v>10944</v>
      </c>
      <c r="B1808">
        <v>44</v>
      </c>
      <c r="C1808" s="6">
        <v>19.45</v>
      </c>
      <c r="D1808" s="6">
        <v>18</v>
      </c>
      <c r="E1808" s="8">
        <v>0.25</v>
      </c>
    </row>
    <row r="1809" spans="1:5" x14ac:dyDescent="0.2">
      <c r="A1809">
        <v>10944</v>
      </c>
      <c r="B1809">
        <v>56</v>
      </c>
      <c r="C1809" s="6">
        <v>38</v>
      </c>
      <c r="D1809" s="6">
        <v>18</v>
      </c>
      <c r="E1809" s="8">
        <v>0</v>
      </c>
    </row>
    <row r="1810" spans="1:5" x14ac:dyDescent="0.2">
      <c r="A1810">
        <v>10945</v>
      </c>
      <c r="B1810">
        <v>13</v>
      </c>
      <c r="C1810" s="6">
        <v>6</v>
      </c>
      <c r="D1810" s="6">
        <v>20</v>
      </c>
      <c r="E1810" s="8">
        <v>0</v>
      </c>
    </row>
    <row r="1811" spans="1:5" x14ac:dyDescent="0.2">
      <c r="A1811">
        <v>10945</v>
      </c>
      <c r="B1811">
        <v>31</v>
      </c>
      <c r="C1811" s="6">
        <v>12.5</v>
      </c>
      <c r="D1811" s="6">
        <v>10</v>
      </c>
      <c r="E1811" s="8">
        <v>0</v>
      </c>
    </row>
    <row r="1812" spans="1:5" x14ac:dyDescent="0.2">
      <c r="A1812">
        <v>10946</v>
      </c>
      <c r="B1812">
        <v>10</v>
      </c>
      <c r="C1812" s="6">
        <v>31</v>
      </c>
      <c r="D1812" s="6">
        <v>25</v>
      </c>
      <c r="E1812" s="8">
        <v>0</v>
      </c>
    </row>
    <row r="1813" spans="1:5" x14ac:dyDescent="0.2">
      <c r="A1813">
        <v>10946</v>
      </c>
      <c r="B1813">
        <v>24</v>
      </c>
      <c r="C1813" s="6">
        <v>4.5</v>
      </c>
      <c r="D1813" s="6">
        <v>25</v>
      </c>
      <c r="E1813" s="8">
        <v>0</v>
      </c>
    </row>
    <row r="1814" spans="1:5" x14ac:dyDescent="0.2">
      <c r="A1814">
        <v>10946</v>
      </c>
      <c r="B1814">
        <v>77</v>
      </c>
      <c r="C1814" s="6">
        <v>13</v>
      </c>
      <c r="D1814" s="6">
        <v>40</v>
      </c>
      <c r="E1814" s="8">
        <v>0</v>
      </c>
    </row>
    <row r="1815" spans="1:5" x14ac:dyDescent="0.2">
      <c r="A1815">
        <v>10947</v>
      </c>
      <c r="B1815">
        <v>59</v>
      </c>
      <c r="C1815" s="6">
        <v>55</v>
      </c>
      <c r="D1815" s="6">
        <v>4</v>
      </c>
      <c r="E1815" s="8">
        <v>0</v>
      </c>
    </row>
    <row r="1816" spans="1:5" x14ac:dyDescent="0.2">
      <c r="A1816">
        <v>10948</v>
      </c>
      <c r="B1816">
        <v>50</v>
      </c>
      <c r="C1816" s="6">
        <v>16.25</v>
      </c>
      <c r="D1816" s="6">
        <v>9</v>
      </c>
      <c r="E1816" s="8">
        <v>0</v>
      </c>
    </row>
    <row r="1817" spans="1:5" x14ac:dyDescent="0.2">
      <c r="A1817">
        <v>10948</v>
      </c>
      <c r="B1817">
        <v>51</v>
      </c>
      <c r="C1817" s="6">
        <v>53</v>
      </c>
      <c r="D1817" s="6">
        <v>40</v>
      </c>
      <c r="E1817" s="8">
        <v>0</v>
      </c>
    </row>
    <row r="1818" spans="1:5" x14ac:dyDescent="0.2">
      <c r="A1818">
        <v>10948</v>
      </c>
      <c r="B1818">
        <v>55</v>
      </c>
      <c r="C1818" s="6">
        <v>24</v>
      </c>
      <c r="D1818" s="6">
        <v>4</v>
      </c>
      <c r="E1818" s="8">
        <v>0</v>
      </c>
    </row>
    <row r="1819" spans="1:5" x14ac:dyDescent="0.2">
      <c r="A1819">
        <v>10949</v>
      </c>
      <c r="B1819">
        <v>6</v>
      </c>
      <c r="C1819" s="6">
        <v>25</v>
      </c>
      <c r="D1819" s="6">
        <v>12</v>
      </c>
      <c r="E1819" s="8">
        <v>0</v>
      </c>
    </row>
    <row r="1820" spans="1:5" x14ac:dyDescent="0.2">
      <c r="A1820">
        <v>10949</v>
      </c>
      <c r="B1820">
        <v>10</v>
      </c>
      <c r="C1820" s="6">
        <v>31</v>
      </c>
      <c r="D1820" s="6">
        <v>30</v>
      </c>
      <c r="E1820" s="8">
        <v>0</v>
      </c>
    </row>
    <row r="1821" spans="1:5" x14ac:dyDescent="0.2">
      <c r="A1821">
        <v>10949</v>
      </c>
      <c r="B1821">
        <v>17</v>
      </c>
      <c r="C1821" s="6">
        <v>39</v>
      </c>
      <c r="D1821" s="6">
        <v>6</v>
      </c>
      <c r="E1821" s="8">
        <v>0</v>
      </c>
    </row>
    <row r="1822" spans="1:5" x14ac:dyDescent="0.2">
      <c r="A1822">
        <v>10949</v>
      </c>
      <c r="B1822">
        <v>62</v>
      </c>
      <c r="C1822" s="6">
        <v>49.3</v>
      </c>
      <c r="D1822" s="6">
        <v>60</v>
      </c>
      <c r="E1822" s="8">
        <v>0</v>
      </c>
    </row>
    <row r="1823" spans="1:5" x14ac:dyDescent="0.2">
      <c r="A1823">
        <v>10950</v>
      </c>
      <c r="B1823">
        <v>4</v>
      </c>
      <c r="C1823" s="6">
        <v>22</v>
      </c>
      <c r="D1823" s="6">
        <v>5</v>
      </c>
      <c r="E1823" s="8">
        <v>0</v>
      </c>
    </row>
    <row r="1824" spans="1:5" x14ac:dyDescent="0.2">
      <c r="A1824">
        <v>10951</v>
      </c>
      <c r="B1824">
        <v>33</v>
      </c>
      <c r="C1824" s="6">
        <v>2.5</v>
      </c>
      <c r="D1824" s="6">
        <v>15</v>
      </c>
      <c r="E1824" s="8">
        <v>0.05</v>
      </c>
    </row>
    <row r="1825" spans="1:5" x14ac:dyDescent="0.2">
      <c r="A1825">
        <v>10951</v>
      </c>
      <c r="B1825">
        <v>41</v>
      </c>
      <c r="C1825" s="6">
        <v>9.65</v>
      </c>
      <c r="D1825" s="6">
        <v>6</v>
      </c>
      <c r="E1825" s="8">
        <v>0.05</v>
      </c>
    </row>
    <row r="1826" spans="1:5" x14ac:dyDescent="0.2">
      <c r="A1826">
        <v>10951</v>
      </c>
      <c r="B1826">
        <v>75</v>
      </c>
      <c r="C1826" s="6">
        <v>7.75</v>
      </c>
      <c r="D1826" s="6">
        <v>50</v>
      </c>
      <c r="E1826" s="8">
        <v>0.05</v>
      </c>
    </row>
    <row r="1827" spans="1:5" x14ac:dyDescent="0.2">
      <c r="A1827">
        <v>10952</v>
      </c>
      <c r="B1827">
        <v>6</v>
      </c>
      <c r="C1827" s="6">
        <v>25</v>
      </c>
      <c r="D1827" s="6">
        <v>16</v>
      </c>
      <c r="E1827" s="8">
        <v>0.05</v>
      </c>
    </row>
    <row r="1828" spans="1:5" x14ac:dyDescent="0.2">
      <c r="A1828">
        <v>10952</v>
      </c>
      <c r="B1828">
        <v>28</v>
      </c>
      <c r="C1828" s="6">
        <v>45.6</v>
      </c>
      <c r="D1828" s="6">
        <v>2</v>
      </c>
      <c r="E1828" s="8">
        <v>0</v>
      </c>
    </row>
    <row r="1829" spans="1:5" x14ac:dyDescent="0.2">
      <c r="A1829">
        <v>10953</v>
      </c>
      <c r="B1829">
        <v>20</v>
      </c>
      <c r="C1829" s="6">
        <v>81</v>
      </c>
      <c r="D1829" s="6">
        <v>50</v>
      </c>
      <c r="E1829" s="8">
        <v>0.05</v>
      </c>
    </row>
    <row r="1830" spans="1:5" x14ac:dyDescent="0.2">
      <c r="A1830">
        <v>10953</v>
      </c>
      <c r="B1830">
        <v>31</v>
      </c>
      <c r="C1830" s="6">
        <v>12.5</v>
      </c>
      <c r="D1830" s="6">
        <v>50</v>
      </c>
      <c r="E1830" s="8">
        <v>0.05</v>
      </c>
    </row>
    <row r="1831" spans="1:5" x14ac:dyDescent="0.2">
      <c r="A1831">
        <v>10954</v>
      </c>
      <c r="B1831">
        <v>16</v>
      </c>
      <c r="C1831" s="6">
        <v>17.45</v>
      </c>
      <c r="D1831" s="6">
        <v>28</v>
      </c>
      <c r="E1831" s="8">
        <v>0.15</v>
      </c>
    </row>
    <row r="1832" spans="1:5" x14ac:dyDescent="0.2">
      <c r="A1832">
        <v>10954</v>
      </c>
      <c r="B1832">
        <v>31</v>
      </c>
      <c r="C1832" s="6">
        <v>12.5</v>
      </c>
      <c r="D1832" s="6">
        <v>25</v>
      </c>
      <c r="E1832" s="8">
        <v>0.15</v>
      </c>
    </row>
    <row r="1833" spans="1:5" x14ac:dyDescent="0.2">
      <c r="A1833">
        <v>10954</v>
      </c>
      <c r="B1833">
        <v>45</v>
      </c>
      <c r="C1833" s="6">
        <v>9.5</v>
      </c>
      <c r="D1833" s="6">
        <v>30</v>
      </c>
      <c r="E1833" s="8">
        <v>0</v>
      </c>
    </row>
    <row r="1834" spans="1:5" x14ac:dyDescent="0.2">
      <c r="A1834">
        <v>10954</v>
      </c>
      <c r="B1834">
        <v>60</v>
      </c>
      <c r="C1834" s="6">
        <v>34</v>
      </c>
      <c r="D1834" s="6">
        <v>24</v>
      </c>
      <c r="E1834" s="8">
        <v>0.15</v>
      </c>
    </row>
    <row r="1835" spans="1:5" x14ac:dyDescent="0.2">
      <c r="A1835">
        <v>10955</v>
      </c>
      <c r="B1835">
        <v>75</v>
      </c>
      <c r="C1835" s="6">
        <v>7.75</v>
      </c>
      <c r="D1835" s="6">
        <v>12</v>
      </c>
      <c r="E1835" s="8">
        <v>0.2</v>
      </c>
    </row>
    <row r="1836" spans="1:5" x14ac:dyDescent="0.2">
      <c r="A1836">
        <v>10956</v>
      </c>
      <c r="B1836">
        <v>21</v>
      </c>
      <c r="C1836" s="6">
        <v>10</v>
      </c>
      <c r="D1836" s="6">
        <v>12</v>
      </c>
      <c r="E1836" s="8">
        <v>0</v>
      </c>
    </row>
    <row r="1837" spans="1:5" x14ac:dyDescent="0.2">
      <c r="A1837">
        <v>10956</v>
      </c>
      <c r="B1837">
        <v>47</v>
      </c>
      <c r="C1837" s="6">
        <v>9.5</v>
      </c>
      <c r="D1837" s="6">
        <v>14</v>
      </c>
      <c r="E1837" s="8">
        <v>0</v>
      </c>
    </row>
    <row r="1838" spans="1:5" x14ac:dyDescent="0.2">
      <c r="A1838">
        <v>10956</v>
      </c>
      <c r="B1838">
        <v>51</v>
      </c>
      <c r="C1838" s="6">
        <v>53</v>
      </c>
      <c r="D1838" s="6">
        <v>8</v>
      </c>
      <c r="E1838" s="8">
        <v>0</v>
      </c>
    </row>
    <row r="1839" spans="1:5" x14ac:dyDescent="0.2">
      <c r="A1839">
        <v>10957</v>
      </c>
      <c r="B1839">
        <v>30</v>
      </c>
      <c r="C1839" s="6">
        <v>25.89</v>
      </c>
      <c r="D1839" s="6">
        <v>30</v>
      </c>
      <c r="E1839" s="8">
        <v>0</v>
      </c>
    </row>
    <row r="1840" spans="1:5" x14ac:dyDescent="0.2">
      <c r="A1840">
        <v>10957</v>
      </c>
      <c r="B1840">
        <v>35</v>
      </c>
      <c r="C1840" s="6">
        <v>18</v>
      </c>
      <c r="D1840" s="6">
        <v>40</v>
      </c>
      <c r="E1840" s="8">
        <v>0</v>
      </c>
    </row>
    <row r="1841" spans="1:5" x14ac:dyDescent="0.2">
      <c r="A1841">
        <v>10957</v>
      </c>
      <c r="B1841">
        <v>64</v>
      </c>
      <c r="C1841" s="6">
        <v>33.25</v>
      </c>
      <c r="D1841" s="6">
        <v>8</v>
      </c>
      <c r="E1841" s="8">
        <v>0</v>
      </c>
    </row>
    <row r="1842" spans="1:5" x14ac:dyDescent="0.2">
      <c r="A1842">
        <v>10958</v>
      </c>
      <c r="B1842">
        <v>5</v>
      </c>
      <c r="C1842" s="6">
        <v>21.35</v>
      </c>
      <c r="D1842" s="6">
        <v>20</v>
      </c>
      <c r="E1842" s="8">
        <v>0</v>
      </c>
    </row>
    <row r="1843" spans="1:5" x14ac:dyDescent="0.2">
      <c r="A1843">
        <v>10958</v>
      </c>
      <c r="B1843">
        <v>7</v>
      </c>
      <c r="C1843" s="6">
        <v>30</v>
      </c>
      <c r="D1843" s="6">
        <v>6</v>
      </c>
      <c r="E1843" s="8">
        <v>0</v>
      </c>
    </row>
    <row r="1844" spans="1:5" x14ac:dyDescent="0.2">
      <c r="A1844">
        <v>10958</v>
      </c>
      <c r="B1844">
        <v>72</v>
      </c>
      <c r="C1844" s="6">
        <v>34.799999999999997</v>
      </c>
      <c r="D1844" s="6">
        <v>5</v>
      </c>
      <c r="E1844" s="8">
        <v>0</v>
      </c>
    </row>
    <row r="1845" spans="1:5" x14ac:dyDescent="0.2">
      <c r="A1845">
        <v>10959</v>
      </c>
      <c r="B1845">
        <v>75</v>
      </c>
      <c r="C1845" s="6">
        <v>7.75</v>
      </c>
      <c r="D1845" s="6">
        <v>20</v>
      </c>
      <c r="E1845" s="8">
        <v>0.15</v>
      </c>
    </row>
    <row r="1846" spans="1:5" x14ac:dyDescent="0.2">
      <c r="A1846">
        <v>10960</v>
      </c>
      <c r="B1846">
        <v>24</v>
      </c>
      <c r="C1846" s="6">
        <v>4.5</v>
      </c>
      <c r="D1846" s="6">
        <v>10</v>
      </c>
      <c r="E1846" s="8">
        <v>0.25</v>
      </c>
    </row>
    <row r="1847" spans="1:5" x14ac:dyDescent="0.2">
      <c r="A1847">
        <v>10960</v>
      </c>
      <c r="B1847">
        <v>41</v>
      </c>
      <c r="C1847" s="6">
        <v>9.65</v>
      </c>
      <c r="D1847" s="6">
        <v>24</v>
      </c>
      <c r="E1847" s="8">
        <v>0</v>
      </c>
    </row>
    <row r="1848" spans="1:5" x14ac:dyDescent="0.2">
      <c r="A1848">
        <v>10961</v>
      </c>
      <c r="B1848">
        <v>52</v>
      </c>
      <c r="C1848" s="6">
        <v>7</v>
      </c>
      <c r="D1848" s="6">
        <v>6</v>
      </c>
      <c r="E1848" s="8">
        <v>0.05</v>
      </c>
    </row>
    <row r="1849" spans="1:5" x14ac:dyDescent="0.2">
      <c r="A1849">
        <v>10961</v>
      </c>
      <c r="B1849">
        <v>76</v>
      </c>
      <c r="C1849" s="6">
        <v>18</v>
      </c>
      <c r="D1849" s="6">
        <v>60</v>
      </c>
      <c r="E1849" s="8">
        <v>0</v>
      </c>
    </row>
    <row r="1850" spans="1:5" x14ac:dyDescent="0.2">
      <c r="A1850">
        <v>10962</v>
      </c>
      <c r="B1850">
        <v>7</v>
      </c>
      <c r="C1850" s="6">
        <v>30</v>
      </c>
      <c r="D1850" s="6">
        <v>45</v>
      </c>
      <c r="E1850" s="8">
        <v>0</v>
      </c>
    </row>
    <row r="1851" spans="1:5" x14ac:dyDescent="0.2">
      <c r="A1851">
        <v>10962</v>
      </c>
      <c r="B1851">
        <v>13</v>
      </c>
      <c r="C1851" s="6">
        <v>6</v>
      </c>
      <c r="D1851" s="6">
        <v>77</v>
      </c>
      <c r="E1851" s="8">
        <v>0</v>
      </c>
    </row>
    <row r="1852" spans="1:5" x14ac:dyDescent="0.2">
      <c r="A1852">
        <v>10962</v>
      </c>
      <c r="B1852">
        <v>53</v>
      </c>
      <c r="C1852" s="6">
        <v>32.799999999999997</v>
      </c>
      <c r="D1852" s="6">
        <v>20</v>
      </c>
      <c r="E1852" s="8">
        <v>0</v>
      </c>
    </row>
    <row r="1853" spans="1:5" x14ac:dyDescent="0.2">
      <c r="A1853">
        <v>10962</v>
      </c>
      <c r="B1853">
        <v>69</v>
      </c>
      <c r="C1853" s="6">
        <v>36</v>
      </c>
      <c r="D1853" s="6">
        <v>9</v>
      </c>
      <c r="E1853" s="8">
        <v>0</v>
      </c>
    </row>
    <row r="1854" spans="1:5" x14ac:dyDescent="0.2">
      <c r="A1854">
        <v>10962</v>
      </c>
      <c r="B1854">
        <v>76</v>
      </c>
      <c r="C1854" s="6">
        <v>18</v>
      </c>
      <c r="D1854" s="6">
        <v>44</v>
      </c>
      <c r="E1854" s="8">
        <v>0</v>
      </c>
    </row>
    <row r="1855" spans="1:5" x14ac:dyDescent="0.2">
      <c r="A1855">
        <v>10963</v>
      </c>
      <c r="B1855">
        <v>60</v>
      </c>
      <c r="C1855" s="6">
        <v>34</v>
      </c>
      <c r="D1855" s="6">
        <v>2</v>
      </c>
      <c r="E1855" s="8">
        <v>0.15</v>
      </c>
    </row>
    <row r="1856" spans="1:5" x14ac:dyDescent="0.2">
      <c r="A1856">
        <v>10964</v>
      </c>
      <c r="B1856">
        <v>18</v>
      </c>
      <c r="C1856" s="6">
        <v>62.5</v>
      </c>
      <c r="D1856" s="6">
        <v>6</v>
      </c>
      <c r="E1856" s="8">
        <v>0</v>
      </c>
    </row>
    <row r="1857" spans="1:5" x14ac:dyDescent="0.2">
      <c r="A1857">
        <v>10964</v>
      </c>
      <c r="B1857">
        <v>38</v>
      </c>
      <c r="C1857" s="6">
        <v>263.5</v>
      </c>
      <c r="D1857" s="6">
        <v>5</v>
      </c>
      <c r="E1857" s="8">
        <v>0</v>
      </c>
    </row>
    <row r="1858" spans="1:5" x14ac:dyDescent="0.2">
      <c r="A1858">
        <v>10964</v>
      </c>
      <c r="B1858">
        <v>69</v>
      </c>
      <c r="C1858" s="6">
        <v>36</v>
      </c>
      <c r="D1858" s="6">
        <v>10</v>
      </c>
      <c r="E1858" s="8">
        <v>0</v>
      </c>
    </row>
    <row r="1859" spans="1:5" x14ac:dyDescent="0.2">
      <c r="A1859">
        <v>10965</v>
      </c>
      <c r="B1859">
        <v>51</v>
      </c>
      <c r="C1859" s="6">
        <v>53</v>
      </c>
      <c r="D1859" s="6">
        <v>16</v>
      </c>
      <c r="E1859" s="8">
        <v>0</v>
      </c>
    </row>
    <row r="1860" spans="1:5" x14ac:dyDescent="0.2">
      <c r="A1860">
        <v>10966</v>
      </c>
      <c r="B1860">
        <v>37</v>
      </c>
      <c r="C1860" s="6">
        <v>26</v>
      </c>
      <c r="D1860" s="6">
        <v>8</v>
      </c>
      <c r="E1860" s="8">
        <v>0</v>
      </c>
    </row>
    <row r="1861" spans="1:5" x14ac:dyDescent="0.2">
      <c r="A1861">
        <v>10966</v>
      </c>
      <c r="B1861">
        <v>56</v>
      </c>
      <c r="C1861" s="6">
        <v>38</v>
      </c>
      <c r="D1861" s="6">
        <v>12</v>
      </c>
      <c r="E1861" s="8">
        <v>0.15</v>
      </c>
    </row>
    <row r="1862" spans="1:5" x14ac:dyDescent="0.2">
      <c r="A1862">
        <v>10966</v>
      </c>
      <c r="B1862">
        <v>62</v>
      </c>
      <c r="C1862" s="6">
        <v>49.3</v>
      </c>
      <c r="D1862" s="6">
        <v>12</v>
      </c>
      <c r="E1862" s="8">
        <v>0.15</v>
      </c>
    </row>
    <row r="1863" spans="1:5" x14ac:dyDescent="0.2">
      <c r="A1863">
        <v>10967</v>
      </c>
      <c r="B1863">
        <v>19</v>
      </c>
      <c r="C1863" s="6">
        <v>9.1999999999999993</v>
      </c>
      <c r="D1863" s="6">
        <v>12</v>
      </c>
      <c r="E1863" s="8">
        <v>0</v>
      </c>
    </row>
    <row r="1864" spans="1:5" x14ac:dyDescent="0.2">
      <c r="A1864">
        <v>10967</v>
      </c>
      <c r="B1864">
        <v>49</v>
      </c>
      <c r="C1864" s="6">
        <v>20</v>
      </c>
      <c r="D1864" s="6">
        <v>40</v>
      </c>
      <c r="E1864" s="8">
        <v>0</v>
      </c>
    </row>
    <row r="1865" spans="1:5" x14ac:dyDescent="0.2">
      <c r="A1865">
        <v>10968</v>
      </c>
      <c r="B1865">
        <v>12</v>
      </c>
      <c r="C1865" s="6">
        <v>38</v>
      </c>
      <c r="D1865" s="6">
        <v>30</v>
      </c>
      <c r="E1865" s="8">
        <v>0</v>
      </c>
    </row>
    <row r="1866" spans="1:5" x14ac:dyDescent="0.2">
      <c r="A1866">
        <v>10968</v>
      </c>
      <c r="B1866">
        <v>24</v>
      </c>
      <c r="C1866" s="6">
        <v>4.5</v>
      </c>
      <c r="D1866" s="6">
        <v>30</v>
      </c>
      <c r="E1866" s="8">
        <v>0</v>
      </c>
    </row>
    <row r="1867" spans="1:5" x14ac:dyDescent="0.2">
      <c r="A1867">
        <v>10968</v>
      </c>
      <c r="B1867">
        <v>64</v>
      </c>
      <c r="C1867" s="6">
        <v>33.25</v>
      </c>
      <c r="D1867" s="6">
        <v>4</v>
      </c>
      <c r="E1867" s="8">
        <v>0</v>
      </c>
    </row>
    <row r="1868" spans="1:5" x14ac:dyDescent="0.2">
      <c r="A1868">
        <v>10969</v>
      </c>
      <c r="B1868">
        <v>46</v>
      </c>
      <c r="C1868" s="6">
        <v>12</v>
      </c>
      <c r="D1868" s="6">
        <v>9</v>
      </c>
      <c r="E1868" s="8">
        <v>0</v>
      </c>
    </row>
    <row r="1869" spans="1:5" x14ac:dyDescent="0.2">
      <c r="A1869">
        <v>10970</v>
      </c>
      <c r="B1869">
        <v>52</v>
      </c>
      <c r="C1869" s="6">
        <v>7</v>
      </c>
      <c r="D1869" s="6">
        <v>40</v>
      </c>
      <c r="E1869" s="8">
        <v>0.2</v>
      </c>
    </row>
    <row r="1870" spans="1:5" x14ac:dyDescent="0.2">
      <c r="A1870">
        <v>10971</v>
      </c>
      <c r="B1870">
        <v>29</v>
      </c>
      <c r="C1870" s="6">
        <v>123.79</v>
      </c>
      <c r="D1870" s="6">
        <v>14</v>
      </c>
      <c r="E1870" s="8">
        <v>0</v>
      </c>
    </row>
    <row r="1871" spans="1:5" x14ac:dyDescent="0.2">
      <c r="A1871">
        <v>10972</v>
      </c>
      <c r="B1871">
        <v>17</v>
      </c>
      <c r="C1871" s="6">
        <v>39</v>
      </c>
      <c r="D1871" s="6">
        <v>6</v>
      </c>
      <c r="E1871" s="8">
        <v>0</v>
      </c>
    </row>
    <row r="1872" spans="1:5" x14ac:dyDescent="0.2">
      <c r="A1872">
        <v>10972</v>
      </c>
      <c r="B1872">
        <v>33</v>
      </c>
      <c r="C1872" s="6">
        <v>2.5</v>
      </c>
      <c r="D1872" s="6">
        <v>7</v>
      </c>
      <c r="E1872" s="8">
        <v>0</v>
      </c>
    </row>
    <row r="1873" spans="1:5" x14ac:dyDescent="0.2">
      <c r="A1873">
        <v>10973</v>
      </c>
      <c r="B1873">
        <v>26</v>
      </c>
      <c r="C1873" s="6">
        <v>31.23</v>
      </c>
      <c r="D1873" s="6">
        <v>5</v>
      </c>
      <c r="E1873" s="8">
        <v>0</v>
      </c>
    </row>
    <row r="1874" spans="1:5" x14ac:dyDescent="0.2">
      <c r="A1874">
        <v>10973</v>
      </c>
      <c r="B1874">
        <v>41</v>
      </c>
      <c r="C1874" s="6">
        <v>9.65</v>
      </c>
      <c r="D1874" s="6">
        <v>6</v>
      </c>
      <c r="E1874" s="8">
        <v>0</v>
      </c>
    </row>
    <row r="1875" spans="1:5" x14ac:dyDescent="0.2">
      <c r="A1875">
        <v>10973</v>
      </c>
      <c r="B1875">
        <v>75</v>
      </c>
      <c r="C1875" s="6">
        <v>7.75</v>
      </c>
      <c r="D1875" s="6">
        <v>10</v>
      </c>
      <c r="E1875" s="8">
        <v>0</v>
      </c>
    </row>
    <row r="1876" spans="1:5" x14ac:dyDescent="0.2">
      <c r="A1876">
        <v>10974</v>
      </c>
      <c r="B1876">
        <v>63</v>
      </c>
      <c r="C1876" s="6">
        <v>43.9</v>
      </c>
      <c r="D1876" s="6">
        <v>10</v>
      </c>
      <c r="E1876" s="8">
        <v>0</v>
      </c>
    </row>
    <row r="1877" spans="1:5" x14ac:dyDescent="0.2">
      <c r="A1877">
        <v>10975</v>
      </c>
      <c r="B1877">
        <v>8</v>
      </c>
      <c r="C1877" s="6">
        <v>40</v>
      </c>
      <c r="D1877" s="6">
        <v>16</v>
      </c>
      <c r="E1877" s="8">
        <v>0</v>
      </c>
    </row>
    <row r="1878" spans="1:5" x14ac:dyDescent="0.2">
      <c r="A1878">
        <v>10975</v>
      </c>
      <c r="B1878">
        <v>75</v>
      </c>
      <c r="C1878" s="6">
        <v>7.75</v>
      </c>
      <c r="D1878" s="6">
        <v>10</v>
      </c>
      <c r="E1878" s="8">
        <v>0</v>
      </c>
    </row>
    <row r="1879" spans="1:5" x14ac:dyDescent="0.2">
      <c r="A1879">
        <v>10976</v>
      </c>
      <c r="B1879">
        <v>28</v>
      </c>
      <c r="C1879" s="6">
        <v>45.6</v>
      </c>
      <c r="D1879" s="6">
        <v>20</v>
      </c>
      <c r="E1879" s="8">
        <v>0</v>
      </c>
    </row>
    <row r="1880" spans="1:5" x14ac:dyDescent="0.2">
      <c r="A1880">
        <v>10977</v>
      </c>
      <c r="B1880">
        <v>39</v>
      </c>
      <c r="C1880" s="6">
        <v>18</v>
      </c>
      <c r="D1880" s="6">
        <v>30</v>
      </c>
      <c r="E1880" s="8">
        <v>0</v>
      </c>
    </row>
    <row r="1881" spans="1:5" x14ac:dyDescent="0.2">
      <c r="A1881">
        <v>10977</v>
      </c>
      <c r="B1881">
        <v>47</v>
      </c>
      <c r="C1881" s="6">
        <v>9.5</v>
      </c>
      <c r="D1881" s="6">
        <v>30</v>
      </c>
      <c r="E1881" s="8">
        <v>0</v>
      </c>
    </row>
    <row r="1882" spans="1:5" x14ac:dyDescent="0.2">
      <c r="A1882">
        <v>10977</v>
      </c>
      <c r="B1882">
        <v>51</v>
      </c>
      <c r="C1882" s="6">
        <v>53</v>
      </c>
      <c r="D1882" s="6">
        <v>10</v>
      </c>
      <c r="E1882" s="8">
        <v>0</v>
      </c>
    </row>
    <row r="1883" spans="1:5" x14ac:dyDescent="0.2">
      <c r="A1883">
        <v>10977</v>
      </c>
      <c r="B1883">
        <v>63</v>
      </c>
      <c r="C1883" s="6">
        <v>43.9</v>
      </c>
      <c r="D1883" s="6">
        <v>20</v>
      </c>
      <c r="E1883" s="8">
        <v>0</v>
      </c>
    </row>
    <row r="1884" spans="1:5" x14ac:dyDescent="0.2">
      <c r="A1884">
        <v>10978</v>
      </c>
      <c r="B1884">
        <v>8</v>
      </c>
      <c r="C1884" s="6">
        <v>40</v>
      </c>
      <c r="D1884" s="6">
        <v>20</v>
      </c>
      <c r="E1884" s="8">
        <v>0.15</v>
      </c>
    </row>
    <row r="1885" spans="1:5" x14ac:dyDescent="0.2">
      <c r="A1885">
        <v>10978</v>
      </c>
      <c r="B1885">
        <v>21</v>
      </c>
      <c r="C1885" s="6">
        <v>10</v>
      </c>
      <c r="D1885" s="6">
        <v>40</v>
      </c>
      <c r="E1885" s="8">
        <v>0.15</v>
      </c>
    </row>
    <row r="1886" spans="1:5" x14ac:dyDescent="0.2">
      <c r="A1886">
        <v>10978</v>
      </c>
      <c r="B1886">
        <v>40</v>
      </c>
      <c r="C1886" s="6">
        <v>18.399999999999999</v>
      </c>
      <c r="D1886" s="6">
        <v>10</v>
      </c>
      <c r="E1886" s="8">
        <v>0</v>
      </c>
    </row>
    <row r="1887" spans="1:5" x14ac:dyDescent="0.2">
      <c r="A1887">
        <v>10978</v>
      </c>
      <c r="B1887">
        <v>44</v>
      </c>
      <c r="C1887" s="6">
        <v>19.45</v>
      </c>
      <c r="D1887" s="6">
        <v>6</v>
      </c>
      <c r="E1887" s="8">
        <v>0.15</v>
      </c>
    </row>
    <row r="1888" spans="1:5" x14ac:dyDescent="0.2">
      <c r="A1888">
        <v>10979</v>
      </c>
      <c r="B1888">
        <v>7</v>
      </c>
      <c r="C1888" s="6">
        <v>30</v>
      </c>
      <c r="D1888" s="6">
        <v>18</v>
      </c>
      <c r="E1888" s="8">
        <v>0</v>
      </c>
    </row>
    <row r="1889" spans="1:5" x14ac:dyDescent="0.2">
      <c r="A1889">
        <v>10979</v>
      </c>
      <c r="B1889">
        <v>12</v>
      </c>
      <c r="C1889" s="6">
        <v>38</v>
      </c>
      <c r="D1889" s="6">
        <v>20</v>
      </c>
      <c r="E1889" s="8">
        <v>0</v>
      </c>
    </row>
    <row r="1890" spans="1:5" x14ac:dyDescent="0.2">
      <c r="A1890">
        <v>10979</v>
      </c>
      <c r="B1890">
        <v>24</v>
      </c>
      <c r="C1890" s="6">
        <v>4.5</v>
      </c>
      <c r="D1890" s="6">
        <v>80</v>
      </c>
      <c r="E1890" s="8">
        <v>0</v>
      </c>
    </row>
    <row r="1891" spans="1:5" x14ac:dyDescent="0.2">
      <c r="A1891">
        <v>10979</v>
      </c>
      <c r="B1891">
        <v>27</v>
      </c>
      <c r="C1891" s="6">
        <v>43.9</v>
      </c>
      <c r="D1891" s="6">
        <v>30</v>
      </c>
      <c r="E1891" s="8">
        <v>0</v>
      </c>
    </row>
    <row r="1892" spans="1:5" x14ac:dyDescent="0.2">
      <c r="A1892">
        <v>10979</v>
      </c>
      <c r="B1892">
        <v>31</v>
      </c>
      <c r="C1892" s="6">
        <v>12.5</v>
      </c>
      <c r="D1892" s="6">
        <v>24</v>
      </c>
      <c r="E1892" s="8">
        <v>0</v>
      </c>
    </row>
    <row r="1893" spans="1:5" x14ac:dyDescent="0.2">
      <c r="A1893">
        <v>10979</v>
      </c>
      <c r="B1893">
        <v>63</v>
      </c>
      <c r="C1893" s="6">
        <v>43.9</v>
      </c>
      <c r="D1893" s="6">
        <v>35</v>
      </c>
      <c r="E1893" s="8">
        <v>0</v>
      </c>
    </row>
    <row r="1894" spans="1:5" x14ac:dyDescent="0.2">
      <c r="A1894">
        <v>10980</v>
      </c>
      <c r="B1894">
        <v>75</v>
      </c>
      <c r="C1894" s="6">
        <v>7.75</v>
      </c>
      <c r="D1894" s="6">
        <v>40</v>
      </c>
      <c r="E1894" s="8">
        <v>0.2</v>
      </c>
    </row>
    <row r="1895" spans="1:5" x14ac:dyDescent="0.2">
      <c r="A1895">
        <v>10981</v>
      </c>
      <c r="B1895">
        <v>38</v>
      </c>
      <c r="C1895" s="6">
        <v>263.5</v>
      </c>
      <c r="D1895" s="6">
        <v>60</v>
      </c>
      <c r="E1895" s="8">
        <v>0</v>
      </c>
    </row>
    <row r="1896" spans="1:5" x14ac:dyDescent="0.2">
      <c r="A1896">
        <v>10982</v>
      </c>
      <c r="B1896">
        <v>7</v>
      </c>
      <c r="C1896" s="6">
        <v>30</v>
      </c>
      <c r="D1896" s="6">
        <v>20</v>
      </c>
      <c r="E1896" s="8">
        <v>0</v>
      </c>
    </row>
    <row r="1897" spans="1:5" x14ac:dyDescent="0.2">
      <c r="A1897">
        <v>10982</v>
      </c>
      <c r="B1897">
        <v>43</v>
      </c>
      <c r="C1897" s="6">
        <v>46</v>
      </c>
      <c r="D1897" s="6">
        <v>9</v>
      </c>
      <c r="E1897" s="8">
        <v>0</v>
      </c>
    </row>
    <row r="1898" spans="1:5" x14ac:dyDescent="0.2">
      <c r="A1898">
        <v>10983</v>
      </c>
      <c r="B1898">
        <v>13</v>
      </c>
      <c r="C1898" s="6">
        <v>6</v>
      </c>
      <c r="D1898" s="6">
        <v>84</v>
      </c>
      <c r="E1898" s="8">
        <v>0.15</v>
      </c>
    </row>
    <row r="1899" spans="1:5" x14ac:dyDescent="0.2">
      <c r="A1899">
        <v>10983</v>
      </c>
      <c r="B1899">
        <v>57</v>
      </c>
      <c r="C1899" s="6">
        <v>19.5</v>
      </c>
      <c r="D1899" s="6">
        <v>15</v>
      </c>
      <c r="E1899" s="8">
        <v>0</v>
      </c>
    </row>
    <row r="1900" spans="1:5" x14ac:dyDescent="0.2">
      <c r="A1900">
        <v>10984</v>
      </c>
      <c r="B1900">
        <v>16</v>
      </c>
      <c r="C1900" s="6">
        <v>17.45</v>
      </c>
      <c r="D1900" s="6">
        <v>55</v>
      </c>
      <c r="E1900" s="8">
        <v>0</v>
      </c>
    </row>
    <row r="1901" spans="1:5" x14ac:dyDescent="0.2">
      <c r="A1901">
        <v>10984</v>
      </c>
      <c r="B1901">
        <v>24</v>
      </c>
      <c r="C1901" s="6">
        <v>4.5</v>
      </c>
      <c r="D1901" s="6">
        <v>20</v>
      </c>
      <c r="E1901" s="8">
        <v>0</v>
      </c>
    </row>
    <row r="1902" spans="1:5" x14ac:dyDescent="0.2">
      <c r="A1902">
        <v>10984</v>
      </c>
      <c r="B1902">
        <v>36</v>
      </c>
      <c r="C1902" s="6">
        <v>19</v>
      </c>
      <c r="D1902" s="6">
        <v>40</v>
      </c>
      <c r="E1902" s="8">
        <v>0</v>
      </c>
    </row>
    <row r="1903" spans="1:5" x14ac:dyDescent="0.2">
      <c r="A1903">
        <v>10985</v>
      </c>
      <c r="B1903">
        <v>16</v>
      </c>
      <c r="C1903" s="6">
        <v>17.45</v>
      </c>
      <c r="D1903" s="6">
        <v>36</v>
      </c>
      <c r="E1903" s="8">
        <v>0.1</v>
      </c>
    </row>
    <row r="1904" spans="1:5" x14ac:dyDescent="0.2">
      <c r="A1904">
        <v>10985</v>
      </c>
      <c r="B1904">
        <v>18</v>
      </c>
      <c r="C1904" s="6">
        <v>62.5</v>
      </c>
      <c r="D1904" s="6">
        <v>8</v>
      </c>
      <c r="E1904" s="8">
        <v>0.1</v>
      </c>
    </row>
    <row r="1905" spans="1:5" x14ac:dyDescent="0.2">
      <c r="A1905">
        <v>10985</v>
      </c>
      <c r="B1905">
        <v>32</v>
      </c>
      <c r="C1905" s="6">
        <v>32</v>
      </c>
      <c r="D1905" s="6">
        <v>35</v>
      </c>
      <c r="E1905" s="8">
        <v>0.1</v>
      </c>
    </row>
    <row r="1906" spans="1:5" x14ac:dyDescent="0.2">
      <c r="A1906">
        <v>10986</v>
      </c>
      <c r="B1906">
        <v>11</v>
      </c>
      <c r="C1906" s="6">
        <v>21</v>
      </c>
      <c r="D1906" s="6">
        <v>30</v>
      </c>
      <c r="E1906" s="8">
        <v>0</v>
      </c>
    </row>
    <row r="1907" spans="1:5" x14ac:dyDescent="0.2">
      <c r="A1907">
        <v>10986</v>
      </c>
      <c r="B1907">
        <v>20</v>
      </c>
      <c r="C1907" s="6">
        <v>81</v>
      </c>
      <c r="D1907" s="6">
        <v>15</v>
      </c>
      <c r="E1907" s="8">
        <v>0</v>
      </c>
    </row>
    <row r="1908" spans="1:5" x14ac:dyDescent="0.2">
      <c r="A1908">
        <v>10986</v>
      </c>
      <c r="B1908">
        <v>76</v>
      </c>
      <c r="C1908" s="6">
        <v>18</v>
      </c>
      <c r="D1908" s="6">
        <v>10</v>
      </c>
      <c r="E1908" s="8">
        <v>0</v>
      </c>
    </row>
    <row r="1909" spans="1:5" x14ac:dyDescent="0.2">
      <c r="A1909">
        <v>10986</v>
      </c>
      <c r="B1909">
        <v>77</v>
      </c>
      <c r="C1909" s="6">
        <v>13</v>
      </c>
      <c r="D1909" s="6">
        <v>15</v>
      </c>
      <c r="E1909" s="8">
        <v>0</v>
      </c>
    </row>
    <row r="1910" spans="1:5" x14ac:dyDescent="0.2">
      <c r="A1910">
        <v>10987</v>
      </c>
      <c r="B1910">
        <v>7</v>
      </c>
      <c r="C1910" s="6">
        <v>30</v>
      </c>
      <c r="D1910" s="6">
        <v>60</v>
      </c>
      <c r="E1910" s="8">
        <v>0</v>
      </c>
    </row>
    <row r="1911" spans="1:5" x14ac:dyDescent="0.2">
      <c r="A1911">
        <v>10987</v>
      </c>
      <c r="B1911">
        <v>43</v>
      </c>
      <c r="C1911" s="6">
        <v>46</v>
      </c>
      <c r="D1911" s="6">
        <v>6</v>
      </c>
      <c r="E1911" s="8">
        <v>0</v>
      </c>
    </row>
    <row r="1912" spans="1:5" x14ac:dyDescent="0.2">
      <c r="A1912">
        <v>10987</v>
      </c>
      <c r="B1912">
        <v>72</v>
      </c>
      <c r="C1912" s="6">
        <v>34.799999999999997</v>
      </c>
      <c r="D1912" s="6">
        <v>20</v>
      </c>
      <c r="E1912" s="8">
        <v>0</v>
      </c>
    </row>
    <row r="1913" spans="1:5" x14ac:dyDescent="0.2">
      <c r="A1913">
        <v>10988</v>
      </c>
      <c r="B1913">
        <v>7</v>
      </c>
      <c r="C1913" s="6">
        <v>30</v>
      </c>
      <c r="D1913" s="6">
        <v>60</v>
      </c>
      <c r="E1913" s="8">
        <v>0</v>
      </c>
    </row>
    <row r="1914" spans="1:5" x14ac:dyDescent="0.2">
      <c r="A1914">
        <v>10988</v>
      </c>
      <c r="B1914">
        <v>62</v>
      </c>
      <c r="C1914" s="6">
        <v>49.3</v>
      </c>
      <c r="D1914" s="6">
        <v>40</v>
      </c>
      <c r="E1914" s="8">
        <v>0.1</v>
      </c>
    </row>
    <row r="1915" spans="1:5" x14ac:dyDescent="0.2">
      <c r="A1915">
        <v>10989</v>
      </c>
      <c r="B1915">
        <v>6</v>
      </c>
      <c r="C1915" s="6">
        <v>25</v>
      </c>
      <c r="D1915" s="6">
        <v>40</v>
      </c>
      <c r="E1915" s="8">
        <v>0</v>
      </c>
    </row>
    <row r="1916" spans="1:5" x14ac:dyDescent="0.2">
      <c r="A1916">
        <v>10989</v>
      </c>
      <c r="B1916">
        <v>11</v>
      </c>
      <c r="C1916" s="6">
        <v>21</v>
      </c>
      <c r="D1916" s="6">
        <v>15</v>
      </c>
      <c r="E1916" s="8">
        <v>0</v>
      </c>
    </row>
    <row r="1917" spans="1:5" x14ac:dyDescent="0.2">
      <c r="A1917">
        <v>10989</v>
      </c>
      <c r="B1917">
        <v>41</v>
      </c>
      <c r="C1917" s="6">
        <v>9.65</v>
      </c>
      <c r="D1917" s="6">
        <v>4</v>
      </c>
      <c r="E1917" s="8">
        <v>0</v>
      </c>
    </row>
    <row r="1918" spans="1:5" x14ac:dyDescent="0.2">
      <c r="A1918">
        <v>10990</v>
      </c>
      <c r="B1918">
        <v>21</v>
      </c>
      <c r="C1918" s="6">
        <v>10</v>
      </c>
      <c r="D1918" s="6">
        <v>65</v>
      </c>
      <c r="E1918" s="8">
        <v>0</v>
      </c>
    </row>
    <row r="1919" spans="1:5" x14ac:dyDescent="0.2">
      <c r="A1919">
        <v>10990</v>
      </c>
      <c r="B1919">
        <v>34</v>
      </c>
      <c r="C1919" s="6">
        <v>14</v>
      </c>
      <c r="D1919" s="6">
        <v>60</v>
      </c>
      <c r="E1919" s="8">
        <v>0.15</v>
      </c>
    </row>
    <row r="1920" spans="1:5" x14ac:dyDescent="0.2">
      <c r="A1920">
        <v>10990</v>
      </c>
      <c r="B1920">
        <v>55</v>
      </c>
      <c r="C1920" s="6">
        <v>24</v>
      </c>
      <c r="D1920" s="6">
        <v>65</v>
      </c>
      <c r="E1920" s="8">
        <v>0.15</v>
      </c>
    </row>
    <row r="1921" spans="1:5" x14ac:dyDescent="0.2">
      <c r="A1921">
        <v>10990</v>
      </c>
      <c r="B1921">
        <v>61</v>
      </c>
      <c r="C1921" s="6">
        <v>28.5</v>
      </c>
      <c r="D1921" s="6">
        <v>66</v>
      </c>
      <c r="E1921" s="8">
        <v>0.15</v>
      </c>
    </row>
    <row r="1922" spans="1:5" x14ac:dyDescent="0.2">
      <c r="A1922">
        <v>10991</v>
      </c>
      <c r="B1922">
        <v>2</v>
      </c>
      <c r="C1922" s="6">
        <v>19</v>
      </c>
      <c r="D1922" s="6">
        <v>50</v>
      </c>
      <c r="E1922" s="8">
        <v>0.2</v>
      </c>
    </row>
    <row r="1923" spans="1:5" x14ac:dyDescent="0.2">
      <c r="A1923">
        <v>10991</v>
      </c>
      <c r="B1923">
        <v>70</v>
      </c>
      <c r="C1923" s="6">
        <v>15</v>
      </c>
      <c r="D1923" s="6">
        <v>20</v>
      </c>
      <c r="E1923" s="8">
        <v>0.2</v>
      </c>
    </row>
    <row r="1924" spans="1:5" x14ac:dyDescent="0.2">
      <c r="A1924">
        <v>10991</v>
      </c>
      <c r="B1924">
        <v>76</v>
      </c>
      <c r="C1924" s="6">
        <v>18</v>
      </c>
      <c r="D1924" s="6">
        <v>90</v>
      </c>
      <c r="E1924" s="8">
        <v>0.2</v>
      </c>
    </row>
    <row r="1925" spans="1:5" x14ac:dyDescent="0.2">
      <c r="A1925">
        <v>10992</v>
      </c>
      <c r="B1925">
        <v>72</v>
      </c>
      <c r="C1925" s="6">
        <v>34.799999999999997</v>
      </c>
      <c r="D1925" s="6">
        <v>2</v>
      </c>
      <c r="E1925" s="8">
        <v>0</v>
      </c>
    </row>
    <row r="1926" spans="1:5" x14ac:dyDescent="0.2">
      <c r="A1926">
        <v>10993</v>
      </c>
      <c r="B1926">
        <v>29</v>
      </c>
      <c r="C1926" s="6">
        <v>123.79</v>
      </c>
      <c r="D1926" s="6">
        <v>50</v>
      </c>
      <c r="E1926" s="8">
        <v>0.25</v>
      </c>
    </row>
    <row r="1927" spans="1:5" x14ac:dyDescent="0.2">
      <c r="A1927">
        <v>10993</v>
      </c>
      <c r="B1927">
        <v>41</v>
      </c>
      <c r="C1927" s="6">
        <v>9.65</v>
      </c>
      <c r="D1927" s="6">
        <v>35</v>
      </c>
      <c r="E1927" s="8">
        <v>0.25</v>
      </c>
    </row>
    <row r="1928" spans="1:5" x14ac:dyDescent="0.2">
      <c r="A1928">
        <v>10994</v>
      </c>
      <c r="B1928">
        <v>59</v>
      </c>
      <c r="C1928" s="6">
        <v>55</v>
      </c>
      <c r="D1928" s="6">
        <v>18</v>
      </c>
      <c r="E1928" s="8">
        <v>0.05</v>
      </c>
    </row>
    <row r="1929" spans="1:5" x14ac:dyDescent="0.2">
      <c r="A1929">
        <v>10995</v>
      </c>
      <c r="B1929">
        <v>51</v>
      </c>
      <c r="C1929" s="6">
        <v>53</v>
      </c>
      <c r="D1929" s="6">
        <v>20</v>
      </c>
      <c r="E1929" s="8">
        <v>0</v>
      </c>
    </row>
    <row r="1930" spans="1:5" x14ac:dyDescent="0.2">
      <c r="A1930">
        <v>10995</v>
      </c>
      <c r="B1930">
        <v>60</v>
      </c>
      <c r="C1930" s="6">
        <v>34</v>
      </c>
      <c r="D1930" s="6">
        <v>4</v>
      </c>
      <c r="E1930" s="8">
        <v>0</v>
      </c>
    </row>
    <row r="1931" spans="1:5" x14ac:dyDescent="0.2">
      <c r="A1931">
        <v>10996</v>
      </c>
      <c r="B1931">
        <v>42</v>
      </c>
      <c r="C1931" s="6">
        <v>14</v>
      </c>
      <c r="D1931" s="6">
        <v>40</v>
      </c>
      <c r="E1931" s="8">
        <v>0</v>
      </c>
    </row>
    <row r="1932" spans="1:5" x14ac:dyDescent="0.2">
      <c r="A1932">
        <v>10997</v>
      </c>
      <c r="B1932">
        <v>32</v>
      </c>
      <c r="C1932" s="6">
        <v>32</v>
      </c>
      <c r="D1932" s="6">
        <v>50</v>
      </c>
      <c r="E1932" s="8">
        <v>0</v>
      </c>
    </row>
    <row r="1933" spans="1:5" x14ac:dyDescent="0.2">
      <c r="A1933">
        <v>10997</v>
      </c>
      <c r="B1933">
        <v>46</v>
      </c>
      <c r="C1933" s="6">
        <v>12</v>
      </c>
      <c r="D1933" s="6">
        <v>20</v>
      </c>
      <c r="E1933" s="8">
        <v>0.25</v>
      </c>
    </row>
    <row r="1934" spans="1:5" x14ac:dyDescent="0.2">
      <c r="A1934">
        <v>10997</v>
      </c>
      <c r="B1934">
        <v>52</v>
      </c>
      <c r="C1934" s="6">
        <v>7</v>
      </c>
      <c r="D1934" s="6">
        <v>20</v>
      </c>
      <c r="E1934" s="8">
        <v>0.25</v>
      </c>
    </row>
    <row r="1935" spans="1:5" x14ac:dyDescent="0.2">
      <c r="A1935">
        <v>10998</v>
      </c>
      <c r="B1935">
        <v>24</v>
      </c>
      <c r="C1935" s="6">
        <v>4.5</v>
      </c>
      <c r="D1935" s="6">
        <v>12</v>
      </c>
      <c r="E1935" s="8">
        <v>0</v>
      </c>
    </row>
    <row r="1936" spans="1:5" x14ac:dyDescent="0.2">
      <c r="A1936">
        <v>10998</v>
      </c>
      <c r="B1936">
        <v>61</v>
      </c>
      <c r="C1936" s="6">
        <v>28.5</v>
      </c>
      <c r="D1936" s="6">
        <v>7</v>
      </c>
      <c r="E1936" s="8">
        <v>0</v>
      </c>
    </row>
    <row r="1937" spans="1:5" x14ac:dyDescent="0.2">
      <c r="A1937">
        <v>10998</v>
      </c>
      <c r="B1937">
        <v>74</v>
      </c>
      <c r="C1937" s="6">
        <v>10</v>
      </c>
      <c r="D1937" s="6">
        <v>20</v>
      </c>
      <c r="E1937" s="8">
        <v>0</v>
      </c>
    </row>
    <row r="1938" spans="1:5" x14ac:dyDescent="0.2">
      <c r="A1938">
        <v>10998</v>
      </c>
      <c r="B1938">
        <v>75</v>
      </c>
      <c r="C1938" s="6">
        <v>7.75</v>
      </c>
      <c r="D1938" s="6">
        <v>30</v>
      </c>
      <c r="E1938" s="8">
        <v>0</v>
      </c>
    </row>
    <row r="1939" spans="1:5" x14ac:dyDescent="0.2">
      <c r="A1939">
        <v>10999</v>
      </c>
      <c r="B1939">
        <v>41</v>
      </c>
      <c r="C1939" s="6">
        <v>9.65</v>
      </c>
      <c r="D1939" s="6">
        <v>20</v>
      </c>
      <c r="E1939" s="8">
        <v>0.05</v>
      </c>
    </row>
    <row r="1940" spans="1:5" x14ac:dyDescent="0.2">
      <c r="A1940">
        <v>10999</v>
      </c>
      <c r="B1940">
        <v>51</v>
      </c>
      <c r="C1940" s="6">
        <v>53</v>
      </c>
      <c r="D1940" s="6">
        <v>15</v>
      </c>
      <c r="E1940" s="8">
        <v>0.05</v>
      </c>
    </row>
    <row r="1941" spans="1:5" x14ac:dyDescent="0.2">
      <c r="A1941">
        <v>10999</v>
      </c>
      <c r="B1941">
        <v>77</v>
      </c>
      <c r="C1941" s="6">
        <v>13</v>
      </c>
      <c r="D1941" s="6">
        <v>21</v>
      </c>
      <c r="E1941" s="8">
        <v>0.05</v>
      </c>
    </row>
    <row r="1942" spans="1:5" x14ac:dyDescent="0.2">
      <c r="A1942">
        <v>11000</v>
      </c>
      <c r="B1942">
        <v>4</v>
      </c>
      <c r="C1942" s="6">
        <v>22</v>
      </c>
      <c r="D1942" s="6">
        <v>25</v>
      </c>
      <c r="E1942" s="8">
        <v>0.25</v>
      </c>
    </row>
    <row r="1943" spans="1:5" x14ac:dyDescent="0.2">
      <c r="A1943">
        <v>11000</v>
      </c>
      <c r="B1943">
        <v>24</v>
      </c>
      <c r="C1943" s="6">
        <v>4.5</v>
      </c>
      <c r="D1943" s="6">
        <v>30</v>
      </c>
      <c r="E1943" s="8">
        <v>0.25</v>
      </c>
    </row>
    <row r="1944" spans="1:5" x14ac:dyDescent="0.2">
      <c r="A1944">
        <v>11000</v>
      </c>
      <c r="B1944">
        <v>77</v>
      </c>
      <c r="C1944" s="6">
        <v>13</v>
      </c>
      <c r="D1944" s="6">
        <v>30</v>
      </c>
      <c r="E1944" s="8">
        <v>0</v>
      </c>
    </row>
    <row r="1945" spans="1:5" x14ac:dyDescent="0.2">
      <c r="A1945">
        <v>11001</v>
      </c>
      <c r="B1945">
        <v>7</v>
      </c>
      <c r="C1945" s="6">
        <v>30</v>
      </c>
      <c r="D1945" s="6">
        <v>60</v>
      </c>
      <c r="E1945" s="8">
        <v>0</v>
      </c>
    </row>
    <row r="1946" spans="1:5" x14ac:dyDescent="0.2">
      <c r="A1946">
        <v>11001</v>
      </c>
      <c r="B1946">
        <v>22</v>
      </c>
      <c r="C1946" s="6">
        <v>21</v>
      </c>
      <c r="D1946" s="6">
        <v>25</v>
      </c>
      <c r="E1946" s="8">
        <v>0</v>
      </c>
    </row>
    <row r="1947" spans="1:5" x14ac:dyDescent="0.2">
      <c r="A1947">
        <v>11001</v>
      </c>
      <c r="B1947">
        <v>46</v>
      </c>
      <c r="C1947" s="6">
        <v>12</v>
      </c>
      <c r="D1947" s="6">
        <v>25</v>
      </c>
      <c r="E1947" s="8">
        <v>0</v>
      </c>
    </row>
    <row r="1948" spans="1:5" x14ac:dyDescent="0.2">
      <c r="A1948">
        <v>11001</v>
      </c>
      <c r="B1948">
        <v>55</v>
      </c>
      <c r="C1948" s="6">
        <v>24</v>
      </c>
      <c r="D1948" s="6">
        <v>6</v>
      </c>
      <c r="E1948" s="8">
        <v>0</v>
      </c>
    </row>
    <row r="1949" spans="1:5" x14ac:dyDescent="0.2">
      <c r="A1949">
        <v>11002</v>
      </c>
      <c r="B1949">
        <v>13</v>
      </c>
      <c r="C1949" s="6">
        <v>6</v>
      </c>
      <c r="D1949" s="6">
        <v>56</v>
      </c>
      <c r="E1949" s="8">
        <v>0</v>
      </c>
    </row>
    <row r="1950" spans="1:5" x14ac:dyDescent="0.2">
      <c r="A1950">
        <v>11002</v>
      </c>
      <c r="B1950">
        <v>35</v>
      </c>
      <c r="C1950" s="6">
        <v>18</v>
      </c>
      <c r="D1950" s="6">
        <v>15</v>
      </c>
      <c r="E1950" s="8">
        <v>0.15</v>
      </c>
    </row>
    <row r="1951" spans="1:5" x14ac:dyDescent="0.2">
      <c r="A1951">
        <v>11002</v>
      </c>
      <c r="B1951">
        <v>42</v>
      </c>
      <c r="C1951" s="6">
        <v>14</v>
      </c>
      <c r="D1951" s="6">
        <v>24</v>
      </c>
      <c r="E1951" s="8">
        <v>0.15</v>
      </c>
    </row>
    <row r="1952" spans="1:5" x14ac:dyDescent="0.2">
      <c r="A1952">
        <v>11002</v>
      </c>
      <c r="B1952">
        <v>55</v>
      </c>
      <c r="C1952" s="6">
        <v>24</v>
      </c>
      <c r="D1952" s="6">
        <v>40</v>
      </c>
      <c r="E1952" s="8">
        <v>0</v>
      </c>
    </row>
    <row r="1953" spans="1:5" x14ac:dyDescent="0.2">
      <c r="A1953">
        <v>11003</v>
      </c>
      <c r="B1953">
        <v>1</v>
      </c>
      <c r="C1953" s="6">
        <v>18</v>
      </c>
      <c r="D1953" s="6">
        <v>4</v>
      </c>
      <c r="E1953" s="8">
        <v>0</v>
      </c>
    </row>
    <row r="1954" spans="1:5" x14ac:dyDescent="0.2">
      <c r="A1954">
        <v>11003</v>
      </c>
      <c r="B1954">
        <v>40</v>
      </c>
      <c r="C1954" s="6">
        <v>18.399999999999999</v>
      </c>
      <c r="D1954" s="6">
        <v>10</v>
      </c>
      <c r="E1954" s="8">
        <v>0</v>
      </c>
    </row>
    <row r="1955" spans="1:5" x14ac:dyDescent="0.2">
      <c r="A1955">
        <v>11003</v>
      </c>
      <c r="B1955">
        <v>52</v>
      </c>
      <c r="C1955" s="6">
        <v>7</v>
      </c>
      <c r="D1955" s="6">
        <v>10</v>
      </c>
      <c r="E1955" s="8">
        <v>0</v>
      </c>
    </row>
    <row r="1956" spans="1:5" x14ac:dyDescent="0.2">
      <c r="A1956">
        <v>11004</v>
      </c>
      <c r="B1956">
        <v>26</v>
      </c>
      <c r="C1956" s="6">
        <v>31.23</v>
      </c>
      <c r="D1956" s="6">
        <v>6</v>
      </c>
      <c r="E1956" s="8">
        <v>0</v>
      </c>
    </row>
    <row r="1957" spans="1:5" x14ac:dyDescent="0.2">
      <c r="A1957">
        <v>11004</v>
      </c>
      <c r="B1957">
        <v>76</v>
      </c>
      <c r="C1957" s="6">
        <v>18</v>
      </c>
      <c r="D1957" s="6">
        <v>6</v>
      </c>
      <c r="E1957" s="8">
        <v>0</v>
      </c>
    </row>
    <row r="1958" spans="1:5" x14ac:dyDescent="0.2">
      <c r="A1958">
        <v>11005</v>
      </c>
      <c r="B1958">
        <v>1</v>
      </c>
      <c r="C1958" s="6">
        <v>18</v>
      </c>
      <c r="D1958" s="6">
        <v>2</v>
      </c>
      <c r="E1958" s="8">
        <v>0</v>
      </c>
    </row>
    <row r="1959" spans="1:5" x14ac:dyDescent="0.2">
      <c r="A1959">
        <v>11005</v>
      </c>
      <c r="B1959">
        <v>59</v>
      </c>
      <c r="C1959" s="6">
        <v>55</v>
      </c>
      <c r="D1959" s="6">
        <v>10</v>
      </c>
      <c r="E1959" s="8">
        <v>0</v>
      </c>
    </row>
    <row r="1960" spans="1:5" x14ac:dyDescent="0.2">
      <c r="A1960">
        <v>11006</v>
      </c>
      <c r="B1960">
        <v>1</v>
      </c>
      <c r="C1960" s="6">
        <v>18</v>
      </c>
      <c r="D1960" s="6">
        <v>8</v>
      </c>
      <c r="E1960" s="8">
        <v>0</v>
      </c>
    </row>
    <row r="1961" spans="1:5" x14ac:dyDescent="0.2">
      <c r="A1961">
        <v>11006</v>
      </c>
      <c r="B1961">
        <v>29</v>
      </c>
      <c r="C1961" s="6">
        <v>123.79</v>
      </c>
      <c r="D1961" s="6">
        <v>2</v>
      </c>
      <c r="E1961" s="8">
        <v>0.25</v>
      </c>
    </row>
    <row r="1962" spans="1:5" x14ac:dyDescent="0.2">
      <c r="A1962">
        <v>11007</v>
      </c>
      <c r="B1962">
        <v>8</v>
      </c>
      <c r="C1962" s="6">
        <v>40</v>
      </c>
      <c r="D1962" s="6">
        <v>30</v>
      </c>
      <c r="E1962" s="8">
        <v>0</v>
      </c>
    </row>
    <row r="1963" spans="1:5" x14ac:dyDescent="0.2">
      <c r="A1963">
        <v>11007</v>
      </c>
      <c r="B1963">
        <v>29</v>
      </c>
      <c r="C1963" s="6">
        <v>123.79</v>
      </c>
      <c r="D1963" s="6">
        <v>10</v>
      </c>
      <c r="E1963" s="8">
        <v>0</v>
      </c>
    </row>
    <row r="1964" spans="1:5" x14ac:dyDescent="0.2">
      <c r="A1964">
        <v>11007</v>
      </c>
      <c r="B1964">
        <v>42</v>
      </c>
      <c r="C1964" s="6">
        <v>14</v>
      </c>
      <c r="D1964" s="6">
        <v>14</v>
      </c>
      <c r="E1964" s="8">
        <v>0</v>
      </c>
    </row>
    <row r="1965" spans="1:5" x14ac:dyDescent="0.2">
      <c r="A1965">
        <v>11008</v>
      </c>
      <c r="B1965">
        <v>28</v>
      </c>
      <c r="C1965" s="6">
        <v>45.6</v>
      </c>
      <c r="D1965" s="6">
        <v>70</v>
      </c>
      <c r="E1965" s="8">
        <v>0.05</v>
      </c>
    </row>
    <row r="1966" spans="1:5" x14ac:dyDescent="0.2">
      <c r="A1966">
        <v>11008</v>
      </c>
      <c r="B1966">
        <v>34</v>
      </c>
      <c r="C1966" s="6">
        <v>14</v>
      </c>
      <c r="D1966" s="6">
        <v>90</v>
      </c>
      <c r="E1966" s="8">
        <v>0.05</v>
      </c>
    </row>
    <row r="1967" spans="1:5" x14ac:dyDescent="0.2">
      <c r="A1967">
        <v>11008</v>
      </c>
      <c r="B1967">
        <v>71</v>
      </c>
      <c r="C1967" s="6">
        <v>21.5</v>
      </c>
      <c r="D1967" s="6">
        <v>21</v>
      </c>
      <c r="E1967" s="8">
        <v>0</v>
      </c>
    </row>
    <row r="1968" spans="1:5" x14ac:dyDescent="0.2">
      <c r="A1968">
        <v>11009</v>
      </c>
      <c r="B1968">
        <v>24</v>
      </c>
      <c r="C1968" s="6">
        <v>4.5</v>
      </c>
      <c r="D1968" s="6">
        <v>12</v>
      </c>
      <c r="E1968" s="8">
        <v>0</v>
      </c>
    </row>
    <row r="1969" spans="1:5" x14ac:dyDescent="0.2">
      <c r="A1969">
        <v>11009</v>
      </c>
      <c r="B1969">
        <v>36</v>
      </c>
      <c r="C1969" s="6">
        <v>19</v>
      </c>
      <c r="D1969" s="6">
        <v>18</v>
      </c>
      <c r="E1969" s="8">
        <v>0.25</v>
      </c>
    </row>
    <row r="1970" spans="1:5" x14ac:dyDescent="0.2">
      <c r="A1970">
        <v>11009</v>
      </c>
      <c r="B1970">
        <v>60</v>
      </c>
      <c r="C1970" s="6">
        <v>34</v>
      </c>
      <c r="D1970" s="6">
        <v>9</v>
      </c>
      <c r="E1970" s="8">
        <v>0</v>
      </c>
    </row>
    <row r="1971" spans="1:5" x14ac:dyDescent="0.2">
      <c r="A1971">
        <v>11010</v>
      </c>
      <c r="B1971">
        <v>7</v>
      </c>
      <c r="C1971" s="6">
        <v>30</v>
      </c>
      <c r="D1971" s="6">
        <v>20</v>
      </c>
      <c r="E1971" s="8">
        <v>0</v>
      </c>
    </row>
    <row r="1972" spans="1:5" x14ac:dyDescent="0.2">
      <c r="A1972">
        <v>11010</v>
      </c>
      <c r="B1972">
        <v>24</v>
      </c>
      <c r="C1972" s="6">
        <v>4.5</v>
      </c>
      <c r="D1972" s="6">
        <v>10</v>
      </c>
      <c r="E1972" s="8">
        <v>0</v>
      </c>
    </row>
    <row r="1973" spans="1:5" x14ac:dyDescent="0.2">
      <c r="A1973">
        <v>11011</v>
      </c>
      <c r="B1973">
        <v>58</v>
      </c>
      <c r="C1973" s="6">
        <v>13.25</v>
      </c>
      <c r="D1973" s="6">
        <v>40</v>
      </c>
      <c r="E1973" s="8">
        <v>0.05</v>
      </c>
    </row>
    <row r="1974" spans="1:5" x14ac:dyDescent="0.2">
      <c r="A1974">
        <v>11011</v>
      </c>
      <c r="B1974">
        <v>71</v>
      </c>
      <c r="C1974" s="6">
        <v>21.5</v>
      </c>
      <c r="D1974" s="6">
        <v>20</v>
      </c>
      <c r="E1974" s="8">
        <v>0</v>
      </c>
    </row>
    <row r="1975" spans="1:5" x14ac:dyDescent="0.2">
      <c r="A1975">
        <v>11012</v>
      </c>
      <c r="B1975">
        <v>19</v>
      </c>
      <c r="C1975" s="6">
        <v>9.1999999999999993</v>
      </c>
      <c r="D1975" s="6">
        <v>50</v>
      </c>
      <c r="E1975" s="8">
        <v>0.05</v>
      </c>
    </row>
    <row r="1976" spans="1:5" x14ac:dyDescent="0.2">
      <c r="A1976">
        <v>11012</v>
      </c>
      <c r="B1976">
        <v>60</v>
      </c>
      <c r="C1976" s="6">
        <v>34</v>
      </c>
      <c r="D1976" s="6">
        <v>36</v>
      </c>
      <c r="E1976" s="8">
        <v>0.05</v>
      </c>
    </row>
    <row r="1977" spans="1:5" x14ac:dyDescent="0.2">
      <c r="A1977">
        <v>11012</v>
      </c>
      <c r="B1977">
        <v>71</v>
      </c>
      <c r="C1977" s="6">
        <v>21.5</v>
      </c>
      <c r="D1977" s="6">
        <v>60</v>
      </c>
      <c r="E1977" s="8">
        <v>0.05</v>
      </c>
    </row>
    <row r="1978" spans="1:5" x14ac:dyDescent="0.2">
      <c r="A1978">
        <v>11013</v>
      </c>
      <c r="B1978">
        <v>23</v>
      </c>
      <c r="C1978" s="6">
        <v>9</v>
      </c>
      <c r="D1978" s="6">
        <v>10</v>
      </c>
      <c r="E1978" s="8">
        <v>0</v>
      </c>
    </row>
    <row r="1979" spans="1:5" x14ac:dyDescent="0.2">
      <c r="A1979">
        <v>11013</v>
      </c>
      <c r="B1979">
        <v>42</v>
      </c>
      <c r="C1979" s="6">
        <v>14</v>
      </c>
      <c r="D1979" s="6">
        <v>4</v>
      </c>
      <c r="E1979" s="8">
        <v>0</v>
      </c>
    </row>
    <row r="1980" spans="1:5" x14ac:dyDescent="0.2">
      <c r="A1980">
        <v>11013</v>
      </c>
      <c r="B1980">
        <v>45</v>
      </c>
      <c r="C1980" s="6">
        <v>9.5</v>
      </c>
      <c r="D1980" s="6">
        <v>20</v>
      </c>
      <c r="E1980" s="8">
        <v>0</v>
      </c>
    </row>
    <row r="1981" spans="1:5" x14ac:dyDescent="0.2">
      <c r="A1981">
        <v>11013</v>
      </c>
      <c r="B1981">
        <v>68</v>
      </c>
      <c r="C1981" s="6">
        <v>12.5</v>
      </c>
      <c r="D1981" s="6">
        <v>2</v>
      </c>
      <c r="E1981" s="8">
        <v>0</v>
      </c>
    </row>
    <row r="1982" spans="1:5" x14ac:dyDescent="0.2">
      <c r="A1982">
        <v>11014</v>
      </c>
      <c r="B1982">
        <v>41</v>
      </c>
      <c r="C1982" s="6">
        <v>9.65</v>
      </c>
      <c r="D1982" s="6">
        <v>28</v>
      </c>
      <c r="E1982" s="8">
        <v>0.1</v>
      </c>
    </row>
    <row r="1983" spans="1:5" x14ac:dyDescent="0.2">
      <c r="A1983">
        <v>11015</v>
      </c>
      <c r="B1983">
        <v>30</v>
      </c>
      <c r="C1983" s="6">
        <v>25.89</v>
      </c>
      <c r="D1983" s="6">
        <v>15</v>
      </c>
      <c r="E1983" s="8">
        <v>0</v>
      </c>
    </row>
    <row r="1984" spans="1:5" x14ac:dyDescent="0.2">
      <c r="A1984">
        <v>11015</v>
      </c>
      <c r="B1984">
        <v>77</v>
      </c>
      <c r="C1984" s="6">
        <v>13</v>
      </c>
      <c r="D1984" s="6">
        <v>18</v>
      </c>
      <c r="E1984" s="8">
        <v>0</v>
      </c>
    </row>
    <row r="1985" spans="1:5" x14ac:dyDescent="0.2">
      <c r="A1985">
        <v>11016</v>
      </c>
      <c r="B1985">
        <v>31</v>
      </c>
      <c r="C1985" s="6">
        <v>12.5</v>
      </c>
      <c r="D1985" s="6">
        <v>15</v>
      </c>
      <c r="E1985" s="8">
        <v>0</v>
      </c>
    </row>
    <row r="1986" spans="1:5" x14ac:dyDescent="0.2">
      <c r="A1986">
        <v>11016</v>
      </c>
      <c r="B1986">
        <v>36</v>
      </c>
      <c r="C1986" s="6">
        <v>19</v>
      </c>
      <c r="D1986" s="6">
        <v>16</v>
      </c>
      <c r="E1986" s="8">
        <v>0</v>
      </c>
    </row>
    <row r="1987" spans="1:5" x14ac:dyDescent="0.2">
      <c r="A1987">
        <v>11017</v>
      </c>
      <c r="B1987">
        <v>3</v>
      </c>
      <c r="C1987" s="6">
        <v>10</v>
      </c>
      <c r="D1987" s="6">
        <v>25</v>
      </c>
      <c r="E1987" s="8">
        <v>0</v>
      </c>
    </row>
    <row r="1988" spans="1:5" x14ac:dyDescent="0.2">
      <c r="A1988">
        <v>11017</v>
      </c>
      <c r="B1988">
        <v>59</v>
      </c>
      <c r="C1988" s="6">
        <v>55</v>
      </c>
      <c r="D1988" s="6">
        <v>110</v>
      </c>
      <c r="E1988" s="8">
        <v>0</v>
      </c>
    </row>
    <row r="1989" spans="1:5" x14ac:dyDescent="0.2">
      <c r="A1989">
        <v>11017</v>
      </c>
      <c r="B1989">
        <v>70</v>
      </c>
      <c r="C1989" s="6">
        <v>15</v>
      </c>
      <c r="D1989" s="6">
        <v>30</v>
      </c>
      <c r="E1989" s="8">
        <v>0</v>
      </c>
    </row>
    <row r="1990" spans="1:5" x14ac:dyDescent="0.2">
      <c r="A1990">
        <v>11018</v>
      </c>
      <c r="B1990">
        <v>12</v>
      </c>
      <c r="C1990" s="6">
        <v>38</v>
      </c>
      <c r="D1990" s="6">
        <v>20</v>
      </c>
      <c r="E1990" s="8">
        <v>0</v>
      </c>
    </row>
    <row r="1991" spans="1:5" x14ac:dyDescent="0.2">
      <c r="A1991">
        <v>11018</v>
      </c>
      <c r="B1991">
        <v>18</v>
      </c>
      <c r="C1991" s="6">
        <v>62.5</v>
      </c>
      <c r="D1991" s="6">
        <v>10</v>
      </c>
      <c r="E1991" s="8">
        <v>0</v>
      </c>
    </row>
    <row r="1992" spans="1:5" x14ac:dyDescent="0.2">
      <c r="A1992">
        <v>11018</v>
      </c>
      <c r="B1992">
        <v>56</v>
      </c>
      <c r="C1992" s="6">
        <v>38</v>
      </c>
      <c r="D1992" s="6">
        <v>5</v>
      </c>
      <c r="E1992" s="8">
        <v>0</v>
      </c>
    </row>
    <row r="1993" spans="1:5" x14ac:dyDescent="0.2">
      <c r="A1993">
        <v>11019</v>
      </c>
      <c r="B1993">
        <v>46</v>
      </c>
      <c r="C1993" s="6">
        <v>12</v>
      </c>
      <c r="D1993" s="6">
        <v>3</v>
      </c>
      <c r="E1993" s="8">
        <v>0</v>
      </c>
    </row>
    <row r="1994" spans="1:5" x14ac:dyDescent="0.2">
      <c r="A1994">
        <v>11019</v>
      </c>
      <c r="B1994">
        <v>49</v>
      </c>
      <c r="C1994" s="6">
        <v>20</v>
      </c>
      <c r="D1994" s="6">
        <v>2</v>
      </c>
      <c r="E1994" s="8">
        <v>0</v>
      </c>
    </row>
    <row r="1995" spans="1:5" x14ac:dyDescent="0.2">
      <c r="A1995">
        <v>11020</v>
      </c>
      <c r="B1995">
        <v>10</v>
      </c>
      <c r="C1995" s="6">
        <v>31</v>
      </c>
      <c r="D1995" s="6">
        <v>24</v>
      </c>
      <c r="E1995" s="8">
        <v>0.15</v>
      </c>
    </row>
    <row r="1996" spans="1:5" x14ac:dyDescent="0.2">
      <c r="A1996">
        <v>11021</v>
      </c>
      <c r="B1996">
        <v>2</v>
      </c>
      <c r="C1996" s="6">
        <v>19</v>
      </c>
      <c r="D1996" s="6">
        <v>11</v>
      </c>
      <c r="E1996" s="8">
        <v>0.25</v>
      </c>
    </row>
    <row r="1997" spans="1:5" x14ac:dyDescent="0.2">
      <c r="A1997">
        <v>11021</v>
      </c>
      <c r="B1997">
        <v>20</v>
      </c>
      <c r="C1997" s="6">
        <v>81</v>
      </c>
      <c r="D1997" s="6">
        <v>15</v>
      </c>
      <c r="E1997" s="8">
        <v>0</v>
      </c>
    </row>
    <row r="1998" spans="1:5" x14ac:dyDescent="0.2">
      <c r="A1998">
        <v>11021</v>
      </c>
      <c r="B1998">
        <v>26</v>
      </c>
      <c r="C1998" s="6">
        <v>31.23</v>
      </c>
      <c r="D1998" s="6">
        <v>63</v>
      </c>
      <c r="E1998" s="8">
        <v>0</v>
      </c>
    </row>
    <row r="1999" spans="1:5" x14ac:dyDescent="0.2">
      <c r="A1999">
        <v>11021</v>
      </c>
      <c r="B1999">
        <v>51</v>
      </c>
      <c r="C1999" s="6">
        <v>53</v>
      </c>
      <c r="D1999" s="6">
        <v>44</v>
      </c>
      <c r="E1999" s="8">
        <v>0.25</v>
      </c>
    </row>
    <row r="2000" spans="1:5" x14ac:dyDescent="0.2">
      <c r="A2000">
        <v>11021</v>
      </c>
      <c r="B2000">
        <v>72</v>
      </c>
      <c r="C2000" s="6">
        <v>34.799999999999997</v>
      </c>
      <c r="D2000" s="6">
        <v>35</v>
      </c>
      <c r="E2000" s="8">
        <v>0</v>
      </c>
    </row>
    <row r="2001" spans="1:5" x14ac:dyDescent="0.2">
      <c r="A2001">
        <v>11022</v>
      </c>
      <c r="B2001">
        <v>19</v>
      </c>
      <c r="C2001" s="6">
        <v>9.1999999999999993</v>
      </c>
      <c r="D2001" s="6">
        <v>35</v>
      </c>
      <c r="E2001" s="8">
        <v>0</v>
      </c>
    </row>
    <row r="2002" spans="1:5" x14ac:dyDescent="0.2">
      <c r="A2002">
        <v>11022</v>
      </c>
      <c r="B2002">
        <v>69</v>
      </c>
      <c r="C2002" s="6">
        <v>36</v>
      </c>
      <c r="D2002" s="6">
        <v>30</v>
      </c>
      <c r="E2002" s="8">
        <v>0</v>
      </c>
    </row>
    <row r="2003" spans="1:5" x14ac:dyDescent="0.2">
      <c r="A2003">
        <v>11023</v>
      </c>
      <c r="B2003">
        <v>7</v>
      </c>
      <c r="C2003" s="6">
        <v>30</v>
      </c>
      <c r="D2003" s="6">
        <v>4</v>
      </c>
      <c r="E2003" s="8">
        <v>0</v>
      </c>
    </row>
    <row r="2004" spans="1:5" x14ac:dyDescent="0.2">
      <c r="A2004">
        <v>11023</v>
      </c>
      <c r="B2004">
        <v>43</v>
      </c>
      <c r="C2004" s="6">
        <v>46</v>
      </c>
      <c r="D2004" s="6">
        <v>30</v>
      </c>
      <c r="E2004" s="8">
        <v>0</v>
      </c>
    </row>
    <row r="2005" spans="1:5" x14ac:dyDescent="0.2">
      <c r="A2005">
        <v>11024</v>
      </c>
      <c r="B2005">
        <v>26</v>
      </c>
      <c r="C2005" s="6">
        <v>31.23</v>
      </c>
      <c r="D2005" s="6">
        <v>12</v>
      </c>
      <c r="E2005" s="8">
        <v>0</v>
      </c>
    </row>
    <row r="2006" spans="1:5" x14ac:dyDescent="0.2">
      <c r="A2006">
        <v>11024</v>
      </c>
      <c r="B2006">
        <v>33</v>
      </c>
      <c r="C2006" s="6">
        <v>2.5</v>
      </c>
      <c r="D2006" s="6">
        <v>30</v>
      </c>
      <c r="E2006" s="8">
        <v>0</v>
      </c>
    </row>
    <row r="2007" spans="1:5" x14ac:dyDescent="0.2">
      <c r="A2007">
        <v>11024</v>
      </c>
      <c r="B2007">
        <v>65</v>
      </c>
      <c r="C2007" s="6">
        <v>21.05</v>
      </c>
      <c r="D2007" s="6">
        <v>21</v>
      </c>
      <c r="E2007" s="8">
        <v>0</v>
      </c>
    </row>
    <row r="2008" spans="1:5" x14ac:dyDescent="0.2">
      <c r="A2008">
        <v>11024</v>
      </c>
      <c r="B2008">
        <v>71</v>
      </c>
      <c r="C2008" s="6">
        <v>21.5</v>
      </c>
      <c r="D2008" s="6">
        <v>50</v>
      </c>
      <c r="E2008" s="8">
        <v>0</v>
      </c>
    </row>
    <row r="2009" spans="1:5" x14ac:dyDescent="0.2">
      <c r="A2009">
        <v>11025</v>
      </c>
      <c r="B2009">
        <v>1</v>
      </c>
      <c r="C2009" s="6">
        <v>18</v>
      </c>
      <c r="D2009" s="6">
        <v>10</v>
      </c>
      <c r="E2009" s="8">
        <v>0.1</v>
      </c>
    </row>
    <row r="2010" spans="1:5" x14ac:dyDescent="0.2">
      <c r="A2010">
        <v>11025</v>
      </c>
      <c r="B2010">
        <v>13</v>
      </c>
      <c r="C2010" s="6">
        <v>6</v>
      </c>
      <c r="D2010" s="6">
        <v>20</v>
      </c>
      <c r="E2010" s="8">
        <v>0.1</v>
      </c>
    </row>
    <row r="2011" spans="1:5" x14ac:dyDescent="0.2">
      <c r="A2011">
        <v>11026</v>
      </c>
      <c r="B2011">
        <v>18</v>
      </c>
      <c r="C2011" s="6">
        <v>62.5</v>
      </c>
      <c r="D2011" s="6">
        <v>8</v>
      </c>
      <c r="E2011" s="8">
        <v>0</v>
      </c>
    </row>
    <row r="2012" spans="1:5" x14ac:dyDescent="0.2">
      <c r="A2012">
        <v>11026</v>
      </c>
      <c r="B2012">
        <v>51</v>
      </c>
      <c r="C2012" s="6">
        <v>53</v>
      </c>
      <c r="D2012" s="6">
        <v>10</v>
      </c>
      <c r="E2012" s="8">
        <v>0</v>
      </c>
    </row>
    <row r="2013" spans="1:5" x14ac:dyDescent="0.2">
      <c r="A2013">
        <v>11027</v>
      </c>
      <c r="B2013">
        <v>24</v>
      </c>
      <c r="C2013" s="6">
        <v>4.5</v>
      </c>
      <c r="D2013" s="6">
        <v>30</v>
      </c>
      <c r="E2013" s="8">
        <v>0.25</v>
      </c>
    </row>
    <row r="2014" spans="1:5" x14ac:dyDescent="0.2">
      <c r="A2014">
        <v>11027</v>
      </c>
      <c r="B2014">
        <v>62</v>
      </c>
      <c r="C2014" s="6">
        <v>49.3</v>
      </c>
      <c r="D2014" s="6">
        <v>21</v>
      </c>
      <c r="E2014" s="8">
        <v>0.25</v>
      </c>
    </row>
    <row r="2015" spans="1:5" x14ac:dyDescent="0.2">
      <c r="A2015">
        <v>11028</v>
      </c>
      <c r="B2015">
        <v>55</v>
      </c>
      <c r="C2015" s="6">
        <v>24</v>
      </c>
      <c r="D2015" s="6">
        <v>35</v>
      </c>
      <c r="E2015" s="8">
        <v>0</v>
      </c>
    </row>
    <row r="2016" spans="1:5" x14ac:dyDescent="0.2">
      <c r="A2016">
        <v>11028</v>
      </c>
      <c r="B2016">
        <v>59</v>
      </c>
      <c r="C2016" s="6">
        <v>55</v>
      </c>
      <c r="D2016" s="6">
        <v>24</v>
      </c>
      <c r="E2016" s="8">
        <v>0</v>
      </c>
    </row>
    <row r="2017" spans="1:5" x14ac:dyDescent="0.2">
      <c r="A2017">
        <v>11029</v>
      </c>
      <c r="B2017">
        <v>56</v>
      </c>
      <c r="C2017" s="6">
        <v>38</v>
      </c>
      <c r="D2017" s="6">
        <v>20</v>
      </c>
      <c r="E2017" s="8">
        <v>0</v>
      </c>
    </row>
    <row r="2018" spans="1:5" x14ac:dyDescent="0.2">
      <c r="A2018">
        <v>11029</v>
      </c>
      <c r="B2018">
        <v>63</v>
      </c>
      <c r="C2018" s="6">
        <v>43.9</v>
      </c>
      <c r="D2018" s="6">
        <v>12</v>
      </c>
      <c r="E2018" s="8">
        <v>0</v>
      </c>
    </row>
    <row r="2019" spans="1:5" x14ac:dyDescent="0.2">
      <c r="A2019">
        <v>11030</v>
      </c>
      <c r="B2019">
        <v>2</v>
      </c>
      <c r="C2019" s="6">
        <v>19</v>
      </c>
      <c r="D2019" s="6">
        <v>100</v>
      </c>
      <c r="E2019" s="8">
        <v>0.25</v>
      </c>
    </row>
    <row r="2020" spans="1:5" x14ac:dyDescent="0.2">
      <c r="A2020">
        <v>11030</v>
      </c>
      <c r="B2020">
        <v>5</v>
      </c>
      <c r="C2020" s="6">
        <v>21.35</v>
      </c>
      <c r="D2020" s="6">
        <v>70</v>
      </c>
      <c r="E2020" s="8">
        <v>0</v>
      </c>
    </row>
    <row r="2021" spans="1:5" x14ac:dyDescent="0.2">
      <c r="A2021">
        <v>11030</v>
      </c>
      <c r="B2021">
        <v>29</v>
      </c>
      <c r="C2021" s="6">
        <v>123.79</v>
      </c>
      <c r="D2021" s="6">
        <v>60</v>
      </c>
      <c r="E2021" s="8">
        <v>0.25</v>
      </c>
    </row>
    <row r="2022" spans="1:5" x14ac:dyDescent="0.2">
      <c r="A2022">
        <v>11030</v>
      </c>
      <c r="B2022">
        <v>59</v>
      </c>
      <c r="C2022" s="6">
        <v>55</v>
      </c>
      <c r="D2022" s="6">
        <v>100</v>
      </c>
      <c r="E2022" s="8">
        <v>0.25</v>
      </c>
    </row>
    <row r="2023" spans="1:5" x14ac:dyDescent="0.2">
      <c r="A2023">
        <v>11031</v>
      </c>
      <c r="B2023">
        <v>1</v>
      </c>
      <c r="C2023" s="6">
        <v>18</v>
      </c>
      <c r="D2023" s="6">
        <v>45</v>
      </c>
      <c r="E2023" s="8">
        <v>0</v>
      </c>
    </row>
    <row r="2024" spans="1:5" x14ac:dyDescent="0.2">
      <c r="A2024">
        <v>11031</v>
      </c>
      <c r="B2024">
        <v>13</v>
      </c>
      <c r="C2024" s="6">
        <v>6</v>
      </c>
      <c r="D2024" s="6">
        <v>80</v>
      </c>
      <c r="E2024" s="8">
        <v>0</v>
      </c>
    </row>
    <row r="2025" spans="1:5" x14ac:dyDescent="0.2">
      <c r="A2025">
        <v>11031</v>
      </c>
      <c r="B2025">
        <v>24</v>
      </c>
      <c r="C2025" s="6">
        <v>4.5</v>
      </c>
      <c r="D2025" s="6">
        <v>21</v>
      </c>
      <c r="E2025" s="8">
        <v>0</v>
      </c>
    </row>
    <row r="2026" spans="1:5" x14ac:dyDescent="0.2">
      <c r="A2026">
        <v>11031</v>
      </c>
      <c r="B2026">
        <v>64</v>
      </c>
      <c r="C2026" s="6">
        <v>33.25</v>
      </c>
      <c r="D2026" s="6">
        <v>20</v>
      </c>
      <c r="E2026" s="8">
        <v>0</v>
      </c>
    </row>
    <row r="2027" spans="1:5" x14ac:dyDescent="0.2">
      <c r="A2027">
        <v>11031</v>
      </c>
      <c r="B2027">
        <v>71</v>
      </c>
      <c r="C2027" s="6">
        <v>21.5</v>
      </c>
      <c r="D2027" s="6">
        <v>16</v>
      </c>
      <c r="E2027" s="8">
        <v>0</v>
      </c>
    </row>
    <row r="2028" spans="1:5" x14ac:dyDescent="0.2">
      <c r="A2028">
        <v>11032</v>
      </c>
      <c r="B2028">
        <v>36</v>
      </c>
      <c r="C2028" s="6">
        <v>19</v>
      </c>
      <c r="D2028" s="6">
        <v>35</v>
      </c>
      <c r="E2028" s="8">
        <v>0</v>
      </c>
    </row>
    <row r="2029" spans="1:5" x14ac:dyDescent="0.2">
      <c r="A2029">
        <v>11032</v>
      </c>
      <c r="B2029">
        <v>38</v>
      </c>
      <c r="C2029" s="6">
        <v>263.5</v>
      </c>
      <c r="D2029" s="6">
        <v>25</v>
      </c>
      <c r="E2029" s="8">
        <v>0</v>
      </c>
    </row>
    <row r="2030" spans="1:5" x14ac:dyDescent="0.2">
      <c r="A2030">
        <v>11032</v>
      </c>
      <c r="B2030">
        <v>59</v>
      </c>
      <c r="C2030" s="6">
        <v>55</v>
      </c>
      <c r="D2030" s="6">
        <v>30</v>
      </c>
      <c r="E2030" s="8">
        <v>0</v>
      </c>
    </row>
    <row r="2031" spans="1:5" x14ac:dyDescent="0.2">
      <c r="A2031">
        <v>11033</v>
      </c>
      <c r="B2031">
        <v>53</v>
      </c>
      <c r="C2031" s="6">
        <v>32.799999999999997</v>
      </c>
      <c r="D2031" s="6">
        <v>70</v>
      </c>
      <c r="E2031" s="8">
        <v>0.1</v>
      </c>
    </row>
    <row r="2032" spans="1:5" x14ac:dyDescent="0.2">
      <c r="A2032">
        <v>11033</v>
      </c>
      <c r="B2032">
        <v>69</v>
      </c>
      <c r="C2032" s="6">
        <v>36</v>
      </c>
      <c r="D2032" s="6">
        <v>36</v>
      </c>
      <c r="E2032" s="8">
        <v>0.1</v>
      </c>
    </row>
    <row r="2033" spans="1:5" x14ac:dyDescent="0.2">
      <c r="A2033">
        <v>11034</v>
      </c>
      <c r="B2033">
        <v>21</v>
      </c>
      <c r="C2033" s="6">
        <v>10</v>
      </c>
      <c r="D2033" s="6">
        <v>15</v>
      </c>
      <c r="E2033" s="8">
        <v>0.1</v>
      </c>
    </row>
    <row r="2034" spans="1:5" x14ac:dyDescent="0.2">
      <c r="A2034">
        <v>11034</v>
      </c>
      <c r="B2034">
        <v>44</v>
      </c>
      <c r="C2034" s="6">
        <v>19.45</v>
      </c>
      <c r="D2034" s="6">
        <v>12</v>
      </c>
      <c r="E2034" s="8">
        <v>0</v>
      </c>
    </row>
    <row r="2035" spans="1:5" x14ac:dyDescent="0.2">
      <c r="A2035">
        <v>11034</v>
      </c>
      <c r="B2035">
        <v>61</v>
      </c>
      <c r="C2035" s="6">
        <v>28.5</v>
      </c>
      <c r="D2035" s="6">
        <v>6</v>
      </c>
      <c r="E2035" s="8">
        <v>0</v>
      </c>
    </row>
    <row r="2036" spans="1:5" x14ac:dyDescent="0.2">
      <c r="A2036">
        <v>11035</v>
      </c>
      <c r="B2036">
        <v>1</v>
      </c>
      <c r="C2036" s="6">
        <v>18</v>
      </c>
      <c r="D2036" s="6">
        <v>10</v>
      </c>
      <c r="E2036" s="8">
        <v>0</v>
      </c>
    </row>
    <row r="2037" spans="1:5" x14ac:dyDescent="0.2">
      <c r="A2037">
        <v>11035</v>
      </c>
      <c r="B2037">
        <v>35</v>
      </c>
      <c r="C2037" s="6">
        <v>18</v>
      </c>
      <c r="D2037" s="6">
        <v>60</v>
      </c>
      <c r="E2037" s="8">
        <v>0</v>
      </c>
    </row>
    <row r="2038" spans="1:5" x14ac:dyDescent="0.2">
      <c r="A2038">
        <v>11035</v>
      </c>
      <c r="B2038">
        <v>42</v>
      </c>
      <c r="C2038" s="6">
        <v>14</v>
      </c>
      <c r="D2038" s="6">
        <v>30</v>
      </c>
      <c r="E2038" s="8">
        <v>0</v>
      </c>
    </row>
    <row r="2039" spans="1:5" x14ac:dyDescent="0.2">
      <c r="A2039">
        <v>11035</v>
      </c>
      <c r="B2039">
        <v>54</v>
      </c>
      <c r="C2039" s="6">
        <v>7.45</v>
      </c>
      <c r="D2039" s="6">
        <v>10</v>
      </c>
      <c r="E2039" s="8">
        <v>0</v>
      </c>
    </row>
    <row r="2040" spans="1:5" x14ac:dyDescent="0.2">
      <c r="A2040">
        <v>11036</v>
      </c>
      <c r="B2040">
        <v>13</v>
      </c>
      <c r="C2040" s="6">
        <v>6</v>
      </c>
      <c r="D2040" s="6">
        <v>7</v>
      </c>
      <c r="E2040" s="8">
        <v>0</v>
      </c>
    </row>
    <row r="2041" spans="1:5" x14ac:dyDescent="0.2">
      <c r="A2041">
        <v>11036</v>
      </c>
      <c r="B2041">
        <v>59</v>
      </c>
      <c r="C2041" s="6">
        <v>55</v>
      </c>
      <c r="D2041" s="6">
        <v>30</v>
      </c>
      <c r="E2041" s="8">
        <v>0</v>
      </c>
    </row>
    <row r="2042" spans="1:5" x14ac:dyDescent="0.2">
      <c r="A2042">
        <v>11037</v>
      </c>
      <c r="B2042">
        <v>70</v>
      </c>
      <c r="C2042" s="6">
        <v>15</v>
      </c>
      <c r="D2042" s="6">
        <v>4</v>
      </c>
      <c r="E2042" s="8">
        <v>0</v>
      </c>
    </row>
    <row r="2043" spans="1:5" x14ac:dyDescent="0.2">
      <c r="A2043">
        <v>11038</v>
      </c>
      <c r="B2043">
        <v>40</v>
      </c>
      <c r="C2043" s="6">
        <v>18.399999999999999</v>
      </c>
      <c r="D2043" s="6">
        <v>5</v>
      </c>
      <c r="E2043" s="8">
        <v>0.2</v>
      </c>
    </row>
    <row r="2044" spans="1:5" x14ac:dyDescent="0.2">
      <c r="A2044">
        <v>11038</v>
      </c>
      <c r="B2044">
        <v>52</v>
      </c>
      <c r="C2044" s="6">
        <v>7</v>
      </c>
      <c r="D2044" s="6">
        <v>2</v>
      </c>
      <c r="E2044" s="8">
        <v>0</v>
      </c>
    </row>
    <row r="2045" spans="1:5" x14ac:dyDescent="0.2">
      <c r="A2045">
        <v>11038</v>
      </c>
      <c r="B2045">
        <v>71</v>
      </c>
      <c r="C2045" s="6">
        <v>21.5</v>
      </c>
      <c r="D2045" s="6">
        <v>30</v>
      </c>
      <c r="E2045" s="8">
        <v>0</v>
      </c>
    </row>
    <row r="2046" spans="1:5" x14ac:dyDescent="0.2">
      <c r="A2046">
        <v>11039</v>
      </c>
      <c r="B2046">
        <v>28</v>
      </c>
      <c r="C2046" s="6">
        <v>45.6</v>
      </c>
      <c r="D2046" s="6">
        <v>20</v>
      </c>
      <c r="E2046" s="8">
        <v>0</v>
      </c>
    </row>
    <row r="2047" spans="1:5" x14ac:dyDescent="0.2">
      <c r="A2047">
        <v>11039</v>
      </c>
      <c r="B2047">
        <v>35</v>
      </c>
      <c r="C2047" s="6">
        <v>18</v>
      </c>
      <c r="D2047" s="6">
        <v>24</v>
      </c>
      <c r="E2047" s="8">
        <v>0</v>
      </c>
    </row>
    <row r="2048" spans="1:5" x14ac:dyDescent="0.2">
      <c r="A2048">
        <v>11039</v>
      </c>
      <c r="B2048">
        <v>49</v>
      </c>
      <c r="C2048" s="6">
        <v>20</v>
      </c>
      <c r="D2048" s="6">
        <v>60</v>
      </c>
      <c r="E2048" s="8">
        <v>0</v>
      </c>
    </row>
    <row r="2049" spans="1:5" x14ac:dyDescent="0.2">
      <c r="A2049">
        <v>11039</v>
      </c>
      <c r="B2049">
        <v>57</v>
      </c>
      <c r="C2049" s="6">
        <v>19.5</v>
      </c>
      <c r="D2049" s="6">
        <v>28</v>
      </c>
      <c r="E2049" s="8">
        <v>0</v>
      </c>
    </row>
    <row r="2050" spans="1:5" x14ac:dyDescent="0.2">
      <c r="A2050">
        <v>11040</v>
      </c>
      <c r="B2050">
        <v>21</v>
      </c>
      <c r="C2050" s="6">
        <v>10</v>
      </c>
      <c r="D2050" s="6">
        <v>20</v>
      </c>
      <c r="E2050" s="8">
        <v>0</v>
      </c>
    </row>
    <row r="2051" spans="1:5" x14ac:dyDescent="0.2">
      <c r="A2051">
        <v>11041</v>
      </c>
      <c r="B2051">
        <v>2</v>
      </c>
      <c r="C2051" s="6">
        <v>19</v>
      </c>
      <c r="D2051" s="6">
        <v>30</v>
      </c>
      <c r="E2051" s="8">
        <v>0.2</v>
      </c>
    </row>
    <row r="2052" spans="1:5" x14ac:dyDescent="0.2">
      <c r="A2052">
        <v>11041</v>
      </c>
      <c r="B2052">
        <v>63</v>
      </c>
      <c r="C2052" s="6">
        <v>43.9</v>
      </c>
      <c r="D2052" s="6">
        <v>30</v>
      </c>
      <c r="E2052" s="8">
        <v>0</v>
      </c>
    </row>
    <row r="2053" spans="1:5" x14ac:dyDescent="0.2">
      <c r="A2053">
        <v>11042</v>
      </c>
      <c r="B2053">
        <v>44</v>
      </c>
      <c r="C2053" s="6">
        <v>19.45</v>
      </c>
      <c r="D2053" s="6">
        <v>15</v>
      </c>
      <c r="E2053" s="8">
        <v>0</v>
      </c>
    </row>
    <row r="2054" spans="1:5" x14ac:dyDescent="0.2">
      <c r="A2054">
        <v>11042</v>
      </c>
      <c r="B2054">
        <v>61</v>
      </c>
      <c r="C2054" s="6">
        <v>28.5</v>
      </c>
      <c r="D2054" s="6">
        <v>4</v>
      </c>
      <c r="E2054" s="8">
        <v>0</v>
      </c>
    </row>
    <row r="2055" spans="1:5" x14ac:dyDescent="0.2">
      <c r="A2055">
        <v>11043</v>
      </c>
      <c r="B2055">
        <v>11</v>
      </c>
      <c r="C2055" s="6">
        <v>21</v>
      </c>
      <c r="D2055" s="6">
        <v>10</v>
      </c>
      <c r="E2055" s="8">
        <v>0</v>
      </c>
    </row>
    <row r="2056" spans="1:5" x14ac:dyDescent="0.2">
      <c r="A2056">
        <v>11044</v>
      </c>
      <c r="B2056">
        <v>62</v>
      </c>
      <c r="C2056" s="6">
        <v>49.3</v>
      </c>
      <c r="D2056" s="6">
        <v>12</v>
      </c>
      <c r="E2056" s="8">
        <v>0</v>
      </c>
    </row>
    <row r="2057" spans="1:5" x14ac:dyDescent="0.2">
      <c r="A2057">
        <v>11045</v>
      </c>
      <c r="B2057">
        <v>33</v>
      </c>
      <c r="C2057" s="6">
        <v>2.5</v>
      </c>
      <c r="D2057" s="6">
        <v>15</v>
      </c>
      <c r="E2057" s="8">
        <v>0</v>
      </c>
    </row>
    <row r="2058" spans="1:5" x14ac:dyDescent="0.2">
      <c r="A2058">
        <v>11045</v>
      </c>
      <c r="B2058">
        <v>51</v>
      </c>
      <c r="C2058" s="6">
        <v>53</v>
      </c>
      <c r="D2058" s="6">
        <v>24</v>
      </c>
      <c r="E2058" s="8">
        <v>0</v>
      </c>
    </row>
    <row r="2059" spans="1:5" x14ac:dyDescent="0.2">
      <c r="A2059">
        <v>11046</v>
      </c>
      <c r="B2059">
        <v>12</v>
      </c>
      <c r="C2059" s="6">
        <v>38</v>
      </c>
      <c r="D2059" s="6">
        <v>20</v>
      </c>
      <c r="E2059" s="8">
        <v>0.05</v>
      </c>
    </row>
    <row r="2060" spans="1:5" x14ac:dyDescent="0.2">
      <c r="A2060">
        <v>11046</v>
      </c>
      <c r="B2060">
        <v>32</v>
      </c>
      <c r="C2060" s="6">
        <v>32</v>
      </c>
      <c r="D2060" s="6">
        <v>15</v>
      </c>
      <c r="E2060" s="8">
        <v>0.05</v>
      </c>
    </row>
    <row r="2061" spans="1:5" x14ac:dyDescent="0.2">
      <c r="A2061">
        <v>11046</v>
      </c>
      <c r="B2061">
        <v>35</v>
      </c>
      <c r="C2061" s="6">
        <v>18</v>
      </c>
      <c r="D2061" s="6">
        <v>18</v>
      </c>
      <c r="E2061" s="8">
        <v>0.05</v>
      </c>
    </row>
    <row r="2062" spans="1:5" x14ac:dyDescent="0.2">
      <c r="A2062">
        <v>11047</v>
      </c>
      <c r="B2062">
        <v>1</v>
      </c>
      <c r="C2062" s="6">
        <v>18</v>
      </c>
      <c r="D2062" s="6">
        <v>25</v>
      </c>
      <c r="E2062" s="8">
        <v>0.25</v>
      </c>
    </row>
    <row r="2063" spans="1:5" x14ac:dyDescent="0.2">
      <c r="A2063">
        <v>11047</v>
      </c>
      <c r="B2063">
        <v>5</v>
      </c>
      <c r="C2063" s="6">
        <v>21.35</v>
      </c>
      <c r="D2063" s="6">
        <v>30</v>
      </c>
      <c r="E2063" s="8">
        <v>0.25</v>
      </c>
    </row>
    <row r="2064" spans="1:5" x14ac:dyDescent="0.2">
      <c r="A2064">
        <v>11048</v>
      </c>
      <c r="B2064">
        <v>68</v>
      </c>
      <c r="C2064" s="6">
        <v>12.5</v>
      </c>
      <c r="D2064" s="6">
        <v>42</v>
      </c>
      <c r="E2064" s="8">
        <v>0</v>
      </c>
    </row>
    <row r="2065" spans="1:5" x14ac:dyDescent="0.2">
      <c r="A2065">
        <v>11049</v>
      </c>
      <c r="B2065">
        <v>2</v>
      </c>
      <c r="C2065" s="6">
        <v>19</v>
      </c>
      <c r="D2065" s="6">
        <v>10</v>
      </c>
      <c r="E2065" s="8">
        <v>0.2</v>
      </c>
    </row>
    <row r="2066" spans="1:5" x14ac:dyDescent="0.2">
      <c r="A2066">
        <v>11049</v>
      </c>
      <c r="B2066">
        <v>12</v>
      </c>
      <c r="C2066" s="6">
        <v>38</v>
      </c>
      <c r="D2066" s="6">
        <v>4</v>
      </c>
      <c r="E2066" s="8">
        <v>0.2</v>
      </c>
    </row>
    <row r="2067" spans="1:5" x14ac:dyDescent="0.2">
      <c r="A2067">
        <v>11050</v>
      </c>
      <c r="B2067">
        <v>76</v>
      </c>
      <c r="C2067" s="6">
        <v>18</v>
      </c>
      <c r="D2067" s="6">
        <v>50</v>
      </c>
      <c r="E2067" s="8">
        <v>0.1</v>
      </c>
    </row>
    <row r="2068" spans="1:5" x14ac:dyDescent="0.2">
      <c r="A2068">
        <v>11051</v>
      </c>
      <c r="B2068">
        <v>24</v>
      </c>
      <c r="C2068" s="6">
        <v>4.5</v>
      </c>
      <c r="D2068" s="6">
        <v>10</v>
      </c>
      <c r="E2068" s="8">
        <v>0.2</v>
      </c>
    </row>
    <row r="2069" spans="1:5" x14ac:dyDescent="0.2">
      <c r="A2069">
        <v>11052</v>
      </c>
      <c r="B2069">
        <v>43</v>
      </c>
      <c r="C2069" s="6">
        <v>46</v>
      </c>
      <c r="D2069" s="6">
        <v>30</v>
      </c>
      <c r="E2069" s="8">
        <v>0.2</v>
      </c>
    </row>
    <row r="2070" spans="1:5" x14ac:dyDescent="0.2">
      <c r="A2070">
        <v>11052</v>
      </c>
      <c r="B2070">
        <v>61</v>
      </c>
      <c r="C2070" s="6">
        <v>28.5</v>
      </c>
      <c r="D2070" s="6">
        <v>10</v>
      </c>
      <c r="E2070" s="8">
        <v>0.2</v>
      </c>
    </row>
    <row r="2071" spans="1:5" x14ac:dyDescent="0.2">
      <c r="A2071">
        <v>11053</v>
      </c>
      <c r="B2071">
        <v>18</v>
      </c>
      <c r="C2071" s="6">
        <v>62.5</v>
      </c>
      <c r="D2071" s="6">
        <v>35</v>
      </c>
      <c r="E2071" s="8">
        <v>0.2</v>
      </c>
    </row>
    <row r="2072" spans="1:5" x14ac:dyDescent="0.2">
      <c r="A2072">
        <v>11053</v>
      </c>
      <c r="B2072">
        <v>32</v>
      </c>
      <c r="C2072" s="6">
        <v>32</v>
      </c>
      <c r="D2072" s="6">
        <v>20</v>
      </c>
      <c r="E2072" s="8">
        <v>0</v>
      </c>
    </row>
    <row r="2073" spans="1:5" x14ac:dyDescent="0.2">
      <c r="A2073">
        <v>11053</v>
      </c>
      <c r="B2073">
        <v>64</v>
      </c>
      <c r="C2073" s="6">
        <v>33.25</v>
      </c>
      <c r="D2073" s="6">
        <v>25</v>
      </c>
      <c r="E2073" s="8">
        <v>0.2</v>
      </c>
    </row>
    <row r="2074" spans="1:5" x14ac:dyDescent="0.2">
      <c r="A2074">
        <v>11054</v>
      </c>
      <c r="B2074">
        <v>33</v>
      </c>
      <c r="C2074" s="6">
        <v>2.5</v>
      </c>
      <c r="D2074" s="6">
        <v>10</v>
      </c>
      <c r="E2074" s="8">
        <v>0</v>
      </c>
    </row>
    <row r="2075" spans="1:5" x14ac:dyDescent="0.2">
      <c r="A2075">
        <v>11054</v>
      </c>
      <c r="B2075">
        <v>67</v>
      </c>
      <c r="C2075" s="6">
        <v>14</v>
      </c>
      <c r="D2075" s="6">
        <v>20</v>
      </c>
      <c r="E2075" s="8">
        <v>0</v>
      </c>
    </row>
    <row r="2076" spans="1:5" x14ac:dyDescent="0.2">
      <c r="A2076">
        <v>11055</v>
      </c>
      <c r="B2076">
        <v>24</v>
      </c>
      <c r="C2076" s="6">
        <v>4.5</v>
      </c>
      <c r="D2076" s="6">
        <v>15</v>
      </c>
      <c r="E2076" s="8">
        <v>0</v>
      </c>
    </row>
    <row r="2077" spans="1:5" x14ac:dyDescent="0.2">
      <c r="A2077">
        <v>11055</v>
      </c>
      <c r="B2077">
        <v>25</v>
      </c>
      <c r="C2077" s="6">
        <v>14</v>
      </c>
      <c r="D2077" s="6">
        <v>15</v>
      </c>
      <c r="E2077" s="8">
        <v>0</v>
      </c>
    </row>
    <row r="2078" spans="1:5" x14ac:dyDescent="0.2">
      <c r="A2078">
        <v>11055</v>
      </c>
      <c r="B2078">
        <v>51</v>
      </c>
      <c r="C2078" s="6">
        <v>53</v>
      </c>
      <c r="D2078" s="6">
        <v>20</v>
      </c>
      <c r="E2078" s="8">
        <v>0</v>
      </c>
    </row>
    <row r="2079" spans="1:5" x14ac:dyDescent="0.2">
      <c r="A2079">
        <v>11055</v>
      </c>
      <c r="B2079">
        <v>57</v>
      </c>
      <c r="C2079" s="6">
        <v>19.5</v>
      </c>
      <c r="D2079" s="6">
        <v>20</v>
      </c>
      <c r="E2079" s="8">
        <v>0</v>
      </c>
    </row>
    <row r="2080" spans="1:5" x14ac:dyDescent="0.2">
      <c r="A2080">
        <v>11056</v>
      </c>
      <c r="B2080">
        <v>7</v>
      </c>
      <c r="C2080" s="6">
        <v>30</v>
      </c>
      <c r="D2080" s="6">
        <v>40</v>
      </c>
      <c r="E2080" s="8">
        <v>0</v>
      </c>
    </row>
    <row r="2081" spans="1:5" x14ac:dyDescent="0.2">
      <c r="A2081">
        <v>11056</v>
      </c>
      <c r="B2081">
        <v>55</v>
      </c>
      <c r="C2081" s="6">
        <v>24</v>
      </c>
      <c r="D2081" s="6">
        <v>35</v>
      </c>
      <c r="E2081" s="8">
        <v>0</v>
      </c>
    </row>
    <row r="2082" spans="1:5" x14ac:dyDescent="0.2">
      <c r="A2082">
        <v>11056</v>
      </c>
      <c r="B2082">
        <v>60</v>
      </c>
      <c r="C2082" s="6">
        <v>34</v>
      </c>
      <c r="D2082" s="6">
        <v>50</v>
      </c>
      <c r="E2082" s="8">
        <v>0</v>
      </c>
    </row>
    <row r="2083" spans="1:5" x14ac:dyDescent="0.2">
      <c r="A2083">
        <v>11057</v>
      </c>
      <c r="B2083">
        <v>70</v>
      </c>
      <c r="C2083" s="6">
        <v>15</v>
      </c>
      <c r="D2083" s="6">
        <v>3</v>
      </c>
      <c r="E2083" s="8">
        <v>0</v>
      </c>
    </row>
    <row r="2084" spans="1:5" x14ac:dyDescent="0.2">
      <c r="A2084">
        <v>11058</v>
      </c>
      <c r="B2084">
        <v>21</v>
      </c>
      <c r="C2084" s="6">
        <v>10</v>
      </c>
      <c r="D2084" s="6">
        <v>3</v>
      </c>
      <c r="E2084" s="8">
        <v>0</v>
      </c>
    </row>
    <row r="2085" spans="1:5" x14ac:dyDescent="0.2">
      <c r="A2085">
        <v>11058</v>
      </c>
      <c r="B2085">
        <v>60</v>
      </c>
      <c r="C2085" s="6">
        <v>34</v>
      </c>
      <c r="D2085" s="6">
        <v>21</v>
      </c>
      <c r="E2085" s="8">
        <v>0</v>
      </c>
    </row>
    <row r="2086" spans="1:5" x14ac:dyDescent="0.2">
      <c r="A2086">
        <v>11058</v>
      </c>
      <c r="B2086">
        <v>61</v>
      </c>
      <c r="C2086" s="6">
        <v>28.5</v>
      </c>
      <c r="D2086" s="6">
        <v>4</v>
      </c>
      <c r="E2086" s="8">
        <v>0</v>
      </c>
    </row>
    <row r="2087" spans="1:5" x14ac:dyDescent="0.2">
      <c r="A2087">
        <v>11059</v>
      </c>
      <c r="B2087">
        <v>13</v>
      </c>
      <c r="C2087" s="6">
        <v>6</v>
      </c>
      <c r="D2087" s="6">
        <v>30</v>
      </c>
      <c r="E2087" s="8">
        <v>0</v>
      </c>
    </row>
    <row r="2088" spans="1:5" x14ac:dyDescent="0.2">
      <c r="A2088">
        <v>11059</v>
      </c>
      <c r="B2088">
        <v>17</v>
      </c>
      <c r="C2088" s="6">
        <v>39</v>
      </c>
      <c r="D2088" s="6">
        <v>12</v>
      </c>
      <c r="E2088" s="8">
        <v>0</v>
      </c>
    </row>
    <row r="2089" spans="1:5" x14ac:dyDescent="0.2">
      <c r="A2089">
        <v>11059</v>
      </c>
      <c r="B2089">
        <v>60</v>
      </c>
      <c r="C2089" s="6">
        <v>34</v>
      </c>
      <c r="D2089" s="6">
        <v>35</v>
      </c>
      <c r="E2089" s="8">
        <v>0</v>
      </c>
    </row>
    <row r="2090" spans="1:5" x14ac:dyDescent="0.2">
      <c r="A2090">
        <v>11060</v>
      </c>
      <c r="B2090">
        <v>60</v>
      </c>
      <c r="C2090" s="6">
        <v>34</v>
      </c>
      <c r="D2090" s="6">
        <v>4</v>
      </c>
      <c r="E2090" s="8">
        <v>0</v>
      </c>
    </row>
    <row r="2091" spans="1:5" x14ac:dyDescent="0.2">
      <c r="A2091">
        <v>11060</v>
      </c>
      <c r="B2091">
        <v>77</v>
      </c>
      <c r="C2091" s="6">
        <v>13</v>
      </c>
      <c r="D2091" s="6">
        <v>10</v>
      </c>
      <c r="E2091" s="8">
        <v>0</v>
      </c>
    </row>
    <row r="2092" spans="1:5" x14ac:dyDescent="0.2">
      <c r="A2092">
        <v>11061</v>
      </c>
      <c r="B2092">
        <v>60</v>
      </c>
      <c r="C2092" s="6">
        <v>34</v>
      </c>
      <c r="D2092" s="6">
        <v>15</v>
      </c>
      <c r="E2092" s="8">
        <v>0</v>
      </c>
    </row>
    <row r="2093" spans="1:5" x14ac:dyDescent="0.2">
      <c r="A2093">
        <v>11062</v>
      </c>
      <c r="B2093">
        <v>53</v>
      </c>
      <c r="C2093" s="6">
        <v>32.799999999999997</v>
      </c>
      <c r="D2093" s="6">
        <v>10</v>
      </c>
      <c r="E2093" s="8">
        <v>0.2</v>
      </c>
    </row>
    <row r="2094" spans="1:5" x14ac:dyDescent="0.2">
      <c r="A2094">
        <v>11062</v>
      </c>
      <c r="B2094">
        <v>70</v>
      </c>
      <c r="C2094" s="6">
        <v>15</v>
      </c>
      <c r="D2094" s="6">
        <v>12</v>
      </c>
      <c r="E2094" s="8">
        <v>0.2</v>
      </c>
    </row>
    <row r="2095" spans="1:5" x14ac:dyDescent="0.2">
      <c r="A2095">
        <v>11063</v>
      </c>
      <c r="B2095">
        <v>34</v>
      </c>
      <c r="C2095" s="6">
        <v>14</v>
      </c>
      <c r="D2095" s="6">
        <v>30</v>
      </c>
      <c r="E2095" s="8">
        <v>0</v>
      </c>
    </row>
    <row r="2096" spans="1:5" x14ac:dyDescent="0.2">
      <c r="A2096">
        <v>11063</v>
      </c>
      <c r="B2096">
        <v>40</v>
      </c>
      <c r="C2096" s="6">
        <v>18.399999999999999</v>
      </c>
      <c r="D2096" s="6">
        <v>40</v>
      </c>
      <c r="E2096" s="8">
        <v>0.1</v>
      </c>
    </row>
    <row r="2097" spans="1:5" x14ac:dyDescent="0.2">
      <c r="A2097">
        <v>11063</v>
      </c>
      <c r="B2097">
        <v>41</v>
      </c>
      <c r="C2097" s="6">
        <v>9.65</v>
      </c>
      <c r="D2097" s="6">
        <v>30</v>
      </c>
      <c r="E2097" s="8">
        <v>0.1</v>
      </c>
    </row>
    <row r="2098" spans="1:5" x14ac:dyDescent="0.2">
      <c r="A2098">
        <v>11064</v>
      </c>
      <c r="B2098">
        <v>17</v>
      </c>
      <c r="C2098" s="6">
        <v>39</v>
      </c>
      <c r="D2098" s="6">
        <v>77</v>
      </c>
      <c r="E2098" s="8">
        <v>0.1</v>
      </c>
    </row>
    <row r="2099" spans="1:5" x14ac:dyDescent="0.2">
      <c r="A2099">
        <v>11064</v>
      </c>
      <c r="B2099">
        <v>41</v>
      </c>
      <c r="C2099" s="6">
        <v>9.65</v>
      </c>
      <c r="D2099" s="6">
        <v>12</v>
      </c>
      <c r="E2099" s="8">
        <v>0</v>
      </c>
    </row>
    <row r="2100" spans="1:5" x14ac:dyDescent="0.2">
      <c r="A2100">
        <v>11064</v>
      </c>
      <c r="B2100">
        <v>53</v>
      </c>
      <c r="C2100" s="6">
        <v>32.799999999999997</v>
      </c>
      <c r="D2100" s="6">
        <v>25</v>
      </c>
      <c r="E2100" s="8">
        <v>0.1</v>
      </c>
    </row>
    <row r="2101" spans="1:5" x14ac:dyDescent="0.2">
      <c r="A2101">
        <v>11064</v>
      </c>
      <c r="B2101">
        <v>55</v>
      </c>
      <c r="C2101" s="6">
        <v>24</v>
      </c>
      <c r="D2101" s="6">
        <v>4</v>
      </c>
      <c r="E2101" s="8">
        <v>0.1</v>
      </c>
    </row>
    <row r="2102" spans="1:5" x14ac:dyDescent="0.2">
      <c r="A2102">
        <v>11064</v>
      </c>
      <c r="B2102">
        <v>68</v>
      </c>
      <c r="C2102" s="6">
        <v>12.5</v>
      </c>
      <c r="D2102" s="6">
        <v>55</v>
      </c>
      <c r="E2102" s="8">
        <v>0</v>
      </c>
    </row>
    <row r="2103" spans="1:5" x14ac:dyDescent="0.2">
      <c r="A2103">
        <v>11065</v>
      </c>
      <c r="B2103">
        <v>30</v>
      </c>
      <c r="C2103" s="6">
        <v>25.89</v>
      </c>
      <c r="D2103" s="6">
        <v>4</v>
      </c>
      <c r="E2103" s="8">
        <v>0.25</v>
      </c>
    </row>
    <row r="2104" spans="1:5" x14ac:dyDescent="0.2">
      <c r="A2104">
        <v>11065</v>
      </c>
      <c r="B2104">
        <v>54</v>
      </c>
      <c r="C2104" s="6">
        <v>7.45</v>
      </c>
      <c r="D2104" s="6">
        <v>20</v>
      </c>
      <c r="E2104" s="8">
        <v>0.25</v>
      </c>
    </row>
    <row r="2105" spans="1:5" x14ac:dyDescent="0.2">
      <c r="A2105">
        <v>11066</v>
      </c>
      <c r="B2105">
        <v>16</v>
      </c>
      <c r="C2105" s="6">
        <v>17.45</v>
      </c>
      <c r="D2105" s="6">
        <v>3</v>
      </c>
      <c r="E2105" s="8">
        <v>0</v>
      </c>
    </row>
    <row r="2106" spans="1:5" x14ac:dyDescent="0.2">
      <c r="A2106">
        <v>11066</v>
      </c>
      <c r="B2106">
        <v>19</v>
      </c>
      <c r="C2106" s="6">
        <v>9.1999999999999993</v>
      </c>
      <c r="D2106" s="6">
        <v>42</v>
      </c>
      <c r="E2106" s="8">
        <v>0</v>
      </c>
    </row>
    <row r="2107" spans="1:5" x14ac:dyDescent="0.2">
      <c r="A2107">
        <v>11066</v>
      </c>
      <c r="B2107">
        <v>34</v>
      </c>
      <c r="C2107" s="6">
        <v>14</v>
      </c>
      <c r="D2107" s="6">
        <v>35</v>
      </c>
      <c r="E2107" s="8">
        <v>0</v>
      </c>
    </row>
    <row r="2108" spans="1:5" x14ac:dyDescent="0.2">
      <c r="A2108">
        <v>11067</v>
      </c>
      <c r="B2108">
        <v>41</v>
      </c>
      <c r="C2108" s="6">
        <v>9.65</v>
      </c>
      <c r="D2108" s="6">
        <v>9</v>
      </c>
      <c r="E2108" s="8">
        <v>0</v>
      </c>
    </row>
    <row r="2109" spans="1:5" x14ac:dyDescent="0.2">
      <c r="A2109">
        <v>11068</v>
      </c>
      <c r="B2109">
        <v>28</v>
      </c>
      <c r="C2109" s="6">
        <v>45.6</v>
      </c>
      <c r="D2109" s="6">
        <v>8</v>
      </c>
      <c r="E2109" s="8">
        <v>0.15</v>
      </c>
    </row>
    <row r="2110" spans="1:5" x14ac:dyDescent="0.2">
      <c r="A2110">
        <v>11068</v>
      </c>
      <c r="B2110">
        <v>43</v>
      </c>
      <c r="C2110" s="6">
        <v>46</v>
      </c>
      <c r="D2110" s="6">
        <v>36</v>
      </c>
      <c r="E2110" s="8">
        <v>0.15</v>
      </c>
    </row>
    <row r="2111" spans="1:5" x14ac:dyDescent="0.2">
      <c r="A2111">
        <v>11068</v>
      </c>
      <c r="B2111">
        <v>77</v>
      </c>
      <c r="C2111" s="6">
        <v>13</v>
      </c>
      <c r="D2111" s="6">
        <v>28</v>
      </c>
      <c r="E2111" s="8">
        <v>0.15</v>
      </c>
    </row>
    <row r="2112" spans="1:5" x14ac:dyDescent="0.2">
      <c r="A2112">
        <v>11069</v>
      </c>
      <c r="B2112">
        <v>39</v>
      </c>
      <c r="C2112" s="6">
        <v>18</v>
      </c>
      <c r="D2112" s="6">
        <v>20</v>
      </c>
      <c r="E2112" s="8">
        <v>0</v>
      </c>
    </row>
    <row r="2113" spans="1:5" x14ac:dyDescent="0.2">
      <c r="A2113">
        <v>11070</v>
      </c>
      <c r="B2113">
        <v>1</v>
      </c>
      <c r="C2113" s="6">
        <v>18</v>
      </c>
      <c r="D2113" s="6">
        <v>40</v>
      </c>
      <c r="E2113" s="8">
        <v>0.15</v>
      </c>
    </row>
    <row r="2114" spans="1:5" x14ac:dyDescent="0.2">
      <c r="A2114">
        <v>11070</v>
      </c>
      <c r="B2114">
        <v>2</v>
      </c>
      <c r="C2114" s="6">
        <v>19</v>
      </c>
      <c r="D2114" s="6">
        <v>20</v>
      </c>
      <c r="E2114" s="8">
        <v>0.15</v>
      </c>
    </row>
    <row r="2115" spans="1:5" x14ac:dyDescent="0.2">
      <c r="A2115">
        <v>11070</v>
      </c>
      <c r="B2115">
        <v>16</v>
      </c>
      <c r="C2115" s="6">
        <v>17.45</v>
      </c>
      <c r="D2115" s="6">
        <v>30</v>
      </c>
      <c r="E2115" s="8">
        <v>0.15</v>
      </c>
    </row>
    <row r="2116" spans="1:5" x14ac:dyDescent="0.2">
      <c r="A2116">
        <v>11070</v>
      </c>
      <c r="B2116">
        <v>31</v>
      </c>
      <c r="C2116" s="6">
        <v>12.5</v>
      </c>
      <c r="D2116" s="6">
        <v>20</v>
      </c>
      <c r="E2116" s="8">
        <v>0</v>
      </c>
    </row>
    <row r="2117" spans="1:5" x14ac:dyDescent="0.2">
      <c r="A2117">
        <v>11071</v>
      </c>
      <c r="B2117">
        <v>7</v>
      </c>
      <c r="C2117" s="6">
        <v>30</v>
      </c>
      <c r="D2117" s="6">
        <v>15</v>
      </c>
      <c r="E2117" s="8">
        <v>0.05</v>
      </c>
    </row>
    <row r="2118" spans="1:5" x14ac:dyDescent="0.2">
      <c r="A2118">
        <v>11071</v>
      </c>
      <c r="B2118">
        <v>13</v>
      </c>
      <c r="C2118" s="6">
        <v>6</v>
      </c>
      <c r="D2118" s="6">
        <v>10</v>
      </c>
      <c r="E2118" s="8">
        <v>0.05</v>
      </c>
    </row>
    <row r="2119" spans="1:5" x14ac:dyDescent="0.2">
      <c r="A2119">
        <v>11072</v>
      </c>
      <c r="B2119">
        <v>2</v>
      </c>
      <c r="C2119" s="6">
        <v>19</v>
      </c>
      <c r="D2119" s="6">
        <v>8</v>
      </c>
      <c r="E2119" s="8">
        <v>0</v>
      </c>
    </row>
    <row r="2120" spans="1:5" x14ac:dyDescent="0.2">
      <c r="A2120">
        <v>11072</v>
      </c>
      <c r="B2120">
        <v>41</v>
      </c>
      <c r="C2120" s="6">
        <v>9.65</v>
      </c>
      <c r="D2120" s="6">
        <v>40</v>
      </c>
      <c r="E2120" s="8">
        <v>0</v>
      </c>
    </row>
    <row r="2121" spans="1:5" x14ac:dyDescent="0.2">
      <c r="A2121">
        <v>11072</v>
      </c>
      <c r="B2121">
        <v>50</v>
      </c>
      <c r="C2121" s="6">
        <v>16.25</v>
      </c>
      <c r="D2121" s="6">
        <v>22</v>
      </c>
      <c r="E2121" s="8">
        <v>0</v>
      </c>
    </row>
    <row r="2122" spans="1:5" x14ac:dyDescent="0.2">
      <c r="A2122">
        <v>11072</v>
      </c>
      <c r="B2122">
        <v>64</v>
      </c>
      <c r="C2122" s="6">
        <v>33.25</v>
      </c>
      <c r="D2122" s="6">
        <v>130</v>
      </c>
      <c r="E2122" s="8">
        <v>0</v>
      </c>
    </row>
    <row r="2123" spans="1:5" x14ac:dyDescent="0.2">
      <c r="A2123">
        <v>11073</v>
      </c>
      <c r="B2123">
        <v>11</v>
      </c>
      <c r="C2123" s="6">
        <v>21</v>
      </c>
      <c r="D2123" s="6">
        <v>10</v>
      </c>
      <c r="E2123" s="8">
        <v>0</v>
      </c>
    </row>
    <row r="2124" spans="1:5" x14ac:dyDescent="0.2">
      <c r="A2124">
        <v>11073</v>
      </c>
      <c r="B2124">
        <v>24</v>
      </c>
      <c r="C2124" s="6">
        <v>4.5</v>
      </c>
      <c r="D2124" s="6">
        <v>20</v>
      </c>
      <c r="E2124" s="8">
        <v>0</v>
      </c>
    </row>
    <row r="2125" spans="1:5" x14ac:dyDescent="0.2">
      <c r="A2125">
        <v>11074</v>
      </c>
      <c r="B2125">
        <v>16</v>
      </c>
      <c r="C2125" s="6">
        <v>17.45</v>
      </c>
      <c r="D2125" s="6">
        <v>14</v>
      </c>
      <c r="E2125" s="8">
        <v>0.05</v>
      </c>
    </row>
    <row r="2126" spans="1:5" x14ac:dyDescent="0.2">
      <c r="A2126">
        <v>11075</v>
      </c>
      <c r="B2126">
        <v>2</v>
      </c>
      <c r="C2126" s="6">
        <v>19</v>
      </c>
      <c r="D2126" s="6">
        <v>10</v>
      </c>
      <c r="E2126" s="8">
        <v>0.15</v>
      </c>
    </row>
    <row r="2127" spans="1:5" x14ac:dyDescent="0.2">
      <c r="A2127">
        <v>11075</v>
      </c>
      <c r="B2127">
        <v>46</v>
      </c>
      <c r="C2127" s="6">
        <v>12</v>
      </c>
      <c r="D2127" s="6">
        <v>30</v>
      </c>
      <c r="E2127" s="8">
        <v>0.15</v>
      </c>
    </row>
    <row r="2128" spans="1:5" x14ac:dyDescent="0.2">
      <c r="A2128">
        <v>11075</v>
      </c>
      <c r="B2128">
        <v>76</v>
      </c>
      <c r="C2128" s="6">
        <v>18</v>
      </c>
      <c r="D2128" s="6">
        <v>2</v>
      </c>
      <c r="E2128" s="8">
        <v>0.15</v>
      </c>
    </row>
    <row r="2129" spans="1:5" x14ac:dyDescent="0.2">
      <c r="A2129">
        <v>11076</v>
      </c>
      <c r="B2129">
        <v>6</v>
      </c>
      <c r="C2129" s="6">
        <v>25</v>
      </c>
      <c r="D2129" s="6">
        <v>20</v>
      </c>
      <c r="E2129" s="8">
        <v>0.25</v>
      </c>
    </row>
    <row r="2130" spans="1:5" x14ac:dyDescent="0.2">
      <c r="A2130">
        <v>11076</v>
      </c>
      <c r="B2130">
        <v>14</v>
      </c>
      <c r="C2130" s="6">
        <v>23.25</v>
      </c>
      <c r="D2130" s="6">
        <v>20</v>
      </c>
      <c r="E2130" s="8">
        <v>0.25</v>
      </c>
    </row>
    <row r="2131" spans="1:5" x14ac:dyDescent="0.2">
      <c r="A2131">
        <v>11076</v>
      </c>
      <c r="B2131">
        <v>19</v>
      </c>
      <c r="C2131" s="6">
        <v>9.1999999999999993</v>
      </c>
      <c r="D2131" s="6">
        <v>10</v>
      </c>
      <c r="E2131" s="8">
        <v>0.25</v>
      </c>
    </row>
    <row r="2132" spans="1:5" x14ac:dyDescent="0.2">
      <c r="A2132">
        <v>11077</v>
      </c>
      <c r="B2132">
        <v>2</v>
      </c>
      <c r="C2132" s="6">
        <v>19</v>
      </c>
      <c r="D2132" s="6">
        <v>24</v>
      </c>
      <c r="E2132" s="8">
        <v>0.2</v>
      </c>
    </row>
    <row r="2133" spans="1:5" x14ac:dyDescent="0.2">
      <c r="A2133">
        <v>11077</v>
      </c>
      <c r="B2133">
        <v>3</v>
      </c>
      <c r="C2133" s="6">
        <v>10</v>
      </c>
      <c r="D2133" s="6">
        <v>4</v>
      </c>
      <c r="E2133" s="8">
        <v>0</v>
      </c>
    </row>
    <row r="2134" spans="1:5" x14ac:dyDescent="0.2">
      <c r="A2134">
        <v>11077</v>
      </c>
      <c r="B2134">
        <v>4</v>
      </c>
      <c r="C2134" s="6">
        <v>22</v>
      </c>
      <c r="D2134" s="6">
        <v>1</v>
      </c>
      <c r="E2134" s="8">
        <v>0</v>
      </c>
    </row>
    <row r="2135" spans="1:5" x14ac:dyDescent="0.2">
      <c r="A2135">
        <v>11077</v>
      </c>
      <c r="B2135">
        <v>6</v>
      </c>
      <c r="C2135" s="6">
        <v>25</v>
      </c>
      <c r="D2135" s="6">
        <v>1</v>
      </c>
      <c r="E2135" s="8">
        <v>0.02</v>
      </c>
    </row>
    <row r="2136" spans="1:5" x14ac:dyDescent="0.2">
      <c r="A2136">
        <v>11077</v>
      </c>
      <c r="B2136">
        <v>7</v>
      </c>
      <c r="C2136" s="6">
        <v>30</v>
      </c>
      <c r="D2136" s="6">
        <v>1</v>
      </c>
      <c r="E2136" s="8">
        <v>0.05</v>
      </c>
    </row>
    <row r="2137" spans="1:5" x14ac:dyDescent="0.2">
      <c r="A2137">
        <v>11077</v>
      </c>
      <c r="B2137">
        <v>8</v>
      </c>
      <c r="C2137" s="6">
        <v>40</v>
      </c>
      <c r="D2137" s="6">
        <v>2</v>
      </c>
      <c r="E2137" s="8">
        <v>0.1</v>
      </c>
    </row>
    <row r="2138" spans="1:5" x14ac:dyDescent="0.2">
      <c r="A2138">
        <v>11077</v>
      </c>
      <c r="B2138">
        <v>10</v>
      </c>
      <c r="C2138" s="6">
        <v>31</v>
      </c>
      <c r="D2138" s="6">
        <v>1</v>
      </c>
      <c r="E2138" s="8">
        <v>0</v>
      </c>
    </row>
    <row r="2139" spans="1:5" x14ac:dyDescent="0.2">
      <c r="A2139">
        <v>11077</v>
      </c>
      <c r="B2139">
        <v>12</v>
      </c>
      <c r="C2139" s="6">
        <v>38</v>
      </c>
      <c r="D2139" s="6">
        <v>2</v>
      </c>
      <c r="E2139" s="8">
        <v>0.05</v>
      </c>
    </row>
    <row r="2140" spans="1:5" x14ac:dyDescent="0.2">
      <c r="A2140">
        <v>11077</v>
      </c>
      <c r="B2140">
        <v>13</v>
      </c>
      <c r="C2140" s="6">
        <v>6</v>
      </c>
      <c r="D2140" s="6">
        <v>4</v>
      </c>
      <c r="E2140" s="8">
        <v>0</v>
      </c>
    </row>
    <row r="2141" spans="1:5" x14ac:dyDescent="0.2">
      <c r="A2141">
        <v>11077</v>
      </c>
      <c r="B2141">
        <v>14</v>
      </c>
      <c r="C2141" s="6">
        <v>23.25</v>
      </c>
      <c r="D2141" s="6">
        <v>1</v>
      </c>
      <c r="E2141" s="8">
        <v>0.03</v>
      </c>
    </row>
    <row r="2142" spans="1:5" x14ac:dyDescent="0.2">
      <c r="A2142">
        <v>11077</v>
      </c>
      <c r="B2142">
        <v>16</v>
      </c>
      <c r="C2142" s="6">
        <v>17.45</v>
      </c>
      <c r="D2142" s="6">
        <v>2</v>
      </c>
      <c r="E2142" s="8">
        <v>0.03</v>
      </c>
    </row>
    <row r="2143" spans="1:5" x14ac:dyDescent="0.2">
      <c r="A2143">
        <v>11077</v>
      </c>
      <c r="B2143">
        <v>20</v>
      </c>
      <c r="C2143" s="6">
        <v>81</v>
      </c>
      <c r="D2143" s="6">
        <v>1</v>
      </c>
      <c r="E2143" s="8">
        <v>0.04</v>
      </c>
    </row>
    <row r="2144" spans="1:5" x14ac:dyDescent="0.2">
      <c r="A2144">
        <v>11077</v>
      </c>
      <c r="B2144">
        <v>23</v>
      </c>
      <c r="C2144" s="6">
        <v>9</v>
      </c>
      <c r="D2144" s="6">
        <v>2</v>
      </c>
      <c r="E2144" s="8">
        <v>0</v>
      </c>
    </row>
    <row r="2145" spans="1:5" x14ac:dyDescent="0.2">
      <c r="A2145">
        <v>11077</v>
      </c>
      <c r="B2145">
        <v>32</v>
      </c>
      <c r="C2145" s="6">
        <v>32</v>
      </c>
      <c r="D2145" s="6">
        <v>1</v>
      </c>
      <c r="E2145" s="8">
        <v>0</v>
      </c>
    </row>
    <row r="2146" spans="1:5" x14ac:dyDescent="0.2">
      <c r="A2146">
        <v>11077</v>
      </c>
      <c r="B2146">
        <v>39</v>
      </c>
      <c r="C2146" s="6">
        <v>18</v>
      </c>
      <c r="D2146" s="6">
        <v>2</v>
      </c>
      <c r="E2146" s="8">
        <v>0.05</v>
      </c>
    </row>
    <row r="2147" spans="1:5" x14ac:dyDescent="0.2">
      <c r="A2147">
        <v>11077</v>
      </c>
      <c r="B2147">
        <v>41</v>
      </c>
      <c r="C2147" s="6">
        <v>9.65</v>
      </c>
      <c r="D2147" s="6">
        <v>3</v>
      </c>
      <c r="E2147" s="8">
        <v>0</v>
      </c>
    </row>
    <row r="2148" spans="1:5" x14ac:dyDescent="0.2">
      <c r="A2148">
        <v>11077</v>
      </c>
      <c r="B2148">
        <v>46</v>
      </c>
      <c r="C2148" s="6">
        <v>12</v>
      </c>
      <c r="D2148" s="6">
        <v>3</v>
      </c>
      <c r="E2148" s="8">
        <v>0.02</v>
      </c>
    </row>
    <row r="2149" spans="1:5" x14ac:dyDescent="0.2">
      <c r="A2149">
        <v>11077</v>
      </c>
      <c r="B2149">
        <v>52</v>
      </c>
      <c r="C2149" s="6">
        <v>7</v>
      </c>
      <c r="D2149" s="6">
        <v>2</v>
      </c>
      <c r="E2149" s="8">
        <v>0</v>
      </c>
    </row>
    <row r="2150" spans="1:5" x14ac:dyDescent="0.2">
      <c r="A2150">
        <v>11077</v>
      </c>
      <c r="B2150">
        <v>55</v>
      </c>
      <c r="C2150" s="6">
        <v>24</v>
      </c>
      <c r="D2150" s="6">
        <v>2</v>
      </c>
      <c r="E2150" s="8">
        <v>0</v>
      </c>
    </row>
    <row r="2151" spans="1:5" x14ac:dyDescent="0.2">
      <c r="A2151">
        <v>11077</v>
      </c>
      <c r="B2151">
        <v>60</v>
      </c>
      <c r="C2151" s="6">
        <v>34</v>
      </c>
      <c r="D2151" s="6">
        <v>2</v>
      </c>
      <c r="E2151" s="8">
        <v>0.06</v>
      </c>
    </row>
    <row r="2152" spans="1:5" x14ac:dyDescent="0.2">
      <c r="A2152">
        <v>11077</v>
      </c>
      <c r="B2152">
        <v>64</v>
      </c>
      <c r="C2152" s="6">
        <v>33.25</v>
      </c>
      <c r="D2152" s="6">
        <v>2</v>
      </c>
      <c r="E2152" s="8">
        <v>0.03</v>
      </c>
    </row>
    <row r="2153" spans="1:5" x14ac:dyDescent="0.2">
      <c r="A2153">
        <v>11077</v>
      </c>
      <c r="B2153">
        <v>66</v>
      </c>
      <c r="C2153" s="6">
        <v>17</v>
      </c>
      <c r="D2153" s="6">
        <v>1</v>
      </c>
      <c r="E2153" s="8">
        <v>0</v>
      </c>
    </row>
    <row r="2154" spans="1:5" x14ac:dyDescent="0.2">
      <c r="A2154">
        <v>11077</v>
      </c>
      <c r="B2154">
        <v>73</v>
      </c>
      <c r="C2154" s="6">
        <v>15</v>
      </c>
      <c r="D2154" s="6">
        <v>2</v>
      </c>
      <c r="E2154" s="8">
        <v>0.01</v>
      </c>
    </row>
    <row r="2155" spans="1:5" x14ac:dyDescent="0.2">
      <c r="A2155">
        <v>11077</v>
      </c>
      <c r="B2155">
        <v>75</v>
      </c>
      <c r="C2155" s="6">
        <v>7.75</v>
      </c>
      <c r="D2155" s="6">
        <v>4</v>
      </c>
      <c r="E2155" s="8">
        <v>0</v>
      </c>
    </row>
    <row r="2156" spans="1:5" x14ac:dyDescent="0.2">
      <c r="A2156">
        <v>11077</v>
      </c>
      <c r="B2156">
        <v>77</v>
      </c>
      <c r="C2156" s="6">
        <v>13</v>
      </c>
      <c r="D2156" s="6">
        <v>2</v>
      </c>
      <c r="E2156" s="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899B5-5B0D-0B4D-BEDF-561E05346C23}">
  <dimension ref="A1:T92"/>
  <sheetViews>
    <sheetView topLeftCell="H1" workbookViewId="0">
      <selection activeCell="N1" sqref="N1:T1048576"/>
    </sheetView>
  </sheetViews>
  <sheetFormatPr baseColWidth="10" defaultRowHeight="16" x14ac:dyDescent="0.2"/>
  <cols>
    <col min="1" max="1" width="10.6640625" bestFit="1" customWidth="1"/>
    <col min="2" max="2" width="29.83203125" bestFit="1" customWidth="1"/>
    <col min="3" max="3" width="20.6640625" bestFit="1" customWidth="1"/>
    <col min="4" max="4" width="26.1640625" bestFit="1" customWidth="1"/>
    <col min="5" max="5" width="39" bestFit="1" customWidth="1"/>
    <col min="6" max="6" width="22.5" bestFit="1" customWidth="1"/>
    <col min="7" max="7" width="12.83203125" bestFit="1" customWidth="1"/>
    <col min="8" max="8" width="10.5" bestFit="1" customWidth="1"/>
    <col min="9" max="9" width="10.6640625" bestFit="1" customWidth="1"/>
    <col min="10" max="10" width="13.5" bestFit="1" customWidth="1"/>
    <col min="11" max="12" width="14.83203125" bestFit="1" customWidth="1"/>
    <col min="14" max="14" width="39" style="7" bestFit="1" customWidth="1"/>
    <col min="15" max="15" width="19.33203125" style="7" customWidth="1"/>
    <col min="16" max="16" width="12.83203125" style="7" bestFit="1" customWidth="1"/>
    <col min="17" max="17" width="10.5" style="7" bestFit="1" customWidth="1"/>
    <col min="18" max="18" width="10.6640625" style="7" bestFit="1" customWidth="1"/>
    <col min="19" max="20" width="14.83203125" style="7" bestFit="1" customWidth="1"/>
  </cols>
  <sheetData>
    <row r="1" spans="1:20" x14ac:dyDescent="0.2">
      <c r="A1" t="s">
        <v>1</v>
      </c>
      <c r="B1" t="s">
        <v>443</v>
      </c>
      <c r="C1" t="s">
        <v>444</v>
      </c>
      <c r="D1" t="s">
        <v>445</v>
      </c>
      <c r="E1" t="s">
        <v>446</v>
      </c>
      <c r="F1" t="s">
        <v>447</v>
      </c>
      <c r="G1" t="s">
        <v>448</v>
      </c>
      <c r="H1" t="s">
        <v>449</v>
      </c>
      <c r="I1" t="s">
        <v>450</v>
      </c>
      <c r="J1" t="s">
        <v>451</v>
      </c>
      <c r="K1" t="s">
        <v>452</v>
      </c>
      <c r="N1" s="7" t="str">
        <f>E1</f>
        <v>address</v>
      </c>
      <c r="O1" s="7" t="str">
        <f>F1</f>
        <v>city</v>
      </c>
      <c r="P1" s="7" t="str">
        <f t="shared" ref="P1:R1" si="0">G1</f>
        <v>region</v>
      </c>
      <c r="Q1" s="7" t="str">
        <f t="shared" si="0"/>
        <v>postalCode</v>
      </c>
      <c r="R1" s="7" t="str">
        <f t="shared" si="0"/>
        <v>country</v>
      </c>
      <c r="S1" s="7" t="str">
        <f>J1</f>
        <v>phone</v>
      </c>
      <c r="T1" s="7" t="str">
        <f>K1</f>
        <v>fax</v>
      </c>
    </row>
    <row r="2" spans="1:20" x14ac:dyDescent="0.2">
      <c r="A2" t="s">
        <v>401</v>
      </c>
      <c r="B2" t="s">
        <v>402</v>
      </c>
      <c r="C2" t="s">
        <v>453</v>
      </c>
      <c r="D2" t="s">
        <v>454</v>
      </c>
      <c r="E2" t="s">
        <v>403</v>
      </c>
      <c r="F2" t="s">
        <v>404</v>
      </c>
      <c r="G2" t="s">
        <v>18</v>
      </c>
      <c r="H2">
        <v>12209</v>
      </c>
      <c r="I2" t="s">
        <v>24</v>
      </c>
      <c r="J2" t="s">
        <v>455</v>
      </c>
      <c r="K2" t="s">
        <v>456</v>
      </c>
      <c r="N2" s="7" t="str">
        <f>IF(L2&lt;&gt;"",E2&amp;" "&amp;F2,E2)</f>
        <v>Obere Str. 57</v>
      </c>
      <c r="O2" s="7" t="str">
        <f>IF($L2&lt;&gt;"",G2,F2)</f>
        <v>Berlin</v>
      </c>
      <c r="P2" s="7" t="str">
        <f t="shared" ref="P2:T2" si="1">IF($L2&lt;&gt;"",H2,G2)</f>
        <v>NULL</v>
      </c>
      <c r="Q2" s="7">
        <f t="shared" si="1"/>
        <v>12209</v>
      </c>
      <c r="R2" s="7" t="str">
        <f t="shared" si="1"/>
        <v>Germany</v>
      </c>
      <c r="S2" s="7" t="str">
        <f t="shared" si="1"/>
        <v>030-0074321</v>
      </c>
      <c r="T2" s="7" t="str">
        <f t="shared" si="1"/>
        <v>030-0076545</v>
      </c>
    </row>
    <row r="3" spans="1:20" x14ac:dyDescent="0.2">
      <c r="A3" t="s">
        <v>203</v>
      </c>
      <c r="B3" t="s">
        <v>204</v>
      </c>
      <c r="C3" t="s">
        <v>457</v>
      </c>
      <c r="D3" t="s">
        <v>458</v>
      </c>
      <c r="E3" t="s">
        <v>205</v>
      </c>
      <c r="F3" t="s">
        <v>71</v>
      </c>
      <c r="G3" t="s">
        <v>18</v>
      </c>
      <c r="H3">
        <v>5021</v>
      </c>
      <c r="I3" t="s">
        <v>72</v>
      </c>
      <c r="J3" t="s">
        <v>459</v>
      </c>
      <c r="K3" t="s">
        <v>460</v>
      </c>
      <c r="N3" s="7" t="str">
        <f t="shared" ref="N3:N66" si="2">IF(L3&lt;&gt;"",E3&amp;" "&amp;F3,E3)</f>
        <v>Avda. de la Constitución 2222</v>
      </c>
      <c r="O3" s="7" t="str">
        <f t="shared" ref="O3:O66" si="3">IF($L3&lt;&gt;"",G3,F3)</f>
        <v>México D.F.</v>
      </c>
      <c r="P3" s="7" t="str">
        <f t="shared" ref="P3:P66" si="4">IF($L3&lt;&gt;"",H3,G3)</f>
        <v>NULL</v>
      </c>
      <c r="Q3" s="7">
        <f t="shared" ref="Q3:Q66" si="5">IF($L3&lt;&gt;"",I3,H3)</f>
        <v>5021</v>
      </c>
      <c r="R3" s="7" t="str">
        <f t="shared" ref="R3:R66" si="6">IF($L3&lt;&gt;"",J3,I3)</f>
        <v>Mexico</v>
      </c>
      <c r="S3" s="7" t="str">
        <f t="shared" ref="S3:S66" si="7">IF($L3&lt;&gt;"",K3,J3)</f>
        <v>(5) 555-4729</v>
      </c>
      <c r="T3" s="7" t="str">
        <f t="shared" ref="T3:T66" si="8">IF($L3&lt;&gt;"",L3,K3)</f>
        <v>(5) 555-3745</v>
      </c>
    </row>
    <row r="4" spans="1:20" x14ac:dyDescent="0.2">
      <c r="A4" t="s">
        <v>288</v>
      </c>
      <c r="B4" t="s">
        <v>289</v>
      </c>
      <c r="C4" t="s">
        <v>461</v>
      </c>
      <c r="D4" t="s">
        <v>458</v>
      </c>
      <c r="E4" t="s">
        <v>290</v>
      </c>
      <c r="F4" t="s">
        <v>71</v>
      </c>
      <c r="G4" t="s">
        <v>18</v>
      </c>
      <c r="H4">
        <v>5023</v>
      </c>
      <c r="I4" t="s">
        <v>72</v>
      </c>
      <c r="J4" t="s">
        <v>462</v>
      </c>
      <c r="K4" t="s">
        <v>18</v>
      </c>
      <c r="N4" s="7" t="str">
        <f t="shared" si="2"/>
        <v>Mataderos  2312</v>
      </c>
      <c r="O4" s="7" t="str">
        <f t="shared" si="3"/>
        <v>México D.F.</v>
      </c>
      <c r="P4" s="7" t="str">
        <f t="shared" si="4"/>
        <v>NULL</v>
      </c>
      <c r="Q4" s="7">
        <f t="shared" si="5"/>
        <v>5023</v>
      </c>
      <c r="R4" s="7" t="str">
        <f t="shared" si="6"/>
        <v>Mexico</v>
      </c>
      <c r="S4" s="7" t="str">
        <f t="shared" si="7"/>
        <v>(5) 555-3932</v>
      </c>
      <c r="T4" s="7" t="str">
        <f t="shared" si="8"/>
        <v>NULL</v>
      </c>
    </row>
    <row r="5" spans="1:20" x14ac:dyDescent="0.2">
      <c r="A5" t="s">
        <v>270</v>
      </c>
      <c r="B5" t="s">
        <v>271</v>
      </c>
      <c r="C5" t="s">
        <v>463</v>
      </c>
      <c r="D5" t="s">
        <v>454</v>
      </c>
      <c r="E5" t="s">
        <v>464</v>
      </c>
      <c r="F5" t="s">
        <v>167</v>
      </c>
      <c r="G5" t="s">
        <v>18</v>
      </c>
      <c r="H5" t="s">
        <v>465</v>
      </c>
      <c r="I5" t="s">
        <v>169</v>
      </c>
      <c r="J5" t="s">
        <v>466</v>
      </c>
      <c r="K5" t="s">
        <v>467</v>
      </c>
      <c r="N5" s="7" t="str">
        <f t="shared" si="2"/>
        <v>120 Hanover Sq.</v>
      </c>
      <c r="O5" s="7" t="str">
        <f t="shared" si="3"/>
        <v>London</v>
      </c>
      <c r="P5" s="7" t="str">
        <f t="shared" si="4"/>
        <v>NULL</v>
      </c>
      <c r="Q5" s="7" t="str">
        <f t="shared" si="5"/>
        <v>WA1 1DP</v>
      </c>
      <c r="R5" s="7" t="str">
        <f t="shared" si="6"/>
        <v>UK</v>
      </c>
      <c r="S5" s="7" t="str">
        <f t="shared" si="7"/>
        <v>(171) 555-7788</v>
      </c>
      <c r="T5" s="7" t="str">
        <f t="shared" si="8"/>
        <v>(171) 555-6750</v>
      </c>
    </row>
    <row r="6" spans="1:20" x14ac:dyDescent="0.2">
      <c r="A6" t="s">
        <v>137</v>
      </c>
      <c r="B6" t="s">
        <v>138</v>
      </c>
      <c r="C6" t="s">
        <v>468</v>
      </c>
      <c r="D6" t="s">
        <v>469</v>
      </c>
      <c r="E6" t="s">
        <v>139</v>
      </c>
      <c r="F6" t="s">
        <v>140</v>
      </c>
      <c r="G6" t="s">
        <v>18</v>
      </c>
      <c r="H6" t="s">
        <v>141</v>
      </c>
      <c r="I6" t="s">
        <v>92</v>
      </c>
      <c r="J6" t="s">
        <v>470</v>
      </c>
      <c r="K6" t="s">
        <v>471</v>
      </c>
      <c r="N6" s="7" t="str">
        <f t="shared" si="2"/>
        <v>Berguvsvägen  8</v>
      </c>
      <c r="O6" s="7" t="str">
        <f t="shared" si="3"/>
        <v>Luleå</v>
      </c>
      <c r="P6" s="7" t="str">
        <f t="shared" si="4"/>
        <v>NULL</v>
      </c>
      <c r="Q6" s="7" t="str">
        <f t="shared" si="5"/>
        <v>S-958 22</v>
      </c>
      <c r="R6" s="7" t="str">
        <f t="shared" si="6"/>
        <v>Sweden</v>
      </c>
      <c r="S6" s="7" t="str">
        <f t="shared" si="7"/>
        <v>0921-12 34 65</v>
      </c>
      <c r="T6" s="7" t="str">
        <f t="shared" si="8"/>
        <v>0921-12 34 67</v>
      </c>
    </row>
    <row r="7" spans="1:20" x14ac:dyDescent="0.2">
      <c r="A7" t="s">
        <v>363</v>
      </c>
      <c r="B7" t="s">
        <v>364</v>
      </c>
      <c r="C7" t="s">
        <v>472</v>
      </c>
      <c r="D7" t="s">
        <v>454</v>
      </c>
      <c r="E7" t="s">
        <v>365</v>
      </c>
      <c r="F7" t="s">
        <v>366</v>
      </c>
      <c r="G7" t="s">
        <v>18</v>
      </c>
      <c r="H7">
        <v>68306</v>
      </c>
      <c r="I7" t="s">
        <v>24</v>
      </c>
      <c r="J7" t="s">
        <v>473</v>
      </c>
      <c r="K7" t="s">
        <v>474</v>
      </c>
      <c r="N7" s="7" t="str">
        <f t="shared" si="2"/>
        <v>Forsterstr. 57</v>
      </c>
      <c r="O7" s="7" t="str">
        <f t="shared" si="3"/>
        <v>Mannheim</v>
      </c>
      <c r="P7" s="7" t="str">
        <f t="shared" si="4"/>
        <v>NULL</v>
      </c>
      <c r="Q7" s="7">
        <f t="shared" si="5"/>
        <v>68306</v>
      </c>
      <c r="R7" s="7" t="str">
        <f t="shared" si="6"/>
        <v>Germany</v>
      </c>
      <c r="S7" s="7" t="str">
        <f t="shared" si="7"/>
        <v>0621-08460</v>
      </c>
      <c r="T7" s="7" t="str">
        <f t="shared" si="8"/>
        <v>0621-08924</v>
      </c>
    </row>
    <row r="8" spans="1:20" x14ac:dyDescent="0.2">
      <c r="A8" t="s">
        <v>93</v>
      </c>
      <c r="B8" t="s">
        <v>475</v>
      </c>
      <c r="C8" t="s">
        <v>476</v>
      </c>
      <c r="D8" t="s">
        <v>477</v>
      </c>
      <c r="E8">
        <v>24</v>
      </c>
      <c r="F8" t="s">
        <v>95</v>
      </c>
      <c r="G8" t="s">
        <v>96</v>
      </c>
      <c r="H8" t="s">
        <v>18</v>
      </c>
      <c r="I8">
        <v>67000</v>
      </c>
      <c r="J8" t="s">
        <v>19</v>
      </c>
      <c r="K8" t="s">
        <v>478</v>
      </c>
      <c r="L8" t="s">
        <v>479</v>
      </c>
      <c r="N8" s="7" t="str">
        <f t="shared" si="2"/>
        <v>24  place Kléber</v>
      </c>
      <c r="O8" s="7" t="str">
        <f t="shared" si="3"/>
        <v>Strasbourg</v>
      </c>
      <c r="P8" s="7" t="str">
        <f t="shared" si="4"/>
        <v>NULL</v>
      </c>
      <c r="Q8" s="7">
        <f t="shared" si="5"/>
        <v>67000</v>
      </c>
      <c r="R8" s="7" t="str">
        <f t="shared" si="6"/>
        <v>France</v>
      </c>
      <c r="S8" s="7" t="str">
        <f t="shared" si="7"/>
        <v>88.60.15.31</v>
      </c>
      <c r="T8" s="7" t="str">
        <f t="shared" si="8"/>
        <v>88.60.15.32</v>
      </c>
    </row>
    <row r="9" spans="1:20" x14ac:dyDescent="0.2">
      <c r="A9" t="s">
        <v>231</v>
      </c>
      <c r="B9" t="s">
        <v>232</v>
      </c>
      <c r="C9" t="s">
        <v>480</v>
      </c>
      <c r="D9" t="s">
        <v>458</v>
      </c>
      <c r="E9" t="s">
        <v>233</v>
      </c>
      <c r="F9">
        <v>67</v>
      </c>
      <c r="G9" t="s">
        <v>149</v>
      </c>
      <c r="H9" t="s">
        <v>18</v>
      </c>
      <c r="I9">
        <v>28023</v>
      </c>
      <c r="J9" t="s">
        <v>150</v>
      </c>
      <c r="K9" t="s">
        <v>481</v>
      </c>
      <c r="L9" t="s">
        <v>482</v>
      </c>
      <c r="N9" s="7" t="str">
        <f t="shared" si="2"/>
        <v>C/ Araquil 67</v>
      </c>
      <c r="O9" s="7" t="str">
        <f t="shared" si="3"/>
        <v>Madrid</v>
      </c>
      <c r="P9" s="7" t="str">
        <f t="shared" si="4"/>
        <v>NULL</v>
      </c>
      <c r="Q9" s="7">
        <f t="shared" si="5"/>
        <v>28023</v>
      </c>
      <c r="R9" s="7" t="str">
        <f t="shared" si="6"/>
        <v>Spain</v>
      </c>
      <c r="S9" s="7" t="str">
        <f t="shared" si="7"/>
        <v>(91) 555 22 82</v>
      </c>
      <c r="T9" s="7" t="str">
        <f t="shared" si="8"/>
        <v>(91) 555 91 99</v>
      </c>
    </row>
    <row r="10" spans="1:20" x14ac:dyDescent="0.2">
      <c r="A10" t="s">
        <v>239</v>
      </c>
      <c r="B10" t="s">
        <v>240</v>
      </c>
      <c r="C10" t="s">
        <v>483</v>
      </c>
      <c r="D10" t="s">
        <v>458</v>
      </c>
      <c r="E10">
        <v>12</v>
      </c>
      <c r="F10" t="s">
        <v>241</v>
      </c>
      <c r="G10" t="s">
        <v>242</v>
      </c>
      <c r="H10" t="s">
        <v>18</v>
      </c>
      <c r="I10">
        <v>13008</v>
      </c>
      <c r="J10" t="s">
        <v>19</v>
      </c>
      <c r="K10" t="s">
        <v>484</v>
      </c>
      <c r="L10" t="s">
        <v>485</v>
      </c>
      <c r="N10" s="7" t="str">
        <f t="shared" si="2"/>
        <v>12  rue des Bouchers</v>
      </c>
      <c r="O10" s="7" t="str">
        <f t="shared" si="3"/>
        <v>Marseille</v>
      </c>
      <c r="P10" s="7" t="str">
        <f t="shared" si="4"/>
        <v>NULL</v>
      </c>
      <c r="Q10" s="7">
        <f t="shared" si="5"/>
        <v>13008</v>
      </c>
      <c r="R10" s="7" t="str">
        <f t="shared" si="6"/>
        <v>France</v>
      </c>
      <c r="S10" s="7" t="str">
        <f t="shared" si="7"/>
        <v>91.24.45.40</v>
      </c>
      <c r="T10" s="7" t="str">
        <f t="shared" si="8"/>
        <v>91.24.45.41</v>
      </c>
    </row>
    <row r="11" spans="1:20" x14ac:dyDescent="0.2">
      <c r="A11" t="s">
        <v>318</v>
      </c>
      <c r="B11" t="s">
        <v>319</v>
      </c>
      <c r="C11" t="s">
        <v>486</v>
      </c>
      <c r="D11" t="s">
        <v>487</v>
      </c>
      <c r="E11" t="s">
        <v>320</v>
      </c>
      <c r="F11" t="s">
        <v>321</v>
      </c>
      <c r="G11" t="s">
        <v>322</v>
      </c>
      <c r="H11" t="s">
        <v>323</v>
      </c>
      <c r="I11" t="s">
        <v>249</v>
      </c>
      <c r="J11" t="s">
        <v>488</v>
      </c>
      <c r="K11" t="s">
        <v>489</v>
      </c>
      <c r="N11" s="7" t="str">
        <f t="shared" si="2"/>
        <v>23 Tsawassen Blvd.</v>
      </c>
      <c r="O11" s="7" t="str">
        <f t="shared" si="3"/>
        <v>Tsawassen</v>
      </c>
      <c r="P11" s="7" t="str">
        <f t="shared" si="4"/>
        <v>BC</v>
      </c>
      <c r="Q11" s="7" t="str">
        <f t="shared" si="5"/>
        <v>T2F 8M4</v>
      </c>
      <c r="R11" s="7" t="str">
        <f t="shared" si="6"/>
        <v>Canada</v>
      </c>
      <c r="S11" s="7" t="str">
        <f t="shared" si="7"/>
        <v>(604) 555-4729</v>
      </c>
      <c r="T11" s="7" t="str">
        <f t="shared" si="8"/>
        <v>(604) 555-3745</v>
      </c>
    </row>
    <row r="12" spans="1:20" x14ac:dyDescent="0.2">
      <c r="A12" t="s">
        <v>164</v>
      </c>
      <c r="B12" t="s">
        <v>165</v>
      </c>
      <c r="C12" t="s">
        <v>490</v>
      </c>
      <c r="D12" t="s">
        <v>454</v>
      </c>
      <c r="E12" t="s">
        <v>166</v>
      </c>
      <c r="F12" t="s">
        <v>167</v>
      </c>
      <c r="G12" t="s">
        <v>18</v>
      </c>
      <c r="H12" t="s">
        <v>168</v>
      </c>
      <c r="I12" t="s">
        <v>169</v>
      </c>
      <c r="J12" t="s">
        <v>491</v>
      </c>
      <c r="K12" t="s">
        <v>18</v>
      </c>
      <c r="N12" s="7" t="str">
        <f t="shared" si="2"/>
        <v>Fauntleroy Circus</v>
      </c>
      <c r="O12" s="7" t="str">
        <f t="shared" si="3"/>
        <v>London</v>
      </c>
      <c r="P12" s="7" t="str">
        <f t="shared" si="4"/>
        <v>NULL</v>
      </c>
      <c r="Q12" s="7" t="str">
        <f t="shared" si="5"/>
        <v>EC2 5NT</v>
      </c>
      <c r="R12" s="7" t="str">
        <f t="shared" si="6"/>
        <v>UK</v>
      </c>
      <c r="S12" s="7" t="str">
        <f t="shared" si="7"/>
        <v>(171) 555-1212</v>
      </c>
      <c r="T12" s="7" t="str">
        <f t="shared" si="8"/>
        <v>NULL</v>
      </c>
    </row>
    <row r="13" spans="1:20" x14ac:dyDescent="0.2">
      <c r="A13" t="s">
        <v>371</v>
      </c>
      <c r="B13" t="s">
        <v>372</v>
      </c>
      <c r="C13" t="s">
        <v>492</v>
      </c>
      <c r="D13" t="s">
        <v>493</v>
      </c>
      <c r="E13" t="s">
        <v>373</v>
      </c>
      <c r="F13" t="s">
        <v>336</v>
      </c>
      <c r="G13" t="s">
        <v>18</v>
      </c>
      <c r="H13">
        <v>1010</v>
      </c>
      <c r="I13" t="s">
        <v>337</v>
      </c>
      <c r="J13" t="s">
        <v>494</v>
      </c>
      <c r="K13" t="s">
        <v>495</v>
      </c>
      <c r="N13" s="7" t="str">
        <f t="shared" si="2"/>
        <v>Cerrito 333</v>
      </c>
      <c r="O13" s="7" t="str">
        <f t="shared" si="3"/>
        <v>Buenos Aires</v>
      </c>
      <c r="P13" s="7" t="str">
        <f t="shared" si="4"/>
        <v>NULL</v>
      </c>
      <c r="Q13" s="7">
        <f t="shared" si="5"/>
        <v>1010</v>
      </c>
      <c r="R13" s="7" t="str">
        <f t="shared" si="6"/>
        <v>Argentina</v>
      </c>
      <c r="S13" s="7" t="str">
        <f t="shared" si="7"/>
        <v>(1) 135-5555</v>
      </c>
      <c r="T13" s="7" t="str">
        <f t="shared" si="8"/>
        <v>(1) 135-4892</v>
      </c>
    </row>
    <row r="14" spans="1:20" x14ac:dyDescent="0.2">
      <c r="A14" t="s">
        <v>68</v>
      </c>
      <c r="B14" t="s">
        <v>69</v>
      </c>
      <c r="C14" t="s">
        <v>496</v>
      </c>
      <c r="D14" t="s">
        <v>477</v>
      </c>
      <c r="E14" t="s">
        <v>70</v>
      </c>
      <c r="F14" t="s">
        <v>71</v>
      </c>
      <c r="G14" t="s">
        <v>18</v>
      </c>
      <c r="H14">
        <v>5022</v>
      </c>
      <c r="I14" t="s">
        <v>72</v>
      </c>
      <c r="J14" t="s">
        <v>497</v>
      </c>
      <c r="K14" t="s">
        <v>498</v>
      </c>
      <c r="N14" s="7" t="str">
        <f t="shared" si="2"/>
        <v>Sierras de Granada 9993</v>
      </c>
      <c r="O14" s="7" t="str">
        <f t="shared" si="3"/>
        <v>México D.F.</v>
      </c>
      <c r="P14" s="7" t="str">
        <f t="shared" si="4"/>
        <v>NULL</v>
      </c>
      <c r="Q14" s="7">
        <f t="shared" si="5"/>
        <v>5022</v>
      </c>
      <c r="R14" s="7" t="str">
        <f t="shared" si="6"/>
        <v>Mexico</v>
      </c>
      <c r="S14" s="7" t="str">
        <f t="shared" si="7"/>
        <v>(5) 555-3392</v>
      </c>
      <c r="T14" s="7" t="str">
        <f t="shared" si="8"/>
        <v>(5) 555-7293</v>
      </c>
    </row>
    <row r="15" spans="1:20" x14ac:dyDescent="0.2">
      <c r="A15" t="s">
        <v>42</v>
      </c>
      <c r="B15" t="s">
        <v>43</v>
      </c>
      <c r="C15" t="s">
        <v>499</v>
      </c>
      <c r="D15" t="s">
        <v>458</v>
      </c>
      <c r="E15" t="s">
        <v>500</v>
      </c>
      <c r="F15" t="s">
        <v>45</v>
      </c>
      <c r="G15" t="s">
        <v>18</v>
      </c>
      <c r="H15">
        <v>3012</v>
      </c>
      <c r="I15" t="s">
        <v>46</v>
      </c>
      <c r="J15" t="s">
        <v>501</v>
      </c>
      <c r="K15" t="s">
        <v>18</v>
      </c>
      <c r="N15" s="7" t="str">
        <f t="shared" si="2"/>
        <v>Hauptstr. 29</v>
      </c>
      <c r="O15" s="7" t="str">
        <f t="shared" si="3"/>
        <v>Bern</v>
      </c>
      <c r="P15" s="7" t="str">
        <f t="shared" si="4"/>
        <v>NULL</v>
      </c>
      <c r="Q15" s="7">
        <f t="shared" si="5"/>
        <v>3012</v>
      </c>
      <c r="R15" s="7" t="str">
        <f t="shared" si="6"/>
        <v>Switzerland</v>
      </c>
      <c r="S15" s="7" t="str">
        <f t="shared" si="7"/>
        <v>0452-076545</v>
      </c>
      <c r="T15" s="7" t="str">
        <f t="shared" si="8"/>
        <v>NULL</v>
      </c>
    </row>
    <row r="16" spans="1:20" x14ac:dyDescent="0.2">
      <c r="A16" t="s">
        <v>170</v>
      </c>
      <c r="B16" t="s">
        <v>171</v>
      </c>
      <c r="C16" t="s">
        <v>502</v>
      </c>
      <c r="D16" t="s">
        <v>503</v>
      </c>
      <c r="E16" t="s">
        <v>172</v>
      </c>
      <c r="F16">
        <v>23</v>
      </c>
      <c r="G16" t="s">
        <v>173</v>
      </c>
      <c r="H16" t="s">
        <v>55</v>
      </c>
      <c r="I16" t="s">
        <v>174</v>
      </c>
      <c r="J16" t="s">
        <v>31</v>
      </c>
      <c r="K16" t="s">
        <v>504</v>
      </c>
      <c r="L16" t="s">
        <v>18</v>
      </c>
      <c r="N16" s="7" t="str">
        <f t="shared" si="2"/>
        <v>Av. dos Lusíadas 23</v>
      </c>
      <c r="O16" s="7" t="str">
        <f t="shared" si="3"/>
        <v>Sao Paulo</v>
      </c>
      <c r="P16" s="7" t="str">
        <f t="shared" si="4"/>
        <v>SP</v>
      </c>
      <c r="Q16" s="7" t="str">
        <f t="shared" si="5"/>
        <v>05432-043</v>
      </c>
      <c r="R16" s="7" t="str">
        <f t="shared" si="6"/>
        <v>Brazil</v>
      </c>
      <c r="S16" s="7" t="str">
        <f t="shared" si="7"/>
        <v>(11) 555-7647</v>
      </c>
      <c r="T16" s="7" t="str">
        <f t="shared" si="8"/>
        <v>NULL</v>
      </c>
    </row>
    <row r="17" spans="1:20" x14ac:dyDescent="0.2">
      <c r="A17" t="s">
        <v>347</v>
      </c>
      <c r="B17" t="s">
        <v>348</v>
      </c>
      <c r="C17" t="s">
        <v>505</v>
      </c>
      <c r="D17" t="s">
        <v>454</v>
      </c>
      <c r="E17" t="s">
        <v>349</v>
      </c>
      <c r="F17" t="s">
        <v>167</v>
      </c>
      <c r="G17" t="s">
        <v>18</v>
      </c>
      <c r="H17" t="s">
        <v>350</v>
      </c>
      <c r="I17" t="s">
        <v>169</v>
      </c>
      <c r="J17" t="s">
        <v>506</v>
      </c>
      <c r="K17" t="s">
        <v>507</v>
      </c>
      <c r="N17" s="7" t="str">
        <f t="shared" si="2"/>
        <v>Berkeley Gardens 12  Brewery</v>
      </c>
      <c r="O17" s="7" t="str">
        <f t="shared" si="3"/>
        <v>London</v>
      </c>
      <c r="P17" s="7" t="str">
        <f t="shared" si="4"/>
        <v>NULL</v>
      </c>
      <c r="Q17" s="7" t="str">
        <f t="shared" si="5"/>
        <v>WX1 6LT</v>
      </c>
      <c r="R17" s="7" t="str">
        <f t="shared" si="6"/>
        <v>UK</v>
      </c>
      <c r="S17" s="7" t="str">
        <f t="shared" si="7"/>
        <v>(171) 555-2282</v>
      </c>
      <c r="T17" s="7" t="str">
        <f t="shared" si="8"/>
        <v>(171) 555-9199</v>
      </c>
    </row>
    <row r="18" spans="1:20" x14ac:dyDescent="0.2">
      <c r="A18" t="s">
        <v>280</v>
      </c>
      <c r="B18" t="s">
        <v>281</v>
      </c>
      <c r="C18" t="s">
        <v>508</v>
      </c>
      <c r="D18" t="s">
        <v>469</v>
      </c>
      <c r="E18" t="s">
        <v>282</v>
      </c>
      <c r="F18" t="s">
        <v>283</v>
      </c>
      <c r="G18" t="s">
        <v>18</v>
      </c>
      <c r="H18">
        <v>52066</v>
      </c>
      <c r="I18" t="s">
        <v>24</v>
      </c>
      <c r="J18" t="s">
        <v>509</v>
      </c>
      <c r="K18" t="s">
        <v>510</v>
      </c>
      <c r="N18" s="7" t="str">
        <f t="shared" si="2"/>
        <v>Walserweg 21</v>
      </c>
      <c r="O18" s="7" t="str">
        <f t="shared" si="3"/>
        <v>Aachen</v>
      </c>
      <c r="P18" s="7" t="str">
        <f t="shared" si="4"/>
        <v>NULL</v>
      </c>
      <c r="Q18" s="7">
        <f t="shared" si="5"/>
        <v>52066</v>
      </c>
      <c r="R18" s="7" t="str">
        <f t="shared" si="6"/>
        <v>Germany</v>
      </c>
      <c r="S18" s="7" t="str">
        <f t="shared" si="7"/>
        <v>0241-039123</v>
      </c>
      <c r="T18" s="7" t="str">
        <f t="shared" si="8"/>
        <v>0241-059428</v>
      </c>
    </row>
    <row r="19" spans="1:20" x14ac:dyDescent="0.2">
      <c r="A19" t="s">
        <v>209</v>
      </c>
      <c r="B19" t="s">
        <v>210</v>
      </c>
      <c r="C19" t="s">
        <v>511</v>
      </c>
      <c r="D19" t="s">
        <v>458</v>
      </c>
      <c r="E19">
        <v>67</v>
      </c>
      <c r="F19" t="s">
        <v>211</v>
      </c>
      <c r="G19" t="s">
        <v>212</v>
      </c>
      <c r="H19" t="s">
        <v>18</v>
      </c>
      <c r="I19">
        <v>44000</v>
      </c>
      <c r="J19" t="s">
        <v>19</v>
      </c>
      <c r="K19" t="s">
        <v>512</v>
      </c>
      <c r="L19" t="s">
        <v>513</v>
      </c>
      <c r="N19" s="7" t="str">
        <f t="shared" si="2"/>
        <v>67  rue des Cinquante Otages</v>
      </c>
      <c r="O19" s="7" t="str">
        <f t="shared" si="3"/>
        <v>Nantes</v>
      </c>
      <c r="P19" s="7" t="str">
        <f t="shared" si="4"/>
        <v>NULL</v>
      </c>
      <c r="Q19" s="7">
        <f t="shared" si="5"/>
        <v>44000</v>
      </c>
      <c r="R19" s="7" t="str">
        <f t="shared" si="6"/>
        <v>France</v>
      </c>
      <c r="S19" s="7" t="str">
        <f t="shared" si="7"/>
        <v>40.67.88.88</v>
      </c>
      <c r="T19" s="7" t="str">
        <f t="shared" si="8"/>
        <v>40.67.89.89</v>
      </c>
    </row>
    <row r="20" spans="1:20" x14ac:dyDescent="0.2">
      <c r="A20" t="s">
        <v>284</v>
      </c>
      <c r="B20" t="s">
        <v>285</v>
      </c>
      <c r="C20" t="s">
        <v>514</v>
      </c>
      <c r="D20" t="s">
        <v>493</v>
      </c>
      <c r="E20" t="s">
        <v>286</v>
      </c>
      <c r="F20" t="s">
        <v>167</v>
      </c>
      <c r="G20" t="s">
        <v>18</v>
      </c>
      <c r="H20" t="s">
        <v>287</v>
      </c>
      <c r="I20" t="s">
        <v>169</v>
      </c>
      <c r="J20" t="s">
        <v>515</v>
      </c>
      <c r="K20" t="s">
        <v>516</v>
      </c>
      <c r="N20" s="7" t="str">
        <f t="shared" si="2"/>
        <v>35 King George</v>
      </c>
      <c r="O20" s="7" t="str">
        <f t="shared" si="3"/>
        <v>London</v>
      </c>
      <c r="P20" s="7" t="str">
        <f t="shared" si="4"/>
        <v>NULL</v>
      </c>
      <c r="Q20" s="7" t="str">
        <f t="shared" si="5"/>
        <v>WX3 6FW</v>
      </c>
      <c r="R20" s="7" t="str">
        <f t="shared" si="6"/>
        <v>UK</v>
      </c>
      <c r="S20" s="7" t="str">
        <f t="shared" si="7"/>
        <v>(171) 555-0297</v>
      </c>
      <c r="T20" s="7" t="str">
        <f t="shared" si="8"/>
        <v>(171) 555-3373</v>
      </c>
    </row>
    <row r="21" spans="1:20" x14ac:dyDescent="0.2">
      <c r="A21" t="s">
        <v>63</v>
      </c>
      <c r="B21" t="s">
        <v>64</v>
      </c>
      <c r="C21" t="s">
        <v>517</v>
      </c>
      <c r="D21" t="s">
        <v>518</v>
      </c>
      <c r="E21" t="s">
        <v>65</v>
      </c>
      <c r="F21" t="s">
        <v>66</v>
      </c>
      <c r="G21" t="s">
        <v>18</v>
      </c>
      <c r="H21">
        <v>8010</v>
      </c>
      <c r="I21" t="s">
        <v>67</v>
      </c>
      <c r="J21" t="s">
        <v>519</v>
      </c>
      <c r="K21" t="s">
        <v>520</v>
      </c>
      <c r="N21" s="7" t="str">
        <f t="shared" si="2"/>
        <v>Kirchgasse 6</v>
      </c>
      <c r="O21" s="7" t="str">
        <f t="shared" si="3"/>
        <v>Graz</v>
      </c>
      <c r="P21" s="7" t="str">
        <f t="shared" si="4"/>
        <v>NULL</v>
      </c>
      <c r="Q21" s="7">
        <f t="shared" si="5"/>
        <v>8010</v>
      </c>
      <c r="R21" s="7" t="str">
        <f t="shared" si="6"/>
        <v>Austria</v>
      </c>
      <c r="S21" s="7" t="str">
        <f t="shared" si="7"/>
        <v>7675-3425</v>
      </c>
      <c r="T21" s="7" t="str">
        <f t="shared" si="8"/>
        <v>7675-3426</v>
      </c>
    </row>
    <row r="22" spans="1:20" x14ac:dyDescent="0.2">
      <c r="A22" t="s">
        <v>258</v>
      </c>
      <c r="B22" t="s">
        <v>259</v>
      </c>
      <c r="C22" t="s">
        <v>521</v>
      </c>
      <c r="D22" t="s">
        <v>522</v>
      </c>
      <c r="E22" t="s">
        <v>260</v>
      </c>
      <c r="F22">
        <v>92</v>
      </c>
      <c r="G22" t="s">
        <v>173</v>
      </c>
      <c r="H22" t="s">
        <v>55</v>
      </c>
      <c r="I22" t="s">
        <v>261</v>
      </c>
      <c r="J22" t="s">
        <v>31</v>
      </c>
      <c r="K22" t="s">
        <v>523</v>
      </c>
      <c r="L22" t="s">
        <v>18</v>
      </c>
      <c r="N22" s="7" t="str">
        <f t="shared" si="2"/>
        <v>Rua Orós 92</v>
      </c>
      <c r="O22" s="7" t="str">
        <f t="shared" si="3"/>
        <v>Sao Paulo</v>
      </c>
      <c r="P22" s="7" t="str">
        <f t="shared" si="4"/>
        <v>SP</v>
      </c>
      <c r="Q22" s="7" t="str">
        <f t="shared" si="5"/>
        <v>05442-030</v>
      </c>
      <c r="R22" s="7" t="str">
        <f t="shared" si="6"/>
        <v>Brazil</v>
      </c>
      <c r="S22" s="7" t="str">
        <f t="shared" si="7"/>
        <v>(11) 555-9857</v>
      </c>
      <c r="T22" s="7" t="str">
        <f t="shared" si="8"/>
        <v>NULL</v>
      </c>
    </row>
    <row r="23" spans="1:20" x14ac:dyDescent="0.2">
      <c r="A23" t="s">
        <v>524</v>
      </c>
      <c r="B23" t="s">
        <v>525</v>
      </c>
      <c r="C23" t="s">
        <v>526</v>
      </c>
      <c r="D23" t="s">
        <v>487</v>
      </c>
      <c r="E23" t="s">
        <v>527</v>
      </c>
      <c r="F23">
        <v>86</v>
      </c>
      <c r="G23" t="s">
        <v>149</v>
      </c>
      <c r="H23" t="s">
        <v>18</v>
      </c>
      <c r="I23">
        <v>28034</v>
      </c>
      <c r="J23" t="s">
        <v>150</v>
      </c>
      <c r="K23" t="s">
        <v>528</v>
      </c>
      <c r="L23" t="s">
        <v>529</v>
      </c>
      <c r="N23" s="7" t="str">
        <f t="shared" si="2"/>
        <v>C/ Moralzarzal 86</v>
      </c>
      <c r="O23" s="7" t="str">
        <f t="shared" si="3"/>
        <v>Madrid</v>
      </c>
      <c r="P23" s="7" t="str">
        <f t="shared" si="4"/>
        <v>NULL</v>
      </c>
      <c r="Q23" s="7">
        <f t="shared" si="5"/>
        <v>28034</v>
      </c>
      <c r="R23" s="7" t="str">
        <f t="shared" si="6"/>
        <v>Spain</v>
      </c>
      <c r="S23" s="7" t="str">
        <f t="shared" si="7"/>
        <v>(91) 555 94 44</v>
      </c>
      <c r="T23" s="7" t="str">
        <f t="shared" si="8"/>
        <v>(91) 555 55 93</v>
      </c>
    </row>
    <row r="24" spans="1:20" x14ac:dyDescent="0.2">
      <c r="A24" t="s">
        <v>329</v>
      </c>
      <c r="B24" t="s">
        <v>330</v>
      </c>
      <c r="C24" t="s">
        <v>530</v>
      </c>
      <c r="D24" t="s">
        <v>531</v>
      </c>
      <c r="E24">
        <v>184</v>
      </c>
      <c r="F24" t="s">
        <v>331</v>
      </c>
      <c r="G24" t="s">
        <v>332</v>
      </c>
      <c r="H24" t="s">
        <v>18</v>
      </c>
      <c r="I24">
        <v>59000</v>
      </c>
      <c r="J24" t="s">
        <v>19</v>
      </c>
      <c r="K24" t="s">
        <v>532</v>
      </c>
      <c r="L24" t="s">
        <v>533</v>
      </c>
      <c r="N24" s="7" t="str">
        <f t="shared" si="2"/>
        <v>184  chaussée de Tournai</v>
      </c>
      <c r="O24" s="7" t="str">
        <f t="shared" si="3"/>
        <v>Lille</v>
      </c>
      <c r="P24" s="7" t="str">
        <f t="shared" si="4"/>
        <v>NULL</v>
      </c>
      <c r="Q24" s="7">
        <f t="shared" si="5"/>
        <v>59000</v>
      </c>
      <c r="R24" s="7" t="str">
        <f t="shared" si="6"/>
        <v>France</v>
      </c>
      <c r="S24" s="7" t="str">
        <f t="shared" si="7"/>
        <v>20.16.10.16</v>
      </c>
      <c r="T24" s="7" t="str">
        <f t="shared" si="8"/>
        <v>20.16.10.17</v>
      </c>
    </row>
    <row r="25" spans="1:20" x14ac:dyDescent="0.2">
      <c r="A25" t="s">
        <v>87</v>
      </c>
      <c r="B25" t="s">
        <v>88</v>
      </c>
      <c r="C25" t="s">
        <v>534</v>
      </c>
      <c r="D25" t="s">
        <v>458</v>
      </c>
      <c r="E25" t="s">
        <v>89</v>
      </c>
      <c r="F25" t="s">
        <v>90</v>
      </c>
      <c r="G25" t="s">
        <v>18</v>
      </c>
      <c r="H25" t="s">
        <v>91</v>
      </c>
      <c r="I25" t="s">
        <v>92</v>
      </c>
      <c r="J25" t="s">
        <v>535</v>
      </c>
      <c r="K25" t="s">
        <v>18</v>
      </c>
      <c r="N25" s="7" t="str">
        <f t="shared" si="2"/>
        <v>Åkergatan 24</v>
      </c>
      <c r="O25" s="7" t="str">
        <f t="shared" si="3"/>
        <v>Bräcke</v>
      </c>
      <c r="P25" s="7" t="str">
        <f t="shared" si="4"/>
        <v>NULL</v>
      </c>
      <c r="Q25" s="7" t="str">
        <f t="shared" si="5"/>
        <v>S-844 67</v>
      </c>
      <c r="R25" s="7" t="str">
        <f t="shared" si="6"/>
        <v>Sweden</v>
      </c>
      <c r="S25" s="7" t="str">
        <f t="shared" si="7"/>
        <v>0695-34 67 21</v>
      </c>
      <c r="T25" s="7" t="str">
        <f t="shared" si="8"/>
        <v>NULL</v>
      </c>
    </row>
    <row r="26" spans="1:20" x14ac:dyDescent="0.2">
      <c r="A26" t="s">
        <v>102</v>
      </c>
      <c r="B26" t="s">
        <v>103</v>
      </c>
      <c r="C26" t="s">
        <v>536</v>
      </c>
      <c r="D26" t="s">
        <v>477</v>
      </c>
      <c r="E26" t="s">
        <v>104</v>
      </c>
      <c r="F26" t="s">
        <v>105</v>
      </c>
      <c r="G26" t="s">
        <v>18</v>
      </c>
      <c r="H26">
        <v>80805</v>
      </c>
      <c r="I26" t="s">
        <v>24</v>
      </c>
      <c r="J26" t="s">
        <v>537</v>
      </c>
      <c r="K26" t="s">
        <v>538</v>
      </c>
      <c r="N26" s="7" t="str">
        <f t="shared" si="2"/>
        <v>Berliner Platz 43</v>
      </c>
      <c r="O26" s="7" t="str">
        <f t="shared" si="3"/>
        <v>München</v>
      </c>
      <c r="P26" s="7" t="str">
        <f t="shared" si="4"/>
        <v>NULL</v>
      </c>
      <c r="Q26" s="7">
        <f t="shared" si="5"/>
        <v>80805</v>
      </c>
      <c r="R26" s="7" t="str">
        <f t="shared" si="6"/>
        <v>Germany</v>
      </c>
      <c r="S26" s="7" t="str">
        <f t="shared" si="7"/>
        <v>089-0877310</v>
      </c>
      <c r="T26" s="7" t="str">
        <f t="shared" si="8"/>
        <v>089-0877451</v>
      </c>
    </row>
    <row r="27" spans="1:20" x14ac:dyDescent="0.2">
      <c r="A27" t="s">
        <v>405</v>
      </c>
      <c r="B27" t="s">
        <v>406</v>
      </c>
      <c r="C27" t="s">
        <v>539</v>
      </c>
      <c r="D27" t="s">
        <v>477</v>
      </c>
      <c r="E27">
        <v>54</v>
      </c>
      <c r="F27" t="s">
        <v>407</v>
      </c>
      <c r="G27" t="s">
        <v>212</v>
      </c>
      <c r="H27" t="s">
        <v>18</v>
      </c>
      <c r="I27">
        <v>44000</v>
      </c>
      <c r="J27" t="s">
        <v>19</v>
      </c>
      <c r="K27" t="s">
        <v>540</v>
      </c>
      <c r="L27" t="s">
        <v>541</v>
      </c>
      <c r="N27" s="7" t="str">
        <f t="shared" si="2"/>
        <v>54  rue Royale</v>
      </c>
      <c r="O27" s="7" t="str">
        <f t="shared" si="3"/>
        <v>Nantes</v>
      </c>
      <c r="P27" s="7" t="str">
        <f t="shared" si="4"/>
        <v>NULL</v>
      </c>
      <c r="Q27" s="7">
        <f t="shared" si="5"/>
        <v>44000</v>
      </c>
      <c r="R27" s="7" t="str">
        <f t="shared" si="6"/>
        <v>France</v>
      </c>
      <c r="S27" s="7" t="str">
        <f t="shared" si="7"/>
        <v>40.32.21.21</v>
      </c>
      <c r="T27" s="7" t="str">
        <f t="shared" si="8"/>
        <v>40.32.21.20</v>
      </c>
    </row>
    <row r="28" spans="1:20" x14ac:dyDescent="0.2">
      <c r="A28" t="s">
        <v>338</v>
      </c>
      <c r="B28" t="s">
        <v>339</v>
      </c>
      <c r="C28" t="s">
        <v>542</v>
      </c>
      <c r="D28" t="s">
        <v>454</v>
      </c>
      <c r="E28" t="s">
        <v>340</v>
      </c>
      <c r="F28" t="s">
        <v>341</v>
      </c>
      <c r="G28" t="s">
        <v>18</v>
      </c>
      <c r="H28">
        <v>10100</v>
      </c>
      <c r="I28" t="s">
        <v>129</v>
      </c>
      <c r="J28" t="s">
        <v>543</v>
      </c>
      <c r="K28" t="s">
        <v>544</v>
      </c>
      <c r="N28" s="7" t="str">
        <f t="shared" si="2"/>
        <v>Via Monte Bianco 34</v>
      </c>
      <c r="O28" s="7" t="str">
        <f t="shared" si="3"/>
        <v>Torino</v>
      </c>
      <c r="P28" s="7" t="str">
        <f t="shared" si="4"/>
        <v>NULL</v>
      </c>
      <c r="Q28" s="7">
        <f t="shared" si="5"/>
        <v>10100</v>
      </c>
      <c r="R28" s="7" t="str">
        <f t="shared" si="6"/>
        <v>Italy</v>
      </c>
      <c r="S28" s="7" t="str">
        <f t="shared" si="7"/>
        <v>011-4988260</v>
      </c>
      <c r="T28" s="7" t="str">
        <f t="shared" si="8"/>
        <v>011-4988261</v>
      </c>
    </row>
    <row r="29" spans="1:20" x14ac:dyDescent="0.2">
      <c r="A29" t="s">
        <v>234</v>
      </c>
      <c r="B29" t="s">
        <v>235</v>
      </c>
      <c r="C29" t="s">
        <v>545</v>
      </c>
      <c r="D29" t="s">
        <v>518</v>
      </c>
      <c r="E29" t="s">
        <v>236</v>
      </c>
      <c r="F29" t="s">
        <v>237</v>
      </c>
      <c r="G29" t="s">
        <v>18</v>
      </c>
      <c r="H29">
        <v>1675</v>
      </c>
      <c r="I29" t="s">
        <v>238</v>
      </c>
      <c r="J29" t="s">
        <v>546</v>
      </c>
      <c r="K29" t="s">
        <v>547</v>
      </c>
      <c r="N29" s="7" t="str">
        <f t="shared" si="2"/>
        <v>Jardim das rosas n. 32</v>
      </c>
      <c r="O29" s="7" t="str">
        <f t="shared" si="3"/>
        <v>Lisboa</v>
      </c>
      <c r="P29" s="7" t="str">
        <f t="shared" si="4"/>
        <v>NULL</v>
      </c>
      <c r="Q29" s="7">
        <f t="shared" si="5"/>
        <v>1675</v>
      </c>
      <c r="R29" s="7" t="str">
        <f t="shared" si="6"/>
        <v>Portugal</v>
      </c>
      <c r="S29" s="7" t="str">
        <f t="shared" si="7"/>
        <v>(1) 354-2534</v>
      </c>
      <c r="T29" s="7" t="str">
        <f t="shared" si="8"/>
        <v>(1) 354-2535</v>
      </c>
    </row>
    <row r="30" spans="1:20" x14ac:dyDescent="0.2">
      <c r="A30" t="s">
        <v>291</v>
      </c>
      <c r="B30" t="s">
        <v>548</v>
      </c>
      <c r="C30" t="s">
        <v>549</v>
      </c>
      <c r="D30" t="s">
        <v>477</v>
      </c>
      <c r="E30" t="s">
        <v>293</v>
      </c>
      <c r="F30">
        <v>23</v>
      </c>
      <c r="G30" t="s">
        <v>294</v>
      </c>
      <c r="H30" t="s">
        <v>18</v>
      </c>
      <c r="I30">
        <v>8022</v>
      </c>
      <c r="J30" t="s">
        <v>150</v>
      </c>
      <c r="K30" t="s">
        <v>550</v>
      </c>
      <c r="L30" t="s">
        <v>551</v>
      </c>
      <c r="N30" s="7" t="str">
        <f t="shared" si="2"/>
        <v>Rambla de Cataluña 23</v>
      </c>
      <c r="O30" s="7" t="str">
        <f t="shared" si="3"/>
        <v>Barcelona</v>
      </c>
      <c r="P30" s="7" t="str">
        <f t="shared" si="4"/>
        <v>NULL</v>
      </c>
      <c r="Q30" s="7">
        <f t="shared" si="5"/>
        <v>8022</v>
      </c>
      <c r="R30" s="7" t="str">
        <f t="shared" si="6"/>
        <v>Spain</v>
      </c>
      <c r="S30" s="7" t="str">
        <f t="shared" si="7"/>
        <v>(93) 203 4560</v>
      </c>
      <c r="T30" s="7" t="str">
        <f t="shared" si="8"/>
        <v>(93) 203 4561</v>
      </c>
    </row>
    <row r="31" spans="1:20" x14ac:dyDescent="0.2">
      <c r="A31" t="s">
        <v>189</v>
      </c>
      <c r="B31" t="s">
        <v>190</v>
      </c>
      <c r="C31" t="s">
        <v>552</v>
      </c>
      <c r="D31" t="s">
        <v>518</v>
      </c>
      <c r="E31" t="s">
        <v>191</v>
      </c>
      <c r="F31">
        <v>33</v>
      </c>
      <c r="G31" t="s">
        <v>192</v>
      </c>
      <c r="H31" t="s">
        <v>18</v>
      </c>
      <c r="I31">
        <v>41101</v>
      </c>
      <c r="J31" t="s">
        <v>150</v>
      </c>
      <c r="K31" t="s">
        <v>553</v>
      </c>
      <c r="L31" t="s">
        <v>18</v>
      </c>
      <c r="N31" s="7" t="str">
        <f t="shared" si="2"/>
        <v>C/ Romero 33</v>
      </c>
      <c r="O31" s="7" t="str">
        <f t="shared" si="3"/>
        <v>Sevilla</v>
      </c>
      <c r="P31" s="7" t="str">
        <f t="shared" si="4"/>
        <v>NULL</v>
      </c>
      <c r="Q31" s="7">
        <f t="shared" si="5"/>
        <v>41101</v>
      </c>
      <c r="R31" s="7" t="str">
        <f t="shared" si="6"/>
        <v>Spain</v>
      </c>
      <c r="S31" s="7" t="str">
        <f t="shared" si="7"/>
        <v>(95) 555 82 82</v>
      </c>
      <c r="T31" s="7" t="str">
        <f t="shared" si="8"/>
        <v>NULL</v>
      </c>
    </row>
    <row r="32" spans="1:20" x14ac:dyDescent="0.2">
      <c r="A32" t="s">
        <v>342</v>
      </c>
      <c r="B32" t="s">
        <v>343</v>
      </c>
      <c r="C32" t="s">
        <v>554</v>
      </c>
      <c r="D32" t="s">
        <v>503</v>
      </c>
      <c r="E32" t="s">
        <v>344</v>
      </c>
      <c r="F32">
        <v>442</v>
      </c>
      <c r="G32" t="s">
        <v>345</v>
      </c>
      <c r="H32" t="s">
        <v>55</v>
      </c>
      <c r="I32" t="s">
        <v>346</v>
      </c>
      <c r="J32" t="s">
        <v>31</v>
      </c>
      <c r="K32" t="s">
        <v>555</v>
      </c>
      <c r="L32" t="s">
        <v>18</v>
      </c>
      <c r="N32" s="7" t="str">
        <f t="shared" si="2"/>
        <v>Av. Brasil 442</v>
      </c>
      <c r="O32" s="7" t="str">
        <f t="shared" si="3"/>
        <v>Campinas</v>
      </c>
      <c r="P32" s="7" t="str">
        <f t="shared" si="4"/>
        <v>SP</v>
      </c>
      <c r="Q32" s="7" t="str">
        <f t="shared" si="5"/>
        <v>04876-786</v>
      </c>
      <c r="R32" s="7" t="str">
        <f t="shared" si="6"/>
        <v>Brazil</v>
      </c>
      <c r="S32" s="7" t="str">
        <f t="shared" si="7"/>
        <v>(11) 555-9482</v>
      </c>
      <c r="T32" s="7" t="str">
        <f t="shared" si="8"/>
        <v>NULL</v>
      </c>
    </row>
    <row r="33" spans="1:20" x14ac:dyDescent="0.2">
      <c r="A33" t="s">
        <v>374</v>
      </c>
      <c r="B33" t="s">
        <v>375</v>
      </c>
      <c r="C33" t="s">
        <v>556</v>
      </c>
      <c r="D33" t="s">
        <v>477</v>
      </c>
      <c r="E33" t="s">
        <v>376</v>
      </c>
      <c r="F33" t="s">
        <v>377</v>
      </c>
      <c r="G33" t="s">
        <v>202</v>
      </c>
      <c r="H33">
        <v>97403</v>
      </c>
      <c r="I33" t="s">
        <v>86</v>
      </c>
      <c r="J33" t="s">
        <v>557</v>
      </c>
      <c r="K33" t="s">
        <v>18</v>
      </c>
      <c r="N33" s="7" t="str">
        <f t="shared" si="2"/>
        <v>2732 Baker Blvd.</v>
      </c>
      <c r="O33" s="7" t="str">
        <f t="shared" si="3"/>
        <v>Eugene</v>
      </c>
      <c r="P33" s="7" t="str">
        <f t="shared" si="4"/>
        <v>OR</v>
      </c>
      <c r="Q33" s="7">
        <f t="shared" si="5"/>
        <v>97403</v>
      </c>
      <c r="R33" s="7" t="str">
        <f t="shared" si="6"/>
        <v>USA</v>
      </c>
      <c r="S33" s="7" t="str">
        <f t="shared" si="7"/>
        <v>(503) 555-7555</v>
      </c>
      <c r="T33" s="7" t="str">
        <f t="shared" si="8"/>
        <v>NULL</v>
      </c>
    </row>
    <row r="34" spans="1:20" x14ac:dyDescent="0.2">
      <c r="A34" t="s">
        <v>106</v>
      </c>
      <c r="B34" t="s">
        <v>107</v>
      </c>
      <c r="C34" t="s">
        <v>558</v>
      </c>
      <c r="D34" t="s">
        <v>458</v>
      </c>
      <c r="E34" t="s">
        <v>108</v>
      </c>
      <c r="F34" t="s">
        <v>109</v>
      </c>
      <c r="G34" t="s">
        <v>110</v>
      </c>
      <c r="H34">
        <v>1081</v>
      </c>
      <c r="I34" t="s">
        <v>62</v>
      </c>
      <c r="J34" t="s">
        <v>559</v>
      </c>
      <c r="K34" t="s">
        <v>560</v>
      </c>
      <c r="N34" s="7" t="str">
        <f t="shared" si="2"/>
        <v>5ª Ave. Los Palos Grandes</v>
      </c>
      <c r="O34" s="7" t="str">
        <f t="shared" si="3"/>
        <v>Caracas</v>
      </c>
      <c r="P34" s="7" t="str">
        <f t="shared" si="4"/>
        <v>DF</v>
      </c>
      <c r="Q34" s="7">
        <f t="shared" si="5"/>
        <v>1081</v>
      </c>
      <c r="R34" s="7" t="str">
        <f t="shared" si="6"/>
        <v>Venezuela</v>
      </c>
      <c r="S34" s="7" t="str">
        <f t="shared" si="7"/>
        <v>(2) 283-2951</v>
      </c>
      <c r="T34" s="7" t="str">
        <f t="shared" si="8"/>
        <v>(2) 283-3397</v>
      </c>
    </row>
    <row r="35" spans="1:20" x14ac:dyDescent="0.2">
      <c r="A35" t="s">
        <v>25</v>
      </c>
      <c r="B35" t="s">
        <v>26</v>
      </c>
      <c r="C35" t="s">
        <v>561</v>
      </c>
      <c r="D35" t="s">
        <v>487</v>
      </c>
      <c r="E35" t="s">
        <v>27</v>
      </c>
      <c r="F35">
        <v>67</v>
      </c>
      <c r="G35" t="s">
        <v>28</v>
      </c>
      <c r="H35" t="s">
        <v>29</v>
      </c>
      <c r="I35" t="s">
        <v>30</v>
      </c>
      <c r="J35" t="s">
        <v>31</v>
      </c>
      <c r="K35" t="s">
        <v>562</v>
      </c>
      <c r="L35" t="s">
        <v>563</v>
      </c>
      <c r="N35" s="7" t="str">
        <f t="shared" si="2"/>
        <v>Rua do Paço 67</v>
      </c>
      <c r="O35" s="7" t="str">
        <f t="shared" si="3"/>
        <v>Rio de Janeiro</v>
      </c>
      <c r="P35" s="7" t="str">
        <f t="shared" si="4"/>
        <v>RJ</v>
      </c>
      <c r="Q35" s="7" t="str">
        <f t="shared" si="5"/>
        <v>05454-876</v>
      </c>
      <c r="R35" s="7" t="str">
        <f t="shared" si="6"/>
        <v>Brazil</v>
      </c>
      <c r="S35" s="7" t="str">
        <f t="shared" si="7"/>
        <v>(21) 555-0091</v>
      </c>
      <c r="T35" s="7" t="str">
        <f t="shared" si="8"/>
        <v>(21) 555-8765</v>
      </c>
    </row>
    <row r="36" spans="1:20" x14ac:dyDescent="0.2">
      <c r="A36" t="s">
        <v>57</v>
      </c>
      <c r="B36" t="s">
        <v>58</v>
      </c>
      <c r="C36" t="s">
        <v>564</v>
      </c>
      <c r="D36" t="s">
        <v>454</v>
      </c>
      <c r="E36" t="s">
        <v>59</v>
      </c>
      <c r="F36" t="s">
        <v>60</v>
      </c>
      <c r="G36" t="s">
        <v>61</v>
      </c>
      <c r="H36">
        <v>5022</v>
      </c>
      <c r="I36" t="s">
        <v>62</v>
      </c>
      <c r="J36" t="s">
        <v>565</v>
      </c>
      <c r="K36" t="s">
        <v>566</v>
      </c>
      <c r="N36" s="7" t="str">
        <f t="shared" si="2"/>
        <v>Carrera 22 con Ave. Carlos Soublette #8-35</v>
      </c>
      <c r="O36" s="7" t="str">
        <f t="shared" si="3"/>
        <v>San Cristóbal</v>
      </c>
      <c r="P36" s="7" t="str">
        <f t="shared" si="4"/>
        <v>Táchira</v>
      </c>
      <c r="Q36" s="7">
        <f t="shared" si="5"/>
        <v>5022</v>
      </c>
      <c r="R36" s="7" t="str">
        <f t="shared" si="6"/>
        <v>Venezuela</v>
      </c>
      <c r="S36" s="7" t="str">
        <f t="shared" si="7"/>
        <v>(5) 555-1340</v>
      </c>
      <c r="T36" s="7" t="str">
        <f t="shared" si="8"/>
        <v>(5) 555-1948</v>
      </c>
    </row>
    <row r="37" spans="1:20" x14ac:dyDescent="0.2">
      <c r="A37" t="s">
        <v>309</v>
      </c>
      <c r="B37" t="s">
        <v>310</v>
      </c>
      <c r="C37" t="s">
        <v>567</v>
      </c>
      <c r="D37" t="s">
        <v>454</v>
      </c>
      <c r="E37" t="s">
        <v>311</v>
      </c>
      <c r="F37" t="s">
        <v>312</v>
      </c>
      <c r="G37" t="s">
        <v>202</v>
      </c>
      <c r="H37">
        <v>97827</v>
      </c>
      <c r="I37" t="s">
        <v>86</v>
      </c>
      <c r="J37" t="s">
        <v>568</v>
      </c>
      <c r="K37" t="s">
        <v>569</v>
      </c>
      <c r="N37" s="7" t="str">
        <f t="shared" si="2"/>
        <v>City Center Plaza 516 Main St.</v>
      </c>
      <c r="O37" s="7" t="str">
        <f t="shared" si="3"/>
        <v>Elgin</v>
      </c>
      <c r="P37" s="7" t="str">
        <f t="shared" si="4"/>
        <v>OR</v>
      </c>
      <c r="Q37" s="7">
        <f t="shared" si="5"/>
        <v>97827</v>
      </c>
      <c r="R37" s="7" t="str">
        <f t="shared" si="6"/>
        <v>USA</v>
      </c>
      <c r="S37" s="7" t="str">
        <f t="shared" si="7"/>
        <v>(503) 555-6874</v>
      </c>
      <c r="T37" s="7" t="str">
        <f t="shared" si="8"/>
        <v>(503) 555-2376</v>
      </c>
    </row>
    <row r="38" spans="1:20" x14ac:dyDescent="0.2">
      <c r="A38" t="s">
        <v>179</v>
      </c>
      <c r="B38" t="s">
        <v>180</v>
      </c>
      <c r="C38" t="s">
        <v>570</v>
      </c>
      <c r="D38" t="s">
        <v>503</v>
      </c>
      <c r="E38" t="s">
        <v>181</v>
      </c>
      <c r="F38" t="s">
        <v>182</v>
      </c>
      <c r="G38" t="s">
        <v>183</v>
      </c>
      <c r="H38" t="s">
        <v>18</v>
      </c>
      <c r="I38" t="s">
        <v>184</v>
      </c>
      <c r="J38" t="s">
        <v>571</v>
      </c>
      <c r="K38" t="s">
        <v>572</v>
      </c>
      <c r="N38" s="7" t="str">
        <f t="shared" si="2"/>
        <v>8 Johnstown Road</v>
      </c>
      <c r="O38" s="7" t="str">
        <f t="shared" si="3"/>
        <v>Cork</v>
      </c>
      <c r="P38" s="7" t="str">
        <f t="shared" si="4"/>
        <v>Co. Cork</v>
      </c>
      <c r="Q38" s="7" t="str">
        <f t="shared" si="5"/>
        <v>NULL</v>
      </c>
      <c r="R38" s="7" t="str">
        <f t="shared" si="6"/>
        <v>Ireland</v>
      </c>
      <c r="S38" s="7" t="str">
        <f t="shared" si="7"/>
        <v>2967 542</v>
      </c>
      <c r="T38" s="7" t="str">
        <f t="shared" si="8"/>
        <v>2967 3333</v>
      </c>
    </row>
    <row r="39" spans="1:20" x14ac:dyDescent="0.2">
      <c r="A39" t="s">
        <v>213</v>
      </c>
      <c r="B39" t="s">
        <v>214</v>
      </c>
      <c r="C39" t="s">
        <v>573</v>
      </c>
      <c r="D39" t="s">
        <v>477</v>
      </c>
      <c r="E39" t="s">
        <v>215</v>
      </c>
      <c r="F39" t="s">
        <v>216</v>
      </c>
      <c r="G39" t="s">
        <v>217</v>
      </c>
      <c r="H39" t="s">
        <v>218</v>
      </c>
      <c r="I39" t="s">
        <v>169</v>
      </c>
      <c r="J39" t="s">
        <v>574</v>
      </c>
      <c r="K39" t="s">
        <v>18</v>
      </c>
      <c r="N39" s="7" t="str">
        <f t="shared" si="2"/>
        <v>Garden House Crowther Way</v>
      </c>
      <c r="O39" s="7" t="str">
        <f t="shared" si="3"/>
        <v>Cowes</v>
      </c>
      <c r="P39" s="7" t="str">
        <f t="shared" si="4"/>
        <v>Isle of Wight</v>
      </c>
      <c r="Q39" s="7" t="str">
        <f t="shared" si="5"/>
        <v>PO31 7PJ</v>
      </c>
      <c r="R39" s="7" t="str">
        <f t="shared" si="6"/>
        <v>UK</v>
      </c>
      <c r="S39" s="7" t="str">
        <f t="shared" si="7"/>
        <v>(198) 555-8888</v>
      </c>
      <c r="T39" s="7" t="str">
        <f t="shared" si="8"/>
        <v>NULL</v>
      </c>
    </row>
    <row r="40" spans="1:20" x14ac:dyDescent="0.2">
      <c r="A40" t="s">
        <v>222</v>
      </c>
      <c r="B40" t="s">
        <v>223</v>
      </c>
      <c r="C40" t="s">
        <v>575</v>
      </c>
      <c r="D40" t="s">
        <v>503</v>
      </c>
      <c r="E40" t="s">
        <v>224</v>
      </c>
      <c r="F40" t="s">
        <v>225</v>
      </c>
      <c r="G40" t="s">
        <v>18</v>
      </c>
      <c r="H40">
        <v>14776</v>
      </c>
      <c r="I40" t="s">
        <v>24</v>
      </c>
      <c r="J40" t="s">
        <v>576</v>
      </c>
      <c r="K40" t="s">
        <v>18</v>
      </c>
      <c r="N40" s="7" t="str">
        <f t="shared" si="2"/>
        <v>Maubelstr. 90</v>
      </c>
      <c r="O40" s="7" t="str">
        <f t="shared" si="3"/>
        <v>Brandenburg</v>
      </c>
      <c r="P40" s="7" t="str">
        <f t="shared" si="4"/>
        <v>NULL</v>
      </c>
      <c r="Q40" s="7">
        <f t="shared" si="5"/>
        <v>14776</v>
      </c>
      <c r="R40" s="7" t="str">
        <f t="shared" si="6"/>
        <v>Germany</v>
      </c>
      <c r="S40" s="7" t="str">
        <f t="shared" si="7"/>
        <v>0555-09876</v>
      </c>
      <c r="T40" s="7" t="str">
        <f t="shared" si="8"/>
        <v>NULL</v>
      </c>
    </row>
    <row r="41" spans="1:20" x14ac:dyDescent="0.2">
      <c r="A41" t="s">
        <v>413</v>
      </c>
      <c r="B41" t="s">
        <v>414</v>
      </c>
      <c r="C41" t="s">
        <v>577</v>
      </c>
      <c r="D41" t="s">
        <v>454</v>
      </c>
      <c r="E41">
        <v>67</v>
      </c>
      <c r="F41" t="s">
        <v>415</v>
      </c>
      <c r="G41" t="s">
        <v>416</v>
      </c>
      <c r="H41" t="s">
        <v>18</v>
      </c>
      <c r="I41">
        <v>78000</v>
      </c>
      <c r="J41" t="s">
        <v>19</v>
      </c>
      <c r="K41" t="s">
        <v>578</v>
      </c>
      <c r="L41" t="s">
        <v>579</v>
      </c>
      <c r="N41" s="7" t="str">
        <f t="shared" si="2"/>
        <v>67  avenue de l'Europe</v>
      </c>
      <c r="O41" s="7" t="str">
        <f t="shared" si="3"/>
        <v>Versailles</v>
      </c>
      <c r="P41" s="7" t="str">
        <f t="shared" si="4"/>
        <v>NULL</v>
      </c>
      <c r="Q41" s="7">
        <f t="shared" si="5"/>
        <v>78000</v>
      </c>
      <c r="R41" s="7" t="str">
        <f t="shared" si="6"/>
        <v>France</v>
      </c>
      <c r="S41" s="7" t="str">
        <f t="shared" si="7"/>
        <v>30.59.84.10</v>
      </c>
      <c r="T41" s="7" t="str">
        <f t="shared" si="8"/>
        <v>30.59.85.11</v>
      </c>
    </row>
    <row r="42" spans="1:20" x14ac:dyDescent="0.2">
      <c r="A42" t="s">
        <v>262</v>
      </c>
      <c r="B42" t="s">
        <v>263</v>
      </c>
      <c r="C42" t="s">
        <v>580</v>
      </c>
      <c r="D42" t="s">
        <v>518</v>
      </c>
      <c r="E42" t="s">
        <v>264</v>
      </c>
      <c r="F42" t="s">
        <v>265</v>
      </c>
      <c r="G42" t="s">
        <v>18</v>
      </c>
      <c r="H42">
        <v>31000</v>
      </c>
      <c r="I42" t="s">
        <v>19</v>
      </c>
      <c r="J42" t="s">
        <v>581</v>
      </c>
      <c r="K42" t="s">
        <v>582</v>
      </c>
      <c r="N42" s="7" t="str">
        <f t="shared" si="2"/>
        <v>1 rue Alsace-Lorraine</v>
      </c>
      <c r="O42" s="7" t="str">
        <f t="shared" si="3"/>
        <v>Toulouse</v>
      </c>
      <c r="P42" s="7" t="str">
        <f t="shared" si="4"/>
        <v>NULL</v>
      </c>
      <c r="Q42" s="7">
        <f t="shared" si="5"/>
        <v>31000</v>
      </c>
      <c r="R42" s="7" t="str">
        <f t="shared" si="6"/>
        <v>France</v>
      </c>
      <c r="S42" s="7" t="str">
        <f t="shared" si="7"/>
        <v>61.77.61.10</v>
      </c>
      <c r="T42" s="7" t="str">
        <f t="shared" si="8"/>
        <v>61.77.61.11</v>
      </c>
    </row>
    <row r="43" spans="1:20" x14ac:dyDescent="0.2">
      <c r="A43" t="s">
        <v>358</v>
      </c>
      <c r="B43" t="s">
        <v>359</v>
      </c>
      <c r="C43" t="s">
        <v>583</v>
      </c>
      <c r="D43" t="s">
        <v>522</v>
      </c>
      <c r="E43" t="s">
        <v>584</v>
      </c>
      <c r="F43" t="s">
        <v>361</v>
      </c>
      <c r="G43" t="s">
        <v>322</v>
      </c>
      <c r="H43" t="s">
        <v>362</v>
      </c>
      <c r="I43" t="s">
        <v>249</v>
      </c>
      <c r="J43" t="s">
        <v>585</v>
      </c>
      <c r="K43" t="s">
        <v>586</v>
      </c>
      <c r="N43" s="7" t="str">
        <f t="shared" si="2"/>
        <v>1900 Oak St.</v>
      </c>
      <c r="O43" s="7" t="str">
        <f t="shared" si="3"/>
        <v>Vancouver</v>
      </c>
      <c r="P43" s="7" t="str">
        <f t="shared" si="4"/>
        <v>BC</v>
      </c>
      <c r="Q43" s="7" t="str">
        <f t="shared" si="5"/>
        <v>V3F 2K1</v>
      </c>
      <c r="R43" s="7" t="str">
        <f t="shared" si="6"/>
        <v>Canada</v>
      </c>
      <c r="S43" s="7" t="str">
        <f t="shared" si="7"/>
        <v>(604) 555-3392</v>
      </c>
      <c r="T43" s="7" t="str">
        <f t="shared" si="8"/>
        <v>(604) 555-7293</v>
      </c>
    </row>
    <row r="44" spans="1:20" x14ac:dyDescent="0.2">
      <c r="A44" t="s">
        <v>354</v>
      </c>
      <c r="B44" t="s">
        <v>355</v>
      </c>
      <c r="C44" t="s">
        <v>587</v>
      </c>
      <c r="D44" t="s">
        <v>477</v>
      </c>
      <c r="E44" t="s">
        <v>356</v>
      </c>
      <c r="F44" t="s">
        <v>357</v>
      </c>
      <c r="G44" t="s">
        <v>115</v>
      </c>
      <c r="H44">
        <v>99362</v>
      </c>
      <c r="I44" t="s">
        <v>86</v>
      </c>
      <c r="J44" t="s">
        <v>588</v>
      </c>
      <c r="K44" t="s">
        <v>589</v>
      </c>
      <c r="N44" s="7" t="str">
        <f t="shared" si="2"/>
        <v>12 Orchestra Terrace</v>
      </c>
      <c r="O44" s="7" t="str">
        <f t="shared" si="3"/>
        <v>Walla Walla</v>
      </c>
      <c r="P44" s="7" t="str">
        <f t="shared" si="4"/>
        <v>WA</v>
      </c>
      <c r="Q44" s="7">
        <f t="shared" si="5"/>
        <v>99362</v>
      </c>
      <c r="R44" s="7" t="str">
        <f t="shared" si="6"/>
        <v>USA</v>
      </c>
      <c r="S44" s="7" t="str">
        <f t="shared" si="7"/>
        <v>(509) 555-7969</v>
      </c>
      <c r="T44" s="7" t="str">
        <f t="shared" si="8"/>
        <v>(509) 555-6221</v>
      </c>
    </row>
    <row r="45" spans="1:20" x14ac:dyDescent="0.2">
      <c r="A45" t="s">
        <v>142</v>
      </c>
      <c r="B45" t="s">
        <v>143</v>
      </c>
      <c r="C45" t="s">
        <v>590</v>
      </c>
      <c r="D45" t="s">
        <v>454</v>
      </c>
      <c r="E45" t="s">
        <v>144</v>
      </c>
      <c r="F45" t="s">
        <v>145</v>
      </c>
      <c r="G45" t="s">
        <v>18</v>
      </c>
      <c r="H45">
        <v>60528</v>
      </c>
      <c r="I45" t="s">
        <v>24</v>
      </c>
      <c r="J45" t="s">
        <v>591</v>
      </c>
      <c r="K45" t="s">
        <v>592</v>
      </c>
      <c r="N45" s="7" t="str">
        <f t="shared" si="2"/>
        <v>Magazinweg 7</v>
      </c>
      <c r="O45" s="7" t="str">
        <f t="shared" si="3"/>
        <v>Frankfurt a.M.</v>
      </c>
      <c r="P45" s="7" t="str">
        <f t="shared" si="4"/>
        <v>NULL</v>
      </c>
      <c r="Q45" s="7">
        <f t="shared" si="5"/>
        <v>60528</v>
      </c>
      <c r="R45" s="7" t="str">
        <f t="shared" si="6"/>
        <v>Germany</v>
      </c>
      <c r="S45" s="7" t="str">
        <f t="shared" si="7"/>
        <v>069-0245984</v>
      </c>
      <c r="T45" s="7" t="str">
        <f t="shared" si="8"/>
        <v>069-0245874</v>
      </c>
    </row>
    <row r="46" spans="1:20" x14ac:dyDescent="0.2">
      <c r="A46" t="s">
        <v>387</v>
      </c>
      <c r="B46" t="s">
        <v>388</v>
      </c>
      <c r="C46" t="s">
        <v>593</v>
      </c>
      <c r="D46" t="s">
        <v>458</v>
      </c>
      <c r="E46" t="s">
        <v>389</v>
      </c>
      <c r="F46" t="s">
        <v>390</v>
      </c>
      <c r="G46" t="s">
        <v>391</v>
      </c>
      <c r="H46">
        <v>94117</v>
      </c>
      <c r="I46" t="s">
        <v>86</v>
      </c>
      <c r="J46" t="s">
        <v>594</v>
      </c>
      <c r="K46" t="s">
        <v>18</v>
      </c>
      <c r="N46" s="7" t="str">
        <f t="shared" si="2"/>
        <v>87 Polk St. Suite 5</v>
      </c>
      <c r="O46" s="7" t="str">
        <f t="shared" si="3"/>
        <v>San Francisco</v>
      </c>
      <c r="P46" s="7" t="str">
        <f t="shared" si="4"/>
        <v>CA</v>
      </c>
      <c r="Q46" s="7">
        <f t="shared" si="5"/>
        <v>94117</v>
      </c>
      <c r="R46" s="7" t="str">
        <f t="shared" si="6"/>
        <v>USA</v>
      </c>
      <c r="S46" s="7" t="str">
        <f t="shared" si="7"/>
        <v>(415) 555-5938</v>
      </c>
      <c r="T46" s="7" t="str">
        <f t="shared" si="8"/>
        <v>NULL</v>
      </c>
    </row>
    <row r="47" spans="1:20" x14ac:dyDescent="0.2">
      <c r="A47" t="s">
        <v>151</v>
      </c>
      <c r="B47" t="s">
        <v>152</v>
      </c>
      <c r="C47" t="s">
        <v>595</v>
      </c>
      <c r="D47" t="s">
        <v>487</v>
      </c>
      <c r="E47" t="s">
        <v>153</v>
      </c>
      <c r="F47" t="s">
        <v>154</v>
      </c>
      <c r="G47" t="s">
        <v>155</v>
      </c>
      <c r="H47">
        <v>3508</v>
      </c>
      <c r="I47" t="s">
        <v>62</v>
      </c>
      <c r="J47" t="s">
        <v>596</v>
      </c>
      <c r="K47" t="s">
        <v>597</v>
      </c>
      <c r="N47" s="7" t="str">
        <f t="shared" si="2"/>
        <v>Carrera 52 con Ave. Bolívar #65-98 Llano Largo</v>
      </c>
      <c r="O47" s="7" t="str">
        <f t="shared" si="3"/>
        <v>Barquisimeto</v>
      </c>
      <c r="P47" s="7" t="str">
        <f t="shared" si="4"/>
        <v>Lara</v>
      </c>
      <c r="Q47" s="7">
        <f t="shared" si="5"/>
        <v>3508</v>
      </c>
      <c r="R47" s="7" t="str">
        <f t="shared" si="6"/>
        <v>Venezuela</v>
      </c>
      <c r="S47" s="7" t="str">
        <f t="shared" si="7"/>
        <v>(9) 331-6954</v>
      </c>
      <c r="T47" s="7" t="str">
        <f t="shared" si="8"/>
        <v>(9) 331-7256</v>
      </c>
    </row>
    <row r="48" spans="1:20" x14ac:dyDescent="0.2">
      <c r="A48" t="s">
        <v>324</v>
      </c>
      <c r="B48" t="s">
        <v>325</v>
      </c>
      <c r="C48" t="s">
        <v>598</v>
      </c>
      <c r="D48" t="s">
        <v>458</v>
      </c>
      <c r="E48" t="s">
        <v>326</v>
      </c>
      <c r="F48" t="s">
        <v>327</v>
      </c>
      <c r="G48" t="s">
        <v>328</v>
      </c>
      <c r="H48">
        <v>4980</v>
      </c>
      <c r="I48" t="s">
        <v>62</v>
      </c>
      <c r="J48" t="s">
        <v>599</v>
      </c>
      <c r="K48" t="s">
        <v>600</v>
      </c>
      <c r="N48" s="7" t="str">
        <f t="shared" si="2"/>
        <v>Ave. 5 de Mayo Porlamar</v>
      </c>
      <c r="O48" s="7" t="str">
        <f t="shared" si="3"/>
        <v>I. de Margarita</v>
      </c>
      <c r="P48" s="7" t="str">
        <f t="shared" si="4"/>
        <v>Nueva Esparta</v>
      </c>
      <c r="Q48" s="7">
        <f t="shared" si="5"/>
        <v>4980</v>
      </c>
      <c r="R48" s="7" t="str">
        <f t="shared" si="6"/>
        <v>Venezuela</v>
      </c>
      <c r="S48" s="7" t="str">
        <f t="shared" si="7"/>
        <v>(8) 34-56-12</v>
      </c>
      <c r="T48" s="7" t="str">
        <f t="shared" si="8"/>
        <v>(8) 34-93-93</v>
      </c>
    </row>
    <row r="49" spans="1:20" x14ac:dyDescent="0.2">
      <c r="A49" t="s">
        <v>198</v>
      </c>
      <c r="B49" t="s">
        <v>199</v>
      </c>
      <c r="C49" t="s">
        <v>601</v>
      </c>
      <c r="D49" t="s">
        <v>518</v>
      </c>
      <c r="E49" t="s">
        <v>200</v>
      </c>
      <c r="F49" t="s">
        <v>201</v>
      </c>
      <c r="G49" t="s">
        <v>202</v>
      </c>
      <c r="H49">
        <v>97219</v>
      </c>
      <c r="I49" t="s">
        <v>86</v>
      </c>
      <c r="J49" t="s">
        <v>602</v>
      </c>
      <c r="K49" t="s">
        <v>603</v>
      </c>
      <c r="N49" s="7" t="str">
        <f t="shared" si="2"/>
        <v>89 Chiaroscuro Rd.</v>
      </c>
      <c r="O49" s="7" t="str">
        <f t="shared" si="3"/>
        <v>Portland</v>
      </c>
      <c r="P49" s="7" t="str">
        <f t="shared" si="4"/>
        <v>OR</v>
      </c>
      <c r="Q49" s="7">
        <f t="shared" si="5"/>
        <v>97219</v>
      </c>
      <c r="R49" s="7" t="str">
        <f t="shared" si="6"/>
        <v>USA</v>
      </c>
      <c r="S49" s="7" t="str">
        <f t="shared" si="7"/>
        <v>(503) 555-9573</v>
      </c>
      <c r="T49" s="7" t="str">
        <f t="shared" si="8"/>
        <v>(503) 555-9646</v>
      </c>
    </row>
    <row r="50" spans="1:20" x14ac:dyDescent="0.2">
      <c r="A50" t="s">
        <v>125</v>
      </c>
      <c r="B50" t="s">
        <v>126</v>
      </c>
      <c r="C50" t="s">
        <v>604</v>
      </c>
      <c r="D50" t="s">
        <v>477</v>
      </c>
      <c r="E50" t="s">
        <v>127</v>
      </c>
      <c r="F50" t="s">
        <v>128</v>
      </c>
      <c r="G50" t="s">
        <v>18</v>
      </c>
      <c r="H50">
        <v>24100</v>
      </c>
      <c r="I50" t="s">
        <v>129</v>
      </c>
      <c r="J50" t="s">
        <v>605</v>
      </c>
      <c r="K50" t="s">
        <v>606</v>
      </c>
      <c r="N50" s="7" t="str">
        <f t="shared" si="2"/>
        <v>Via Ludovico il Moro 22</v>
      </c>
      <c r="O50" s="7" t="str">
        <f t="shared" si="3"/>
        <v>Bergamo</v>
      </c>
      <c r="P50" s="7" t="str">
        <f t="shared" si="4"/>
        <v>NULL</v>
      </c>
      <c r="Q50" s="7">
        <f t="shared" si="5"/>
        <v>24100</v>
      </c>
      <c r="R50" s="7" t="str">
        <f t="shared" si="6"/>
        <v>Italy</v>
      </c>
      <c r="S50" s="7" t="str">
        <f t="shared" si="7"/>
        <v>035-640230</v>
      </c>
      <c r="T50" s="7" t="str">
        <f t="shared" si="8"/>
        <v>035-640231</v>
      </c>
    </row>
    <row r="51" spans="1:20" x14ac:dyDescent="0.2">
      <c r="A51" t="s">
        <v>378</v>
      </c>
      <c r="B51" t="s">
        <v>379</v>
      </c>
      <c r="C51" t="s">
        <v>607</v>
      </c>
      <c r="D51" t="s">
        <v>493</v>
      </c>
      <c r="E51" t="s">
        <v>380</v>
      </c>
      <c r="F51" t="s">
        <v>381</v>
      </c>
      <c r="G51" t="s">
        <v>18</v>
      </c>
      <c r="H51" t="s">
        <v>382</v>
      </c>
      <c r="I51" t="s">
        <v>41</v>
      </c>
      <c r="J51" t="s">
        <v>608</v>
      </c>
      <c r="K51" t="s">
        <v>609</v>
      </c>
      <c r="N51" s="7" t="str">
        <f t="shared" si="2"/>
        <v>Rue Joseph-Bens 532</v>
      </c>
      <c r="O51" s="7" t="str">
        <f t="shared" si="3"/>
        <v>Bruxelles</v>
      </c>
      <c r="P51" s="7" t="str">
        <f t="shared" si="4"/>
        <v>NULL</v>
      </c>
      <c r="Q51" s="7" t="str">
        <f t="shared" si="5"/>
        <v>B-1180</v>
      </c>
      <c r="R51" s="7" t="str">
        <f t="shared" si="6"/>
        <v>Belgium</v>
      </c>
      <c r="S51" s="7" t="str">
        <f t="shared" si="7"/>
        <v>(02) 201 24 67</v>
      </c>
      <c r="T51" s="7" t="str">
        <f t="shared" si="8"/>
        <v>(02) 201 24 68</v>
      </c>
    </row>
    <row r="52" spans="1:20" x14ac:dyDescent="0.2">
      <c r="A52" t="s">
        <v>243</v>
      </c>
      <c r="B52" t="s">
        <v>244</v>
      </c>
      <c r="C52" t="s">
        <v>610</v>
      </c>
      <c r="D52" t="s">
        <v>522</v>
      </c>
      <c r="E52" t="s">
        <v>245</v>
      </c>
      <c r="F52" t="s">
        <v>246</v>
      </c>
      <c r="G52" t="s">
        <v>247</v>
      </c>
      <c r="H52" t="s">
        <v>248</v>
      </c>
      <c r="I52" t="s">
        <v>249</v>
      </c>
      <c r="J52" t="s">
        <v>611</v>
      </c>
      <c r="K52" t="s">
        <v>612</v>
      </c>
      <c r="N52" s="7" t="str">
        <f t="shared" si="2"/>
        <v>43 rue St. Laurent</v>
      </c>
      <c r="O52" s="7" t="str">
        <f t="shared" si="3"/>
        <v>Montréal</v>
      </c>
      <c r="P52" s="7" t="str">
        <f t="shared" si="4"/>
        <v>Québec</v>
      </c>
      <c r="Q52" s="7" t="str">
        <f t="shared" si="5"/>
        <v>H1J 1C3</v>
      </c>
      <c r="R52" s="7" t="str">
        <f t="shared" si="6"/>
        <v>Canada</v>
      </c>
      <c r="S52" s="7" t="str">
        <f t="shared" si="7"/>
        <v>(514) 555-8054</v>
      </c>
      <c r="T52" s="7" t="str">
        <f t="shared" si="8"/>
        <v>(514) 555-8055</v>
      </c>
    </row>
    <row r="53" spans="1:20" x14ac:dyDescent="0.2">
      <c r="A53" t="s">
        <v>133</v>
      </c>
      <c r="B53" t="s">
        <v>134</v>
      </c>
      <c r="C53" t="s">
        <v>613</v>
      </c>
      <c r="D53" t="s">
        <v>522</v>
      </c>
      <c r="E53" t="s">
        <v>135</v>
      </c>
      <c r="F53" t="s">
        <v>136</v>
      </c>
      <c r="G53" t="s">
        <v>18</v>
      </c>
      <c r="H53">
        <v>4179</v>
      </c>
      <c r="I53" t="s">
        <v>24</v>
      </c>
      <c r="J53" t="s">
        <v>614</v>
      </c>
      <c r="K53" t="s">
        <v>18</v>
      </c>
      <c r="N53" s="7" t="str">
        <f t="shared" si="2"/>
        <v>Heerstr. 22</v>
      </c>
      <c r="O53" s="7" t="str">
        <f t="shared" si="3"/>
        <v>Leipzig</v>
      </c>
      <c r="P53" s="7" t="str">
        <f t="shared" si="4"/>
        <v>NULL</v>
      </c>
      <c r="Q53" s="7">
        <f t="shared" si="5"/>
        <v>4179</v>
      </c>
      <c r="R53" s="7" t="str">
        <f t="shared" si="6"/>
        <v>Germany</v>
      </c>
      <c r="S53" s="7" t="str">
        <f t="shared" si="7"/>
        <v>0342-023176</v>
      </c>
      <c r="T53" s="7" t="str">
        <f t="shared" si="8"/>
        <v>NULL</v>
      </c>
    </row>
    <row r="54" spans="1:20" x14ac:dyDescent="0.2">
      <c r="A54" t="s">
        <v>367</v>
      </c>
      <c r="B54" t="s">
        <v>368</v>
      </c>
      <c r="C54" t="s">
        <v>615</v>
      </c>
      <c r="D54" t="s">
        <v>503</v>
      </c>
      <c r="E54" t="s">
        <v>369</v>
      </c>
      <c r="F54" t="s">
        <v>167</v>
      </c>
      <c r="G54" t="s">
        <v>18</v>
      </c>
      <c r="H54" t="s">
        <v>370</v>
      </c>
      <c r="I54" t="s">
        <v>169</v>
      </c>
      <c r="J54" t="s">
        <v>616</v>
      </c>
      <c r="K54" t="s">
        <v>617</v>
      </c>
      <c r="N54" s="7" t="str">
        <f t="shared" si="2"/>
        <v>South House 300 Queensbridge</v>
      </c>
      <c r="O54" s="7" t="str">
        <f t="shared" si="3"/>
        <v>London</v>
      </c>
      <c r="P54" s="7" t="str">
        <f t="shared" si="4"/>
        <v>NULL</v>
      </c>
      <c r="Q54" s="7" t="str">
        <f t="shared" si="5"/>
        <v>SW7 1RZ</v>
      </c>
      <c r="R54" s="7" t="str">
        <f t="shared" si="6"/>
        <v>UK</v>
      </c>
      <c r="S54" s="7" t="str">
        <f t="shared" si="7"/>
        <v>(171) 555-7733</v>
      </c>
      <c r="T54" s="7" t="str">
        <f t="shared" si="8"/>
        <v>(171) 555-2530</v>
      </c>
    </row>
    <row r="55" spans="1:20" x14ac:dyDescent="0.2">
      <c r="A55" t="s">
        <v>333</v>
      </c>
      <c r="B55" t="s">
        <v>334</v>
      </c>
      <c r="C55" t="s">
        <v>618</v>
      </c>
      <c r="D55" t="s">
        <v>493</v>
      </c>
      <c r="E55" t="s">
        <v>335</v>
      </c>
      <c r="F55" t="s">
        <v>336</v>
      </c>
      <c r="G55" t="s">
        <v>18</v>
      </c>
      <c r="H55">
        <v>1010</v>
      </c>
      <c r="I55" t="s">
        <v>337</v>
      </c>
      <c r="J55" t="s">
        <v>619</v>
      </c>
      <c r="K55" t="s">
        <v>620</v>
      </c>
      <c r="N55" s="7" t="str">
        <f t="shared" si="2"/>
        <v>Ing. Gustavo Moncada 8585 Piso 20-A</v>
      </c>
      <c r="O55" s="7" t="str">
        <f t="shared" si="3"/>
        <v>Buenos Aires</v>
      </c>
      <c r="P55" s="7" t="str">
        <f t="shared" si="4"/>
        <v>NULL</v>
      </c>
      <c r="Q55" s="7">
        <f t="shared" si="5"/>
        <v>1010</v>
      </c>
      <c r="R55" s="7" t="str">
        <f t="shared" si="6"/>
        <v>Argentina</v>
      </c>
      <c r="S55" s="7" t="str">
        <f t="shared" si="7"/>
        <v>(1) 135-5333</v>
      </c>
      <c r="T55" s="7" t="str">
        <f t="shared" si="8"/>
        <v>(1) 135-5535</v>
      </c>
    </row>
    <row r="56" spans="1:20" x14ac:dyDescent="0.2">
      <c r="A56" t="s">
        <v>193</v>
      </c>
      <c r="B56" t="s">
        <v>194</v>
      </c>
      <c r="C56" t="s">
        <v>621</v>
      </c>
      <c r="D56" t="s">
        <v>454</v>
      </c>
      <c r="E56" t="s">
        <v>195</v>
      </c>
      <c r="F56" t="s">
        <v>196</v>
      </c>
      <c r="G56" t="s">
        <v>197</v>
      </c>
      <c r="H56">
        <v>99508</v>
      </c>
      <c r="I56" t="s">
        <v>86</v>
      </c>
      <c r="J56" t="s">
        <v>622</v>
      </c>
      <c r="K56" t="s">
        <v>623</v>
      </c>
      <c r="N56" s="7" t="str">
        <f t="shared" si="2"/>
        <v>2743 Bering St.</v>
      </c>
      <c r="O56" s="7" t="str">
        <f t="shared" si="3"/>
        <v>Anchorage</v>
      </c>
      <c r="P56" s="7" t="str">
        <f t="shared" si="4"/>
        <v>AK</v>
      </c>
      <c r="Q56" s="7">
        <f t="shared" si="5"/>
        <v>99508</v>
      </c>
      <c r="R56" s="7" t="str">
        <f t="shared" si="6"/>
        <v>USA</v>
      </c>
      <c r="S56" s="7" t="str">
        <f t="shared" si="7"/>
        <v>(907) 555-7584</v>
      </c>
      <c r="T56" s="7" t="str">
        <f t="shared" si="8"/>
        <v>(907) 555-2880</v>
      </c>
    </row>
    <row r="57" spans="1:20" x14ac:dyDescent="0.2">
      <c r="A57" t="s">
        <v>73</v>
      </c>
      <c r="B57" t="s">
        <v>74</v>
      </c>
      <c r="C57" t="s">
        <v>624</v>
      </c>
      <c r="D57" t="s">
        <v>458</v>
      </c>
      <c r="E57" t="s">
        <v>75</v>
      </c>
      <c r="F57" t="s">
        <v>76</v>
      </c>
      <c r="G57" t="s">
        <v>18</v>
      </c>
      <c r="H57">
        <v>50739</v>
      </c>
      <c r="I57" t="s">
        <v>24</v>
      </c>
      <c r="J57" t="s">
        <v>625</v>
      </c>
      <c r="K57" t="s">
        <v>626</v>
      </c>
      <c r="N57" s="7" t="str">
        <f t="shared" si="2"/>
        <v>Mehrheimerstr. 369</v>
      </c>
      <c r="O57" s="7" t="str">
        <f t="shared" si="3"/>
        <v>Köln</v>
      </c>
      <c r="P57" s="7" t="str">
        <f t="shared" si="4"/>
        <v>NULL</v>
      </c>
      <c r="Q57" s="7">
        <f t="shared" si="5"/>
        <v>50739</v>
      </c>
      <c r="R57" s="7" t="str">
        <f t="shared" si="6"/>
        <v>Germany</v>
      </c>
      <c r="S57" s="7" t="str">
        <f t="shared" si="7"/>
        <v>0221-0644327</v>
      </c>
      <c r="T57" s="7" t="str">
        <f t="shared" si="8"/>
        <v>0221-0765721</v>
      </c>
    </row>
    <row r="58" spans="1:20" x14ac:dyDescent="0.2">
      <c r="A58" t="s">
        <v>627</v>
      </c>
      <c r="B58" t="s">
        <v>628</v>
      </c>
      <c r="C58" t="s">
        <v>629</v>
      </c>
      <c r="D58" t="s">
        <v>458</v>
      </c>
      <c r="E58">
        <v>265</v>
      </c>
      <c r="F58" t="s">
        <v>630</v>
      </c>
      <c r="G58" t="s">
        <v>412</v>
      </c>
      <c r="H58" t="s">
        <v>18</v>
      </c>
      <c r="I58">
        <v>75012</v>
      </c>
      <c r="J58" t="s">
        <v>19</v>
      </c>
      <c r="K58" t="s">
        <v>631</v>
      </c>
      <c r="L58" t="s">
        <v>632</v>
      </c>
      <c r="N58" s="7" t="str">
        <f t="shared" si="2"/>
        <v>265  boulevard Charonne</v>
      </c>
      <c r="O58" s="7" t="str">
        <f t="shared" si="3"/>
        <v>Paris</v>
      </c>
      <c r="P58" s="7" t="str">
        <f t="shared" si="4"/>
        <v>NULL</v>
      </c>
      <c r="Q58" s="7">
        <f t="shared" si="5"/>
        <v>75012</v>
      </c>
      <c r="R58" s="7" t="str">
        <f t="shared" si="6"/>
        <v>France</v>
      </c>
      <c r="S58" s="7" t="str">
        <f t="shared" si="7"/>
        <v>(1) 42.34.22.66</v>
      </c>
      <c r="T58" s="7" t="str">
        <f t="shared" si="8"/>
        <v>(1) 42.34.22.77</v>
      </c>
    </row>
    <row r="59" spans="1:20" x14ac:dyDescent="0.2">
      <c r="A59" t="s">
        <v>219</v>
      </c>
      <c r="B59" t="s">
        <v>220</v>
      </c>
      <c r="C59" t="s">
        <v>633</v>
      </c>
      <c r="D59" t="s">
        <v>454</v>
      </c>
      <c r="E59" t="s">
        <v>221</v>
      </c>
      <c r="F59" t="s">
        <v>71</v>
      </c>
      <c r="G59" t="s">
        <v>18</v>
      </c>
      <c r="H59">
        <v>5033</v>
      </c>
      <c r="I59" t="s">
        <v>72</v>
      </c>
      <c r="J59" t="s">
        <v>634</v>
      </c>
      <c r="K59" t="s">
        <v>635</v>
      </c>
      <c r="N59" s="7" t="str">
        <f t="shared" si="2"/>
        <v>Calle Dr. Jorge Cash 321</v>
      </c>
      <c r="O59" s="7" t="str">
        <f t="shared" si="3"/>
        <v>México D.F.</v>
      </c>
      <c r="P59" s="7" t="str">
        <f t="shared" si="4"/>
        <v>NULL</v>
      </c>
      <c r="Q59" s="7">
        <f t="shared" si="5"/>
        <v>5033</v>
      </c>
      <c r="R59" s="7" t="str">
        <f t="shared" si="6"/>
        <v>Mexico</v>
      </c>
      <c r="S59" s="7" t="str">
        <f t="shared" si="7"/>
        <v>(5) 552-3745</v>
      </c>
      <c r="T59" s="7" t="str">
        <f t="shared" si="8"/>
        <v>(5) 545-3745</v>
      </c>
    </row>
    <row r="60" spans="1:20" x14ac:dyDescent="0.2">
      <c r="A60" t="s">
        <v>266</v>
      </c>
      <c r="B60" t="s">
        <v>267</v>
      </c>
      <c r="C60" t="s">
        <v>636</v>
      </c>
      <c r="D60" t="s">
        <v>518</v>
      </c>
      <c r="E60" t="s">
        <v>268</v>
      </c>
      <c r="F60" t="s">
        <v>269</v>
      </c>
      <c r="G60" t="s">
        <v>18</v>
      </c>
      <c r="H60">
        <v>5020</v>
      </c>
      <c r="I60" t="s">
        <v>67</v>
      </c>
      <c r="J60" t="s">
        <v>637</v>
      </c>
      <c r="K60" t="s">
        <v>638</v>
      </c>
      <c r="N60" s="7" t="str">
        <f t="shared" si="2"/>
        <v>Geislweg 14</v>
      </c>
      <c r="O60" s="7" t="str">
        <f t="shared" si="3"/>
        <v>Salzburg</v>
      </c>
      <c r="P60" s="7" t="str">
        <f t="shared" si="4"/>
        <v>NULL</v>
      </c>
      <c r="Q60" s="7">
        <f t="shared" si="5"/>
        <v>5020</v>
      </c>
      <c r="R60" s="7" t="str">
        <f t="shared" si="6"/>
        <v>Austria</v>
      </c>
      <c r="S60" s="7" t="str">
        <f t="shared" si="7"/>
        <v>6562-9722</v>
      </c>
      <c r="T60" s="7" t="str">
        <f t="shared" si="8"/>
        <v>6562-9723</v>
      </c>
    </row>
    <row r="61" spans="1:20" x14ac:dyDescent="0.2">
      <c r="A61" t="s">
        <v>250</v>
      </c>
      <c r="B61" t="s">
        <v>251</v>
      </c>
      <c r="C61" t="s">
        <v>639</v>
      </c>
      <c r="D61" t="s">
        <v>454</v>
      </c>
      <c r="E61" t="s">
        <v>252</v>
      </c>
      <c r="F61" t="s">
        <v>237</v>
      </c>
      <c r="G61" t="s">
        <v>18</v>
      </c>
      <c r="H61">
        <v>1756</v>
      </c>
      <c r="I61" t="s">
        <v>238</v>
      </c>
      <c r="J61" t="s">
        <v>640</v>
      </c>
      <c r="K61" t="s">
        <v>18</v>
      </c>
      <c r="N61" s="7" t="str">
        <f t="shared" si="2"/>
        <v>Estrada da saúde n. 58</v>
      </c>
      <c r="O61" s="7" t="str">
        <f t="shared" si="3"/>
        <v>Lisboa</v>
      </c>
      <c r="P61" s="7" t="str">
        <f t="shared" si="4"/>
        <v>NULL</v>
      </c>
      <c r="Q61" s="7">
        <f t="shared" si="5"/>
        <v>1756</v>
      </c>
      <c r="R61" s="7" t="str">
        <f t="shared" si="6"/>
        <v>Portugal</v>
      </c>
      <c r="S61" s="7" t="str">
        <f t="shared" si="7"/>
        <v>(1) 356-5634</v>
      </c>
      <c r="T61" s="7" t="str">
        <f t="shared" si="8"/>
        <v>NULL</v>
      </c>
    </row>
    <row r="62" spans="1:20" x14ac:dyDescent="0.2">
      <c r="A62" t="s">
        <v>77</v>
      </c>
      <c r="B62" t="s">
        <v>78</v>
      </c>
      <c r="C62" t="s">
        <v>641</v>
      </c>
      <c r="D62" t="s">
        <v>487</v>
      </c>
      <c r="E62" t="s">
        <v>79</v>
      </c>
      <c r="F62">
        <v>12</v>
      </c>
      <c r="G62" t="s">
        <v>28</v>
      </c>
      <c r="H62" t="s">
        <v>29</v>
      </c>
      <c r="I62" t="s">
        <v>80</v>
      </c>
      <c r="J62" t="s">
        <v>31</v>
      </c>
      <c r="K62" t="s">
        <v>642</v>
      </c>
      <c r="L62" t="s">
        <v>643</v>
      </c>
      <c r="N62" s="7" t="str">
        <f t="shared" si="2"/>
        <v>Rua da Panificadora 12</v>
      </c>
      <c r="O62" s="7" t="str">
        <f t="shared" si="3"/>
        <v>Rio de Janeiro</v>
      </c>
      <c r="P62" s="7" t="str">
        <f t="shared" si="4"/>
        <v>RJ</v>
      </c>
      <c r="Q62" s="7" t="str">
        <f t="shared" si="5"/>
        <v>02389-673</v>
      </c>
      <c r="R62" s="7" t="str">
        <f t="shared" si="6"/>
        <v>Brazil</v>
      </c>
      <c r="S62" s="7" t="str">
        <f t="shared" si="7"/>
        <v>(21) 555-4252</v>
      </c>
      <c r="T62" s="7" t="str">
        <f t="shared" si="8"/>
        <v>(21) 555-4545</v>
      </c>
    </row>
    <row r="63" spans="1:20" x14ac:dyDescent="0.2">
      <c r="A63" t="s">
        <v>299</v>
      </c>
      <c r="B63" t="s">
        <v>300</v>
      </c>
      <c r="C63" t="s">
        <v>644</v>
      </c>
      <c r="D63" t="s">
        <v>522</v>
      </c>
      <c r="E63" t="s">
        <v>301</v>
      </c>
      <c r="F63">
        <v>891</v>
      </c>
      <c r="G63" t="s">
        <v>173</v>
      </c>
      <c r="H63" t="s">
        <v>55</v>
      </c>
      <c r="I63" t="s">
        <v>302</v>
      </c>
      <c r="J63" t="s">
        <v>31</v>
      </c>
      <c r="K63" t="s">
        <v>645</v>
      </c>
      <c r="L63" t="s">
        <v>18</v>
      </c>
      <c r="N63" s="7" t="str">
        <f t="shared" si="2"/>
        <v>Alameda dos Canàrios 891</v>
      </c>
      <c r="O63" s="7" t="str">
        <f t="shared" si="3"/>
        <v>Sao Paulo</v>
      </c>
      <c r="P63" s="7" t="str">
        <f t="shared" si="4"/>
        <v>SP</v>
      </c>
      <c r="Q63" s="7" t="str">
        <f t="shared" si="5"/>
        <v>05487-020</v>
      </c>
      <c r="R63" s="7" t="str">
        <f t="shared" si="6"/>
        <v>Brazil</v>
      </c>
      <c r="S63" s="7" t="str">
        <f t="shared" si="7"/>
        <v>(11) 555-1189</v>
      </c>
      <c r="T63" s="7" t="str">
        <f t="shared" si="8"/>
        <v>NULL</v>
      </c>
    </row>
    <row r="64" spans="1:20" x14ac:dyDescent="0.2">
      <c r="A64" t="s">
        <v>121</v>
      </c>
      <c r="B64" t="s">
        <v>122</v>
      </c>
      <c r="C64" t="s">
        <v>646</v>
      </c>
      <c r="D64" t="s">
        <v>487</v>
      </c>
      <c r="E64" t="s">
        <v>123</v>
      </c>
      <c r="F64" t="s">
        <v>124</v>
      </c>
      <c r="G64" t="s">
        <v>18</v>
      </c>
      <c r="H64">
        <v>1307</v>
      </c>
      <c r="I64" t="s">
        <v>24</v>
      </c>
      <c r="J64" t="s">
        <v>647</v>
      </c>
      <c r="K64" t="s">
        <v>18</v>
      </c>
      <c r="N64" s="7" t="str">
        <f t="shared" si="2"/>
        <v>Taucherstraße 10</v>
      </c>
      <c r="O64" s="7" t="str">
        <f t="shared" si="3"/>
        <v>Cunewalde</v>
      </c>
      <c r="P64" s="7" t="str">
        <f t="shared" si="4"/>
        <v>NULL</v>
      </c>
      <c r="Q64" s="7">
        <f t="shared" si="5"/>
        <v>1307</v>
      </c>
      <c r="R64" s="7" t="str">
        <f t="shared" si="6"/>
        <v>Germany</v>
      </c>
      <c r="S64" s="7" t="str">
        <f t="shared" si="7"/>
        <v>0372-035188</v>
      </c>
      <c r="T64" s="7" t="str">
        <f t="shared" si="8"/>
        <v>NULL</v>
      </c>
    </row>
    <row r="65" spans="1:20" x14ac:dyDescent="0.2">
      <c r="A65" t="s">
        <v>351</v>
      </c>
      <c r="B65" t="s">
        <v>352</v>
      </c>
      <c r="C65" t="s">
        <v>648</v>
      </c>
      <c r="D65" t="s">
        <v>454</v>
      </c>
      <c r="E65" t="s">
        <v>353</v>
      </c>
      <c r="F65" t="s">
        <v>336</v>
      </c>
      <c r="G65" t="s">
        <v>18</v>
      </c>
      <c r="H65">
        <v>1010</v>
      </c>
      <c r="I65" t="s">
        <v>337</v>
      </c>
      <c r="J65" t="s">
        <v>649</v>
      </c>
      <c r="K65" t="s">
        <v>650</v>
      </c>
      <c r="N65" s="7" t="str">
        <f t="shared" si="2"/>
        <v>Av. del Libertador 900</v>
      </c>
      <c r="O65" s="7" t="str">
        <f t="shared" si="3"/>
        <v>Buenos Aires</v>
      </c>
      <c r="P65" s="7" t="str">
        <f t="shared" si="4"/>
        <v>NULL</v>
      </c>
      <c r="Q65" s="7">
        <f t="shared" si="5"/>
        <v>1010</v>
      </c>
      <c r="R65" s="7" t="str">
        <f t="shared" si="6"/>
        <v>Argentina</v>
      </c>
      <c r="S65" s="7" t="str">
        <f t="shared" si="7"/>
        <v>(1) 123-5555</v>
      </c>
      <c r="T65" s="7" t="str">
        <f t="shared" si="8"/>
        <v>(1) 123-5556</v>
      </c>
    </row>
    <row r="66" spans="1:20" x14ac:dyDescent="0.2">
      <c r="A66" t="s">
        <v>81</v>
      </c>
      <c r="B66" t="s">
        <v>82</v>
      </c>
      <c r="C66" t="s">
        <v>651</v>
      </c>
      <c r="D66" t="s">
        <v>652</v>
      </c>
      <c r="E66" t="s">
        <v>83</v>
      </c>
      <c r="F66" t="s">
        <v>84</v>
      </c>
      <c r="G66" t="s">
        <v>85</v>
      </c>
      <c r="H66">
        <v>87110</v>
      </c>
      <c r="I66" t="s">
        <v>86</v>
      </c>
      <c r="J66" t="s">
        <v>653</v>
      </c>
      <c r="K66" t="s">
        <v>654</v>
      </c>
      <c r="N66" s="7" t="str">
        <f t="shared" si="2"/>
        <v>2817 Milton Dr.</v>
      </c>
      <c r="O66" s="7" t="str">
        <f t="shared" si="3"/>
        <v>Albuquerque</v>
      </c>
      <c r="P66" s="7" t="str">
        <f t="shared" si="4"/>
        <v>NM</v>
      </c>
      <c r="Q66" s="7">
        <f t="shared" si="5"/>
        <v>87110</v>
      </c>
      <c r="R66" s="7" t="str">
        <f t="shared" si="6"/>
        <v>USA</v>
      </c>
      <c r="S66" s="7" t="str">
        <f t="shared" si="7"/>
        <v>(505) 555-5939</v>
      </c>
      <c r="T66" s="7" t="str">
        <f t="shared" si="8"/>
        <v>(505) 555-3620</v>
      </c>
    </row>
    <row r="67" spans="1:20" x14ac:dyDescent="0.2">
      <c r="A67" t="s">
        <v>160</v>
      </c>
      <c r="B67" t="s">
        <v>161</v>
      </c>
      <c r="C67" t="s">
        <v>655</v>
      </c>
      <c r="D67" t="s">
        <v>503</v>
      </c>
      <c r="E67" t="s">
        <v>162</v>
      </c>
      <c r="F67" t="s">
        <v>163</v>
      </c>
      <c r="G67" t="s">
        <v>18</v>
      </c>
      <c r="H67">
        <v>42100</v>
      </c>
      <c r="I67" t="s">
        <v>129</v>
      </c>
      <c r="J67" t="s">
        <v>656</v>
      </c>
      <c r="K67" t="s">
        <v>657</v>
      </c>
      <c r="N67" s="7" t="str">
        <f t="shared" ref="N67:N92" si="9">IF(L67&lt;&gt;"",E67&amp;" "&amp;F67,E67)</f>
        <v>Strada Provinciale 124</v>
      </c>
      <c r="O67" s="7" t="str">
        <f t="shared" ref="O67:O92" si="10">IF($L67&lt;&gt;"",G67,F67)</f>
        <v>Reggio Emilia</v>
      </c>
      <c r="P67" s="7" t="str">
        <f t="shared" ref="P67:P92" si="11">IF($L67&lt;&gt;"",H67,G67)</f>
        <v>NULL</v>
      </c>
      <c r="Q67" s="7">
        <f t="shared" ref="Q67:Q92" si="12">IF($L67&lt;&gt;"",I67,H67)</f>
        <v>42100</v>
      </c>
      <c r="R67" s="7" t="str">
        <f t="shared" ref="R67:R92" si="13">IF($L67&lt;&gt;"",J67,I67)</f>
        <v>Italy</v>
      </c>
      <c r="S67" s="7" t="str">
        <f t="shared" ref="S67:S92" si="14">IF($L67&lt;&gt;"",K67,J67)</f>
        <v>0522-556721</v>
      </c>
      <c r="T67" s="7" t="str">
        <f t="shared" ref="T67:T92" si="15">IF($L67&lt;&gt;"",L67,K67)</f>
        <v>0522-556722</v>
      </c>
    </row>
    <row r="68" spans="1:20" x14ac:dyDescent="0.2">
      <c r="A68" t="s">
        <v>156</v>
      </c>
      <c r="B68" t="s">
        <v>157</v>
      </c>
      <c r="C68" t="s">
        <v>658</v>
      </c>
      <c r="D68" t="s">
        <v>531</v>
      </c>
      <c r="E68" t="s">
        <v>158</v>
      </c>
      <c r="F68">
        <v>267</v>
      </c>
      <c r="G68" t="s">
        <v>28</v>
      </c>
      <c r="H68" t="s">
        <v>29</v>
      </c>
      <c r="I68" t="s">
        <v>159</v>
      </c>
      <c r="J68" t="s">
        <v>31</v>
      </c>
      <c r="K68" t="s">
        <v>659</v>
      </c>
      <c r="L68" t="s">
        <v>18</v>
      </c>
      <c r="N68" s="7" t="str">
        <f t="shared" si="9"/>
        <v>Av. Copacabana 267</v>
      </c>
      <c r="O68" s="7" t="str">
        <f t="shared" si="10"/>
        <v>Rio de Janeiro</v>
      </c>
      <c r="P68" s="7" t="str">
        <f t="shared" si="11"/>
        <v>RJ</v>
      </c>
      <c r="Q68" s="7" t="str">
        <f t="shared" si="12"/>
        <v>02389-890</v>
      </c>
      <c r="R68" s="7" t="str">
        <f t="shared" si="13"/>
        <v>Brazil</v>
      </c>
      <c r="S68" s="7" t="str">
        <f t="shared" si="14"/>
        <v>(21) 555-3412</v>
      </c>
      <c r="T68" s="7" t="str">
        <f t="shared" si="15"/>
        <v>NULL</v>
      </c>
    </row>
    <row r="69" spans="1:20" x14ac:dyDescent="0.2">
      <c r="A69" t="s">
        <v>47</v>
      </c>
      <c r="B69" t="s">
        <v>48</v>
      </c>
      <c r="C69" t="s">
        <v>660</v>
      </c>
      <c r="D69" t="s">
        <v>518</v>
      </c>
      <c r="E69" t="s">
        <v>661</v>
      </c>
      <c r="F69" t="s">
        <v>50</v>
      </c>
      <c r="G69" t="s">
        <v>18</v>
      </c>
      <c r="H69">
        <v>1203</v>
      </c>
      <c r="I69" t="s">
        <v>46</v>
      </c>
      <c r="J69" t="s">
        <v>662</v>
      </c>
      <c r="K69" t="s">
        <v>18</v>
      </c>
      <c r="N69" s="7" t="str">
        <f t="shared" si="9"/>
        <v>Grenzacherweg 237</v>
      </c>
      <c r="O69" s="7" t="str">
        <f t="shared" si="10"/>
        <v>Genève</v>
      </c>
      <c r="P69" s="7" t="str">
        <f t="shared" si="11"/>
        <v>NULL</v>
      </c>
      <c r="Q69" s="7">
        <f t="shared" si="12"/>
        <v>1203</v>
      </c>
      <c r="R69" s="7" t="str">
        <f t="shared" si="13"/>
        <v>Switzerland</v>
      </c>
      <c r="S69" s="7" t="str">
        <f t="shared" si="14"/>
        <v>0897-034214</v>
      </c>
      <c r="T69" s="7" t="str">
        <f t="shared" si="15"/>
        <v>NULL</v>
      </c>
    </row>
    <row r="70" spans="1:20" x14ac:dyDescent="0.2">
      <c r="A70" t="s">
        <v>146</v>
      </c>
      <c r="B70" t="s">
        <v>147</v>
      </c>
      <c r="C70" t="s">
        <v>663</v>
      </c>
      <c r="D70" t="s">
        <v>487</v>
      </c>
      <c r="E70" t="s">
        <v>148</v>
      </c>
      <c r="F70">
        <v>1</v>
      </c>
      <c r="G70" t="s">
        <v>149</v>
      </c>
      <c r="H70" t="s">
        <v>18</v>
      </c>
      <c r="I70">
        <v>28001</v>
      </c>
      <c r="J70" t="s">
        <v>150</v>
      </c>
      <c r="K70" t="s">
        <v>664</v>
      </c>
      <c r="L70" t="s">
        <v>665</v>
      </c>
      <c r="N70" s="7" t="str">
        <f t="shared" si="9"/>
        <v>Gran Vía 1</v>
      </c>
      <c r="O70" s="7" t="str">
        <f t="shared" si="10"/>
        <v>Madrid</v>
      </c>
      <c r="P70" s="7" t="str">
        <f t="shared" si="11"/>
        <v>NULL</v>
      </c>
      <c r="Q70" s="7">
        <f t="shared" si="12"/>
        <v>28001</v>
      </c>
      <c r="R70" s="7" t="str">
        <f t="shared" si="13"/>
        <v>Spain</v>
      </c>
      <c r="S70" s="7" t="str">
        <f t="shared" si="14"/>
        <v>(91) 745 6200</v>
      </c>
      <c r="T70" s="7" t="str">
        <f t="shared" si="15"/>
        <v>(91) 745 6210</v>
      </c>
    </row>
    <row r="71" spans="1:20" x14ac:dyDescent="0.2">
      <c r="A71" t="s">
        <v>313</v>
      </c>
      <c r="B71" t="s">
        <v>314</v>
      </c>
      <c r="C71" t="s">
        <v>666</v>
      </c>
      <c r="D71" t="s">
        <v>458</v>
      </c>
      <c r="E71" t="s">
        <v>315</v>
      </c>
      <c r="F71" t="s">
        <v>316</v>
      </c>
      <c r="G71" t="s">
        <v>18</v>
      </c>
      <c r="H71">
        <v>4110</v>
      </c>
      <c r="I71" t="s">
        <v>317</v>
      </c>
      <c r="J71" t="s">
        <v>667</v>
      </c>
      <c r="K71" t="s">
        <v>668</v>
      </c>
      <c r="N71" s="7" t="str">
        <f t="shared" si="9"/>
        <v>Erling Skakkes gate 78</v>
      </c>
      <c r="O71" s="7" t="str">
        <f t="shared" si="10"/>
        <v>Stavern</v>
      </c>
      <c r="P71" s="7" t="str">
        <f t="shared" si="11"/>
        <v>NULL</v>
      </c>
      <c r="Q71" s="7">
        <f t="shared" si="12"/>
        <v>4110</v>
      </c>
      <c r="R71" s="7" t="str">
        <f t="shared" si="13"/>
        <v>Norway</v>
      </c>
      <c r="S71" s="7" t="str">
        <f t="shared" si="14"/>
        <v>07-98 92 35</v>
      </c>
      <c r="T71" s="7" t="str">
        <f t="shared" si="15"/>
        <v>07-98 92 47</v>
      </c>
    </row>
    <row r="72" spans="1:20" x14ac:dyDescent="0.2">
      <c r="A72" t="s">
        <v>226</v>
      </c>
      <c r="B72" t="s">
        <v>227</v>
      </c>
      <c r="C72" t="s">
        <v>669</v>
      </c>
      <c r="D72" t="s">
        <v>454</v>
      </c>
      <c r="E72" t="s">
        <v>228</v>
      </c>
      <c r="F72" t="s">
        <v>229</v>
      </c>
      <c r="G72" t="s">
        <v>230</v>
      </c>
      <c r="H72">
        <v>83720</v>
      </c>
      <c r="I72" t="s">
        <v>86</v>
      </c>
      <c r="J72" t="s">
        <v>670</v>
      </c>
      <c r="K72" t="s">
        <v>18</v>
      </c>
      <c r="N72" s="7" t="str">
        <f t="shared" si="9"/>
        <v>187 Suffolk Ln.</v>
      </c>
      <c r="O72" s="7" t="str">
        <f t="shared" si="10"/>
        <v>Boise</v>
      </c>
      <c r="P72" s="7" t="str">
        <f t="shared" si="11"/>
        <v>ID</v>
      </c>
      <c r="Q72" s="7">
        <f t="shared" si="12"/>
        <v>83720</v>
      </c>
      <c r="R72" s="7" t="str">
        <f t="shared" si="13"/>
        <v>USA</v>
      </c>
      <c r="S72" s="7" t="str">
        <f t="shared" si="14"/>
        <v>(208) 555-8097</v>
      </c>
      <c r="T72" s="7" t="str">
        <f t="shared" si="15"/>
        <v>NULL</v>
      </c>
    </row>
    <row r="73" spans="1:20" x14ac:dyDescent="0.2">
      <c r="A73" t="s">
        <v>276</v>
      </c>
      <c r="B73" t="s">
        <v>277</v>
      </c>
      <c r="C73" t="s">
        <v>671</v>
      </c>
      <c r="D73" t="s">
        <v>518</v>
      </c>
      <c r="E73" t="s">
        <v>278</v>
      </c>
      <c r="F73" t="s">
        <v>167</v>
      </c>
      <c r="G73" t="s">
        <v>18</v>
      </c>
      <c r="H73" t="s">
        <v>279</v>
      </c>
      <c r="I73" t="s">
        <v>169</v>
      </c>
      <c r="J73" t="s">
        <v>672</v>
      </c>
      <c r="K73" t="s">
        <v>673</v>
      </c>
      <c r="N73" s="7" t="str">
        <f t="shared" si="9"/>
        <v>90 Wadhurst Rd.</v>
      </c>
      <c r="O73" s="7" t="str">
        <f t="shared" si="10"/>
        <v>London</v>
      </c>
      <c r="P73" s="7" t="str">
        <f t="shared" si="11"/>
        <v>NULL</v>
      </c>
      <c r="Q73" s="7" t="str">
        <f t="shared" si="12"/>
        <v>OX15 4NB</v>
      </c>
      <c r="R73" s="7" t="str">
        <f t="shared" si="13"/>
        <v>UK</v>
      </c>
      <c r="S73" s="7" t="str">
        <f t="shared" si="14"/>
        <v>(171) 555-1717</v>
      </c>
      <c r="T73" s="7" t="str">
        <f t="shared" si="15"/>
        <v>(171) 555-5646</v>
      </c>
    </row>
    <row r="74" spans="1:20" x14ac:dyDescent="0.2">
      <c r="A74" t="s">
        <v>253</v>
      </c>
      <c r="B74" t="s">
        <v>254</v>
      </c>
      <c r="C74" t="s">
        <v>674</v>
      </c>
      <c r="D74" t="s">
        <v>458</v>
      </c>
      <c r="E74" t="s">
        <v>255</v>
      </c>
      <c r="F74" t="s">
        <v>256</v>
      </c>
      <c r="G74" t="s">
        <v>18</v>
      </c>
      <c r="H74">
        <v>1734</v>
      </c>
      <c r="I74" t="s">
        <v>257</v>
      </c>
      <c r="J74" t="s">
        <v>675</v>
      </c>
      <c r="K74" t="s">
        <v>676</v>
      </c>
      <c r="N74" s="7" t="str">
        <f t="shared" si="9"/>
        <v>Vinbæltet 34</v>
      </c>
      <c r="O74" s="7" t="str">
        <f t="shared" si="10"/>
        <v>Kobenhavn</v>
      </c>
      <c r="P74" s="7" t="str">
        <f t="shared" si="11"/>
        <v>NULL</v>
      </c>
      <c r="Q74" s="7">
        <f t="shared" si="12"/>
        <v>1734</v>
      </c>
      <c r="R74" s="7" t="str">
        <f t="shared" si="13"/>
        <v>Denmark</v>
      </c>
      <c r="S74" s="7" t="str">
        <f t="shared" si="14"/>
        <v>31 12 34 56</v>
      </c>
      <c r="T74" s="7" t="str">
        <f t="shared" si="15"/>
        <v>31 13 35 57</v>
      </c>
    </row>
    <row r="75" spans="1:20" x14ac:dyDescent="0.2">
      <c r="A75" t="s">
        <v>409</v>
      </c>
      <c r="B75" t="s">
        <v>410</v>
      </c>
      <c r="C75" t="s">
        <v>677</v>
      </c>
      <c r="D75" t="s">
        <v>477</v>
      </c>
      <c r="E75">
        <v>25</v>
      </c>
      <c r="F75" t="s">
        <v>411</v>
      </c>
      <c r="G75" t="s">
        <v>412</v>
      </c>
      <c r="H75" t="s">
        <v>18</v>
      </c>
      <c r="I75">
        <v>75016</v>
      </c>
      <c r="J75" t="s">
        <v>19</v>
      </c>
      <c r="K75" t="s">
        <v>678</v>
      </c>
      <c r="L75" t="s">
        <v>679</v>
      </c>
      <c r="N75" s="7" t="str">
        <f t="shared" si="9"/>
        <v>25  rue Lauriston</v>
      </c>
      <c r="O75" s="7" t="str">
        <f t="shared" si="10"/>
        <v>Paris</v>
      </c>
      <c r="P75" s="7" t="str">
        <f t="shared" si="11"/>
        <v>NULL</v>
      </c>
      <c r="Q75" s="7">
        <f t="shared" si="12"/>
        <v>75016</v>
      </c>
      <c r="R75" s="7" t="str">
        <f t="shared" si="13"/>
        <v>France</v>
      </c>
      <c r="S75" s="7" t="str">
        <f t="shared" si="14"/>
        <v>(1) 47.55.60.10</v>
      </c>
      <c r="T75" s="7" t="str">
        <f t="shared" si="15"/>
        <v>(1) 47.55.60.20</v>
      </c>
    </row>
    <row r="76" spans="1:20" x14ac:dyDescent="0.2">
      <c r="A76" t="s">
        <v>116</v>
      </c>
      <c r="B76" t="s">
        <v>117</v>
      </c>
      <c r="C76" t="s">
        <v>680</v>
      </c>
      <c r="D76" t="s">
        <v>518</v>
      </c>
      <c r="E76" t="s">
        <v>118</v>
      </c>
      <c r="F76" t="s">
        <v>119</v>
      </c>
      <c r="G76" t="s">
        <v>120</v>
      </c>
      <c r="H76">
        <v>82520</v>
      </c>
      <c r="I76" t="s">
        <v>86</v>
      </c>
      <c r="J76" t="s">
        <v>681</v>
      </c>
      <c r="K76" t="s">
        <v>682</v>
      </c>
      <c r="N76" s="7" t="str">
        <f t="shared" si="9"/>
        <v>P.O. Box 555</v>
      </c>
      <c r="O76" s="7" t="str">
        <f t="shared" si="10"/>
        <v>Lander</v>
      </c>
      <c r="P76" s="7" t="str">
        <f t="shared" si="11"/>
        <v>WY</v>
      </c>
      <c r="Q76" s="7">
        <f t="shared" si="12"/>
        <v>82520</v>
      </c>
      <c r="R76" s="7" t="str">
        <f t="shared" si="13"/>
        <v>USA</v>
      </c>
      <c r="S76" s="7" t="str">
        <f t="shared" si="14"/>
        <v>(307) 555-4680</v>
      </c>
      <c r="T76" s="7" t="str">
        <f t="shared" si="15"/>
        <v>(307) 555-6525</v>
      </c>
    </row>
    <row r="77" spans="1:20" x14ac:dyDescent="0.2">
      <c r="A77" t="s">
        <v>36</v>
      </c>
      <c r="B77" t="s">
        <v>37</v>
      </c>
      <c r="C77" t="s">
        <v>683</v>
      </c>
      <c r="D77" t="s">
        <v>487</v>
      </c>
      <c r="E77" t="s">
        <v>38</v>
      </c>
      <c r="F77">
        <v>255</v>
      </c>
      <c r="G77" t="s">
        <v>39</v>
      </c>
      <c r="H77" t="s">
        <v>18</v>
      </c>
      <c r="I77" t="s">
        <v>40</v>
      </c>
      <c r="J77" t="s">
        <v>41</v>
      </c>
      <c r="K77" t="s">
        <v>684</v>
      </c>
      <c r="L77" t="s">
        <v>685</v>
      </c>
      <c r="N77" s="7" t="str">
        <f t="shared" si="9"/>
        <v>Boulevard Tirou 255</v>
      </c>
      <c r="O77" s="7" t="str">
        <f t="shared" si="10"/>
        <v>Charleroi</v>
      </c>
      <c r="P77" s="7" t="str">
        <f t="shared" si="11"/>
        <v>NULL</v>
      </c>
      <c r="Q77" s="7" t="str">
        <f t="shared" si="12"/>
        <v>B-6000</v>
      </c>
      <c r="R77" s="7" t="str">
        <f t="shared" si="13"/>
        <v>Belgium</v>
      </c>
      <c r="S77" s="7" t="str">
        <f t="shared" si="14"/>
        <v>(071) 23 67 22 20</v>
      </c>
      <c r="T77" s="7" t="str">
        <f t="shared" si="15"/>
        <v>(071) 23 67 22 21</v>
      </c>
    </row>
    <row r="78" spans="1:20" x14ac:dyDescent="0.2">
      <c r="A78" t="s">
        <v>206</v>
      </c>
      <c r="B78" t="s">
        <v>207</v>
      </c>
      <c r="C78" t="s">
        <v>686</v>
      </c>
      <c r="D78" t="s">
        <v>477</v>
      </c>
      <c r="E78" t="s">
        <v>208</v>
      </c>
      <c r="F78" t="s">
        <v>201</v>
      </c>
      <c r="G78" t="s">
        <v>202</v>
      </c>
      <c r="H78">
        <v>97201</v>
      </c>
      <c r="I78" t="s">
        <v>86</v>
      </c>
      <c r="J78" t="s">
        <v>687</v>
      </c>
      <c r="K78" t="s">
        <v>18</v>
      </c>
      <c r="N78" s="7" t="str">
        <f t="shared" si="9"/>
        <v>89 Jefferson Way Suite 2</v>
      </c>
      <c r="O78" s="7" t="str">
        <f t="shared" si="10"/>
        <v>Portland</v>
      </c>
      <c r="P78" s="7" t="str">
        <f t="shared" si="11"/>
        <v>OR</v>
      </c>
      <c r="Q78" s="7">
        <f t="shared" si="12"/>
        <v>97201</v>
      </c>
      <c r="R78" s="7" t="str">
        <f t="shared" si="13"/>
        <v>USA</v>
      </c>
      <c r="S78" s="7" t="str">
        <f t="shared" si="14"/>
        <v>(503) 555-3612</v>
      </c>
      <c r="T78" s="7" t="str">
        <f t="shared" si="15"/>
        <v>NULL</v>
      </c>
    </row>
    <row r="79" spans="1:20" x14ac:dyDescent="0.2">
      <c r="A79" t="s">
        <v>396</v>
      </c>
      <c r="B79" t="s">
        <v>397</v>
      </c>
      <c r="C79" t="s">
        <v>688</v>
      </c>
      <c r="D79" t="s">
        <v>522</v>
      </c>
      <c r="E79" t="s">
        <v>398</v>
      </c>
      <c r="F79" t="s">
        <v>399</v>
      </c>
      <c r="G79" t="s">
        <v>400</v>
      </c>
      <c r="H79">
        <v>59801</v>
      </c>
      <c r="I79" t="s">
        <v>86</v>
      </c>
      <c r="J79" t="s">
        <v>689</v>
      </c>
      <c r="K79" t="s">
        <v>690</v>
      </c>
      <c r="N79" s="7" t="str">
        <f t="shared" si="9"/>
        <v>55 Grizzly Peak Rd.</v>
      </c>
      <c r="O79" s="7" t="str">
        <f t="shared" si="10"/>
        <v>Butte</v>
      </c>
      <c r="P79" s="7" t="str">
        <f t="shared" si="11"/>
        <v>MT</v>
      </c>
      <c r="Q79" s="7">
        <f t="shared" si="12"/>
        <v>59801</v>
      </c>
      <c r="R79" s="7" t="str">
        <f t="shared" si="13"/>
        <v>USA</v>
      </c>
      <c r="S79" s="7" t="str">
        <f t="shared" si="14"/>
        <v>(406) 555-5834</v>
      </c>
      <c r="T79" s="7" t="str">
        <f t="shared" si="15"/>
        <v>(406) 555-8083</v>
      </c>
    </row>
    <row r="80" spans="1:20" x14ac:dyDescent="0.2">
      <c r="A80" t="s">
        <v>20</v>
      </c>
      <c r="B80" t="s">
        <v>21</v>
      </c>
      <c r="C80" t="s">
        <v>691</v>
      </c>
      <c r="D80" t="s">
        <v>477</v>
      </c>
      <c r="E80" t="s">
        <v>22</v>
      </c>
      <c r="F80" t="s">
        <v>23</v>
      </c>
      <c r="G80" t="s">
        <v>18</v>
      </c>
      <c r="H80">
        <v>44087</v>
      </c>
      <c r="I80" t="s">
        <v>24</v>
      </c>
      <c r="J80" t="s">
        <v>692</v>
      </c>
      <c r="K80" t="s">
        <v>693</v>
      </c>
      <c r="N80" s="7" t="str">
        <f t="shared" si="9"/>
        <v>Luisenstr. 48</v>
      </c>
      <c r="O80" s="7" t="str">
        <f t="shared" si="10"/>
        <v>Münster</v>
      </c>
      <c r="P80" s="7" t="str">
        <f t="shared" si="11"/>
        <v>NULL</v>
      </c>
      <c r="Q80" s="7">
        <f t="shared" si="12"/>
        <v>44087</v>
      </c>
      <c r="R80" s="7" t="str">
        <f t="shared" si="13"/>
        <v>Germany</v>
      </c>
      <c r="S80" s="7" t="str">
        <f t="shared" si="14"/>
        <v>0251-031259</v>
      </c>
      <c r="T80" s="7" t="str">
        <f t="shared" si="15"/>
        <v>0251-035695</v>
      </c>
    </row>
    <row r="81" spans="1:20" x14ac:dyDescent="0.2">
      <c r="A81" t="s">
        <v>130</v>
      </c>
      <c r="B81" t="s">
        <v>131</v>
      </c>
      <c r="C81" t="s">
        <v>694</v>
      </c>
      <c r="D81" t="s">
        <v>458</v>
      </c>
      <c r="E81" t="s">
        <v>132</v>
      </c>
      <c r="F81" t="s">
        <v>71</v>
      </c>
      <c r="G81" t="s">
        <v>18</v>
      </c>
      <c r="H81">
        <v>5033</v>
      </c>
      <c r="I81" t="s">
        <v>72</v>
      </c>
      <c r="J81" t="s">
        <v>695</v>
      </c>
      <c r="K81" t="s">
        <v>18</v>
      </c>
      <c r="N81" s="7" t="str">
        <f t="shared" si="9"/>
        <v>Avda. Azteca 123</v>
      </c>
      <c r="O81" s="7" t="str">
        <f t="shared" si="10"/>
        <v>México D.F.</v>
      </c>
      <c r="P81" s="7" t="str">
        <f t="shared" si="11"/>
        <v>NULL</v>
      </c>
      <c r="Q81" s="7">
        <f t="shared" si="12"/>
        <v>5033</v>
      </c>
      <c r="R81" s="7" t="str">
        <f t="shared" si="13"/>
        <v>Mexico</v>
      </c>
      <c r="S81" s="7" t="str">
        <f t="shared" si="14"/>
        <v>(5) 555-2933</v>
      </c>
      <c r="T81" s="7" t="str">
        <f t="shared" si="15"/>
        <v>NULL</v>
      </c>
    </row>
    <row r="82" spans="1:20" x14ac:dyDescent="0.2">
      <c r="A82" t="s">
        <v>175</v>
      </c>
      <c r="B82" t="s">
        <v>696</v>
      </c>
      <c r="C82" t="s">
        <v>697</v>
      </c>
      <c r="D82" t="s">
        <v>454</v>
      </c>
      <c r="E82" t="s">
        <v>177</v>
      </c>
      <c r="F82">
        <v>414</v>
      </c>
      <c r="G82" t="s">
        <v>173</v>
      </c>
      <c r="H82" t="s">
        <v>55</v>
      </c>
      <c r="I82" t="s">
        <v>178</v>
      </c>
      <c r="J82" t="s">
        <v>31</v>
      </c>
      <c r="K82" t="s">
        <v>698</v>
      </c>
      <c r="L82" t="s">
        <v>699</v>
      </c>
      <c r="N82" s="7" t="str">
        <f t="shared" si="9"/>
        <v>Av. Inês de Castro 414</v>
      </c>
      <c r="O82" s="7" t="str">
        <f t="shared" si="10"/>
        <v>Sao Paulo</v>
      </c>
      <c r="P82" s="7" t="str">
        <f t="shared" si="11"/>
        <v>SP</v>
      </c>
      <c r="Q82" s="7" t="str">
        <f t="shared" si="12"/>
        <v>05634-030</v>
      </c>
      <c r="R82" s="7" t="str">
        <f t="shared" si="13"/>
        <v>Brazil</v>
      </c>
      <c r="S82" s="7" t="str">
        <f t="shared" si="14"/>
        <v>(11) 555-2167</v>
      </c>
      <c r="T82" s="7" t="str">
        <f t="shared" si="15"/>
        <v>(11) 555-2168</v>
      </c>
    </row>
    <row r="83" spans="1:20" x14ac:dyDescent="0.2">
      <c r="A83" t="s">
        <v>383</v>
      </c>
      <c r="B83" t="s">
        <v>384</v>
      </c>
      <c r="C83" t="s">
        <v>700</v>
      </c>
      <c r="D83" t="s">
        <v>503</v>
      </c>
      <c r="E83" t="s">
        <v>385</v>
      </c>
      <c r="F83" t="s">
        <v>386</v>
      </c>
      <c r="G83" t="s">
        <v>115</v>
      </c>
      <c r="H83">
        <v>98034</v>
      </c>
      <c r="I83" t="s">
        <v>86</v>
      </c>
      <c r="J83" t="s">
        <v>701</v>
      </c>
      <c r="K83" t="s">
        <v>702</v>
      </c>
      <c r="N83" s="7" t="str">
        <f t="shared" si="9"/>
        <v>722 DaVinci Blvd.</v>
      </c>
      <c r="O83" s="7" t="str">
        <f t="shared" si="10"/>
        <v>Kirkland</v>
      </c>
      <c r="P83" s="7" t="str">
        <f t="shared" si="11"/>
        <v>WA</v>
      </c>
      <c r="Q83" s="7">
        <f t="shared" si="12"/>
        <v>98034</v>
      </c>
      <c r="R83" s="7" t="str">
        <f t="shared" si="13"/>
        <v>USA</v>
      </c>
      <c r="S83" s="7" t="str">
        <f t="shared" si="14"/>
        <v>(206) 555-8257</v>
      </c>
      <c r="T83" s="7" t="str">
        <f t="shared" si="15"/>
        <v>(206) 555-2174</v>
      </c>
    </row>
    <row r="84" spans="1:20" x14ac:dyDescent="0.2">
      <c r="A84" t="s">
        <v>295</v>
      </c>
      <c r="B84" t="s">
        <v>296</v>
      </c>
      <c r="C84" t="s">
        <v>703</v>
      </c>
      <c r="D84" t="s">
        <v>518</v>
      </c>
      <c r="E84" t="s">
        <v>297</v>
      </c>
      <c r="F84" t="s">
        <v>298</v>
      </c>
      <c r="G84" t="s">
        <v>18</v>
      </c>
      <c r="H84">
        <v>8200</v>
      </c>
      <c r="I84" t="s">
        <v>257</v>
      </c>
      <c r="J84" t="s">
        <v>704</v>
      </c>
      <c r="K84" t="s">
        <v>705</v>
      </c>
      <c r="N84" s="7" t="str">
        <f t="shared" si="9"/>
        <v>Smagsloget 45</v>
      </c>
      <c r="O84" s="7" t="str">
        <f t="shared" si="10"/>
        <v>Århus</v>
      </c>
      <c r="P84" s="7" t="str">
        <f t="shared" si="11"/>
        <v>NULL</v>
      </c>
      <c r="Q84" s="7">
        <f t="shared" si="12"/>
        <v>8200</v>
      </c>
      <c r="R84" s="7" t="str">
        <f t="shared" si="13"/>
        <v>Denmark</v>
      </c>
      <c r="S84" s="7" t="str">
        <f t="shared" si="14"/>
        <v>86 21 32 43</v>
      </c>
      <c r="T84" s="7" t="str">
        <f t="shared" si="15"/>
        <v>86 22 33 44</v>
      </c>
    </row>
    <row r="85" spans="1:20" x14ac:dyDescent="0.2">
      <c r="A85" t="s">
        <v>32</v>
      </c>
      <c r="B85" t="s">
        <v>33</v>
      </c>
      <c r="C85" t="s">
        <v>706</v>
      </c>
      <c r="D85" t="s">
        <v>493</v>
      </c>
      <c r="E85">
        <v>2</v>
      </c>
      <c r="F85" t="s">
        <v>34</v>
      </c>
      <c r="G85" t="s">
        <v>35</v>
      </c>
      <c r="H85" t="s">
        <v>18</v>
      </c>
      <c r="I85">
        <v>69004</v>
      </c>
      <c r="J85" t="s">
        <v>19</v>
      </c>
      <c r="K85" t="s">
        <v>707</v>
      </c>
      <c r="L85" t="s">
        <v>708</v>
      </c>
      <c r="N85" s="7" t="str">
        <f t="shared" si="9"/>
        <v>2  rue du Commerce</v>
      </c>
      <c r="O85" s="7" t="str">
        <f t="shared" si="10"/>
        <v>Lyon</v>
      </c>
      <c r="P85" s="7" t="str">
        <f t="shared" si="11"/>
        <v>NULL</v>
      </c>
      <c r="Q85" s="7">
        <f t="shared" si="12"/>
        <v>69004</v>
      </c>
      <c r="R85" s="7" t="str">
        <f t="shared" si="13"/>
        <v>France</v>
      </c>
      <c r="S85" s="7" t="str">
        <f t="shared" si="14"/>
        <v>78.32.54.86</v>
      </c>
      <c r="T85" s="7" t="str">
        <f t="shared" si="15"/>
        <v>78.32.54.87</v>
      </c>
    </row>
    <row r="86" spans="1:20" x14ac:dyDescent="0.2">
      <c r="A86" t="s">
        <v>14</v>
      </c>
      <c r="B86" t="s">
        <v>15</v>
      </c>
      <c r="C86" t="s">
        <v>709</v>
      </c>
      <c r="D86" t="s">
        <v>487</v>
      </c>
      <c r="E86" t="s">
        <v>16</v>
      </c>
      <c r="F86" t="s">
        <v>17</v>
      </c>
      <c r="G86" t="s">
        <v>18</v>
      </c>
      <c r="H86">
        <v>51100</v>
      </c>
      <c r="I86" t="s">
        <v>19</v>
      </c>
      <c r="J86" t="s">
        <v>710</v>
      </c>
      <c r="K86" t="s">
        <v>711</v>
      </c>
      <c r="N86" s="7" t="str">
        <f t="shared" si="9"/>
        <v>59 rue de l'Abbaye</v>
      </c>
      <c r="O86" s="7" t="str">
        <f t="shared" si="10"/>
        <v>Reims</v>
      </c>
      <c r="P86" s="7" t="str">
        <f t="shared" si="11"/>
        <v>NULL</v>
      </c>
      <c r="Q86" s="7">
        <f t="shared" si="12"/>
        <v>51100</v>
      </c>
      <c r="R86" s="7" t="str">
        <f t="shared" si="13"/>
        <v>France</v>
      </c>
      <c r="S86" s="7" t="str">
        <f t="shared" si="14"/>
        <v>26.47.15.10</v>
      </c>
      <c r="T86" s="7" t="str">
        <f t="shared" si="15"/>
        <v>26.47.15.11</v>
      </c>
    </row>
    <row r="87" spans="1:20" x14ac:dyDescent="0.2">
      <c r="A87" t="s">
        <v>185</v>
      </c>
      <c r="B87" t="s">
        <v>186</v>
      </c>
      <c r="C87" t="s">
        <v>712</v>
      </c>
      <c r="D87" t="s">
        <v>454</v>
      </c>
      <c r="E87" t="s">
        <v>187</v>
      </c>
      <c r="F87" t="s">
        <v>188</v>
      </c>
      <c r="G87" t="s">
        <v>18</v>
      </c>
      <c r="H87">
        <v>70563</v>
      </c>
      <c r="I87" t="s">
        <v>24</v>
      </c>
      <c r="J87" t="s">
        <v>713</v>
      </c>
      <c r="K87" t="s">
        <v>714</v>
      </c>
      <c r="N87" s="7" t="str">
        <f t="shared" si="9"/>
        <v>Adenauerallee 900</v>
      </c>
      <c r="O87" s="7" t="str">
        <f t="shared" si="10"/>
        <v>Stuttgart</v>
      </c>
      <c r="P87" s="7" t="str">
        <f t="shared" si="11"/>
        <v>NULL</v>
      </c>
      <c r="Q87" s="7">
        <f t="shared" si="12"/>
        <v>70563</v>
      </c>
      <c r="R87" s="7" t="str">
        <f t="shared" si="13"/>
        <v>Germany</v>
      </c>
      <c r="S87" s="7" t="str">
        <f t="shared" si="14"/>
        <v>0711-020361</v>
      </c>
      <c r="T87" s="7" t="str">
        <f t="shared" si="15"/>
        <v>0711-035428</v>
      </c>
    </row>
    <row r="88" spans="1:20" x14ac:dyDescent="0.2">
      <c r="A88" t="s">
        <v>97</v>
      </c>
      <c r="B88" t="s">
        <v>98</v>
      </c>
      <c r="C88" t="s">
        <v>715</v>
      </c>
      <c r="D88" t="s">
        <v>487</v>
      </c>
      <c r="E88" t="s">
        <v>99</v>
      </c>
      <c r="F88" t="s">
        <v>100</v>
      </c>
      <c r="G88" t="s">
        <v>18</v>
      </c>
      <c r="H88">
        <v>90110</v>
      </c>
      <c r="I88" t="s">
        <v>101</v>
      </c>
      <c r="J88" t="s">
        <v>716</v>
      </c>
      <c r="K88" t="s">
        <v>716</v>
      </c>
      <c r="N88" s="7" t="str">
        <f t="shared" si="9"/>
        <v>Torikatu 38</v>
      </c>
      <c r="O88" s="7" t="str">
        <f t="shared" si="10"/>
        <v>Oulu</v>
      </c>
      <c r="P88" s="7" t="str">
        <f t="shared" si="11"/>
        <v>NULL</v>
      </c>
      <c r="Q88" s="7">
        <f t="shared" si="12"/>
        <v>90110</v>
      </c>
      <c r="R88" s="7" t="str">
        <f t="shared" si="13"/>
        <v>Finland</v>
      </c>
      <c r="S88" s="7" t="str">
        <f t="shared" si="14"/>
        <v>981-443655</v>
      </c>
      <c r="T88" s="7" t="str">
        <f t="shared" si="15"/>
        <v>981-443655</v>
      </c>
    </row>
    <row r="89" spans="1:20" x14ac:dyDescent="0.2">
      <c r="A89" t="s">
        <v>51</v>
      </c>
      <c r="B89" t="s">
        <v>52</v>
      </c>
      <c r="C89" t="s">
        <v>717</v>
      </c>
      <c r="D89" t="s">
        <v>518</v>
      </c>
      <c r="E89" t="s">
        <v>53</v>
      </c>
      <c r="F89">
        <v>12</v>
      </c>
      <c r="G89" t="s">
        <v>54</v>
      </c>
      <c r="H89" t="s">
        <v>55</v>
      </c>
      <c r="I89" t="s">
        <v>56</v>
      </c>
      <c r="J89" t="s">
        <v>31</v>
      </c>
      <c r="K89" t="s">
        <v>718</v>
      </c>
      <c r="L89" t="s">
        <v>18</v>
      </c>
      <c r="N89" s="7" t="str">
        <f t="shared" si="9"/>
        <v>Rua do Mercado 12</v>
      </c>
      <c r="O89" s="7" t="str">
        <f t="shared" si="10"/>
        <v>Resende</v>
      </c>
      <c r="P89" s="7" t="str">
        <f t="shared" si="11"/>
        <v>SP</v>
      </c>
      <c r="Q89" s="7" t="str">
        <f t="shared" si="12"/>
        <v>08737-363</v>
      </c>
      <c r="R89" s="7" t="str">
        <f t="shared" si="13"/>
        <v>Brazil</v>
      </c>
      <c r="S89" s="7" t="str">
        <f t="shared" si="14"/>
        <v>(14) 555-8122</v>
      </c>
      <c r="T89" s="7" t="str">
        <f t="shared" si="15"/>
        <v>NULL</v>
      </c>
    </row>
    <row r="90" spans="1:20" x14ac:dyDescent="0.2">
      <c r="A90" t="s">
        <v>111</v>
      </c>
      <c r="B90" t="s">
        <v>112</v>
      </c>
      <c r="C90" t="s">
        <v>719</v>
      </c>
      <c r="D90" t="s">
        <v>458</v>
      </c>
      <c r="E90" t="s">
        <v>720</v>
      </c>
      <c r="F90" t="s">
        <v>114</v>
      </c>
      <c r="G90" t="s">
        <v>115</v>
      </c>
      <c r="H90">
        <v>98128</v>
      </c>
      <c r="I90" t="s">
        <v>86</v>
      </c>
      <c r="J90" t="s">
        <v>721</v>
      </c>
      <c r="K90" t="s">
        <v>722</v>
      </c>
      <c r="N90" s="7" t="str">
        <f t="shared" si="9"/>
        <v>305 - 14th Ave. S. Suite 3B</v>
      </c>
      <c r="O90" s="7" t="str">
        <f t="shared" si="10"/>
        <v>Seattle</v>
      </c>
      <c r="P90" s="7" t="str">
        <f t="shared" si="11"/>
        <v>WA</v>
      </c>
      <c r="Q90" s="7">
        <f t="shared" si="12"/>
        <v>98128</v>
      </c>
      <c r="R90" s="7" t="str">
        <f t="shared" si="13"/>
        <v>USA</v>
      </c>
      <c r="S90" s="7" t="str">
        <f t="shared" si="14"/>
        <v>(206) 555-4112</v>
      </c>
      <c r="T90" s="7" t="str">
        <f t="shared" si="15"/>
        <v>(206) 555-4115</v>
      </c>
    </row>
    <row r="91" spans="1:20" x14ac:dyDescent="0.2">
      <c r="A91" t="s">
        <v>392</v>
      </c>
      <c r="B91" t="s">
        <v>393</v>
      </c>
      <c r="C91" t="s">
        <v>723</v>
      </c>
      <c r="D91" t="s">
        <v>724</v>
      </c>
      <c r="E91" t="s">
        <v>394</v>
      </c>
      <c r="F91" t="s">
        <v>395</v>
      </c>
      <c r="G91" t="s">
        <v>18</v>
      </c>
      <c r="H91">
        <v>21240</v>
      </c>
      <c r="I91" t="s">
        <v>101</v>
      </c>
      <c r="J91" t="s">
        <v>725</v>
      </c>
      <c r="K91" t="s">
        <v>725</v>
      </c>
      <c r="N91" s="7" t="str">
        <f t="shared" si="9"/>
        <v>Keskuskatu 45</v>
      </c>
      <c r="O91" s="7" t="str">
        <f t="shared" si="10"/>
        <v>Helsinki</v>
      </c>
      <c r="P91" s="7" t="str">
        <f t="shared" si="11"/>
        <v>NULL</v>
      </c>
      <c r="Q91" s="7">
        <f t="shared" si="12"/>
        <v>21240</v>
      </c>
      <c r="R91" s="7" t="str">
        <f t="shared" si="13"/>
        <v>Finland</v>
      </c>
      <c r="S91" s="7" t="str">
        <f t="shared" si="14"/>
        <v>90-224 8858</v>
      </c>
      <c r="T91" s="7" t="str">
        <f t="shared" si="15"/>
        <v>90-224 8858</v>
      </c>
    </row>
    <row r="92" spans="1:20" x14ac:dyDescent="0.2">
      <c r="A92" t="s">
        <v>303</v>
      </c>
      <c r="B92" t="s">
        <v>726</v>
      </c>
      <c r="C92" t="s">
        <v>727</v>
      </c>
      <c r="D92" t="s">
        <v>458</v>
      </c>
      <c r="E92" t="s">
        <v>305</v>
      </c>
      <c r="F92" t="s">
        <v>306</v>
      </c>
      <c r="G92" t="s">
        <v>18</v>
      </c>
      <c r="H92" t="s">
        <v>307</v>
      </c>
      <c r="I92" t="s">
        <v>308</v>
      </c>
      <c r="J92" t="s">
        <v>728</v>
      </c>
      <c r="K92" t="s">
        <v>728</v>
      </c>
      <c r="N92" s="7" t="str">
        <f t="shared" si="9"/>
        <v>ul. Filtrowa 68</v>
      </c>
      <c r="O92" s="7" t="str">
        <f t="shared" si="10"/>
        <v>Warszawa</v>
      </c>
      <c r="P92" s="7" t="str">
        <f t="shared" si="11"/>
        <v>NULL</v>
      </c>
      <c r="Q92" s="7" t="str">
        <f t="shared" si="12"/>
        <v>01-012</v>
      </c>
      <c r="R92" s="7" t="str">
        <f t="shared" si="13"/>
        <v>Poland</v>
      </c>
      <c r="S92" s="7" t="str">
        <f t="shared" si="14"/>
        <v>(26) 642-7012</v>
      </c>
      <c r="T92" s="7" t="str">
        <f t="shared" si="15"/>
        <v>(26) 642-7012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8F479-D485-E648-BC7D-C67C02CBE9B3}">
  <dimension ref="A1:K92"/>
  <sheetViews>
    <sheetView workbookViewId="0">
      <selection activeCell="E10" sqref="E10"/>
    </sheetView>
  </sheetViews>
  <sheetFormatPr baseColWidth="10" defaultRowHeight="16" x14ac:dyDescent="0.2"/>
  <cols>
    <col min="1" max="1" width="10.6640625" style="7" bestFit="1" customWidth="1"/>
    <col min="2" max="2" width="29.83203125" style="7" bestFit="1" customWidth="1"/>
    <col min="3" max="3" width="20.6640625" style="7" bestFit="1" customWidth="1"/>
    <col min="4" max="4" width="26.1640625" style="7" bestFit="1" customWidth="1"/>
    <col min="5" max="5" width="39" style="7" bestFit="1" customWidth="1"/>
    <col min="6" max="6" width="12.6640625" style="7" bestFit="1" customWidth="1"/>
    <col min="7" max="7" width="12.83203125" style="7" bestFit="1" customWidth="1"/>
    <col min="8" max="8" width="10.5" style="7" bestFit="1" customWidth="1"/>
    <col min="9" max="9" width="10.6640625" style="7" bestFit="1" customWidth="1"/>
    <col min="10" max="11" width="14.83203125" style="7" bestFit="1" customWidth="1"/>
  </cols>
  <sheetData>
    <row r="1" spans="1:11" x14ac:dyDescent="0.2">
      <c r="A1" s="7" t="s">
        <v>1</v>
      </c>
      <c r="B1" s="7" t="s">
        <v>443</v>
      </c>
      <c r="C1" s="7" t="s">
        <v>444</v>
      </c>
      <c r="D1" s="7" t="s">
        <v>445</v>
      </c>
      <c r="E1" s="7" t="s">
        <v>446</v>
      </c>
      <c r="F1" s="7" t="s">
        <v>447</v>
      </c>
      <c r="G1" s="7" t="s">
        <v>448</v>
      </c>
      <c r="H1" s="7" t="s">
        <v>449</v>
      </c>
      <c r="I1" s="7" t="s">
        <v>450</v>
      </c>
      <c r="J1" s="7" t="s">
        <v>451</v>
      </c>
      <c r="K1" s="7" t="s">
        <v>452</v>
      </c>
    </row>
    <row r="2" spans="1:11" x14ac:dyDescent="0.2">
      <c r="A2" s="7" t="s">
        <v>401</v>
      </c>
      <c r="B2" s="7" t="s">
        <v>402</v>
      </c>
      <c r="C2" s="7" t="s">
        <v>453</v>
      </c>
      <c r="D2" s="7" t="s">
        <v>454</v>
      </c>
      <c r="E2" s="7" t="s">
        <v>403</v>
      </c>
      <c r="F2" s="7" t="s">
        <v>404</v>
      </c>
      <c r="G2" s="7" t="s">
        <v>18</v>
      </c>
      <c r="H2" s="7">
        <v>12209</v>
      </c>
      <c r="I2" s="7" t="s">
        <v>24</v>
      </c>
      <c r="J2" s="7" t="s">
        <v>455</v>
      </c>
      <c r="K2" s="7" t="s">
        <v>456</v>
      </c>
    </row>
    <row r="3" spans="1:11" x14ac:dyDescent="0.2">
      <c r="A3" s="7" t="s">
        <v>203</v>
      </c>
      <c r="B3" s="7" t="s">
        <v>204</v>
      </c>
      <c r="C3" s="7" t="s">
        <v>457</v>
      </c>
      <c r="D3" s="7" t="s">
        <v>458</v>
      </c>
      <c r="E3" s="7" t="s">
        <v>205</v>
      </c>
      <c r="F3" s="7" t="s">
        <v>71</v>
      </c>
      <c r="G3" s="7" t="s">
        <v>18</v>
      </c>
      <c r="H3" s="7">
        <v>5021</v>
      </c>
      <c r="I3" s="7" t="s">
        <v>72</v>
      </c>
      <c r="J3" s="7" t="s">
        <v>459</v>
      </c>
      <c r="K3" s="7" t="s">
        <v>460</v>
      </c>
    </row>
    <row r="4" spans="1:11" x14ac:dyDescent="0.2">
      <c r="A4" s="7" t="s">
        <v>288</v>
      </c>
      <c r="B4" s="7" t="s">
        <v>289</v>
      </c>
      <c r="C4" s="7" t="s">
        <v>461</v>
      </c>
      <c r="D4" s="7" t="s">
        <v>458</v>
      </c>
      <c r="E4" s="7" t="s">
        <v>290</v>
      </c>
      <c r="F4" s="7" t="s">
        <v>71</v>
      </c>
      <c r="G4" s="7" t="s">
        <v>18</v>
      </c>
      <c r="H4" s="7">
        <v>5023</v>
      </c>
      <c r="I4" s="7" t="s">
        <v>72</v>
      </c>
      <c r="J4" s="7" t="s">
        <v>462</v>
      </c>
      <c r="K4" s="7" t="s">
        <v>18</v>
      </c>
    </row>
    <row r="5" spans="1:11" x14ac:dyDescent="0.2">
      <c r="A5" s="7" t="s">
        <v>270</v>
      </c>
      <c r="B5" s="7" t="s">
        <v>271</v>
      </c>
      <c r="C5" s="7" t="s">
        <v>463</v>
      </c>
      <c r="D5" s="7" t="s">
        <v>454</v>
      </c>
      <c r="E5" s="7" t="s">
        <v>464</v>
      </c>
      <c r="F5" s="7" t="s">
        <v>167</v>
      </c>
      <c r="G5" s="7" t="s">
        <v>18</v>
      </c>
      <c r="H5" s="7" t="s">
        <v>465</v>
      </c>
      <c r="I5" s="7" t="s">
        <v>169</v>
      </c>
      <c r="J5" s="7" t="s">
        <v>466</v>
      </c>
      <c r="K5" s="7" t="s">
        <v>467</v>
      </c>
    </row>
    <row r="6" spans="1:11" x14ac:dyDescent="0.2">
      <c r="A6" s="7" t="s">
        <v>137</v>
      </c>
      <c r="B6" s="7" t="s">
        <v>138</v>
      </c>
      <c r="C6" s="7" t="s">
        <v>468</v>
      </c>
      <c r="D6" s="7" t="s">
        <v>469</v>
      </c>
      <c r="E6" s="7" t="s">
        <v>139</v>
      </c>
      <c r="F6" s="7" t="s">
        <v>140</v>
      </c>
      <c r="G6" s="7" t="s">
        <v>18</v>
      </c>
      <c r="H6" s="7" t="s">
        <v>141</v>
      </c>
      <c r="I6" s="7" t="s">
        <v>92</v>
      </c>
      <c r="J6" s="7" t="s">
        <v>470</v>
      </c>
      <c r="K6" s="7" t="s">
        <v>471</v>
      </c>
    </row>
    <row r="7" spans="1:11" x14ac:dyDescent="0.2">
      <c r="A7" s="7" t="s">
        <v>363</v>
      </c>
      <c r="B7" s="7" t="s">
        <v>364</v>
      </c>
      <c r="C7" s="7" t="s">
        <v>472</v>
      </c>
      <c r="D7" s="7" t="s">
        <v>454</v>
      </c>
      <c r="E7" s="7" t="s">
        <v>365</v>
      </c>
      <c r="F7" s="7" t="s">
        <v>366</v>
      </c>
      <c r="G7" s="7" t="s">
        <v>18</v>
      </c>
      <c r="H7" s="7">
        <v>68306</v>
      </c>
      <c r="I7" s="7" t="s">
        <v>24</v>
      </c>
      <c r="J7" s="7" t="s">
        <v>473</v>
      </c>
      <c r="K7" s="7" t="s">
        <v>474</v>
      </c>
    </row>
    <row r="8" spans="1:11" x14ac:dyDescent="0.2">
      <c r="A8" s="7" t="s">
        <v>93</v>
      </c>
      <c r="B8" s="7" t="s">
        <v>475</v>
      </c>
      <c r="C8" s="7" t="s">
        <v>476</v>
      </c>
      <c r="D8" s="7" t="s">
        <v>477</v>
      </c>
      <c r="E8" s="7" t="s">
        <v>422</v>
      </c>
      <c r="F8" s="7" t="s">
        <v>96</v>
      </c>
      <c r="G8" s="7" t="s">
        <v>18</v>
      </c>
      <c r="H8" s="7">
        <v>67000</v>
      </c>
      <c r="I8" s="7" t="s">
        <v>19</v>
      </c>
      <c r="J8" s="7" t="s">
        <v>478</v>
      </c>
      <c r="K8" s="7" t="s">
        <v>479</v>
      </c>
    </row>
    <row r="9" spans="1:11" x14ac:dyDescent="0.2">
      <c r="A9" s="7" t="s">
        <v>231</v>
      </c>
      <c r="B9" s="7" t="s">
        <v>232</v>
      </c>
      <c r="C9" s="7" t="s">
        <v>480</v>
      </c>
      <c r="D9" s="7" t="s">
        <v>458</v>
      </c>
      <c r="E9" s="7" t="s">
        <v>429</v>
      </c>
      <c r="F9" s="7" t="s">
        <v>149</v>
      </c>
      <c r="G9" s="7" t="s">
        <v>18</v>
      </c>
      <c r="H9" s="7">
        <v>28023</v>
      </c>
      <c r="I9" s="7" t="s">
        <v>150</v>
      </c>
      <c r="J9" s="7" t="s">
        <v>481</v>
      </c>
      <c r="K9" s="7" t="s">
        <v>482</v>
      </c>
    </row>
    <row r="10" spans="1:11" x14ac:dyDescent="0.2">
      <c r="A10" s="7" t="s">
        <v>239</v>
      </c>
      <c r="B10" s="7" t="s">
        <v>240</v>
      </c>
      <c r="C10" s="7" t="s">
        <v>483</v>
      </c>
      <c r="D10" s="7" t="s">
        <v>458</v>
      </c>
      <c r="E10" s="7" t="s">
        <v>430</v>
      </c>
      <c r="F10" s="7" t="s">
        <v>242</v>
      </c>
      <c r="G10" s="7" t="s">
        <v>18</v>
      </c>
      <c r="H10" s="7">
        <v>13008</v>
      </c>
      <c r="I10" s="7" t="s">
        <v>19</v>
      </c>
      <c r="J10" s="7" t="s">
        <v>484</v>
      </c>
      <c r="K10" s="7" t="s">
        <v>485</v>
      </c>
    </row>
    <row r="11" spans="1:11" x14ac:dyDescent="0.2">
      <c r="A11" s="7" t="s">
        <v>318</v>
      </c>
      <c r="B11" s="7" t="s">
        <v>319</v>
      </c>
      <c r="C11" s="7" t="s">
        <v>486</v>
      </c>
      <c r="D11" s="7" t="s">
        <v>487</v>
      </c>
      <c r="E11" s="7" t="s">
        <v>320</v>
      </c>
      <c r="F11" s="7" t="s">
        <v>321</v>
      </c>
      <c r="G11" s="7" t="s">
        <v>322</v>
      </c>
      <c r="H11" s="7" t="s">
        <v>323</v>
      </c>
      <c r="I11" s="7" t="s">
        <v>249</v>
      </c>
      <c r="J11" s="7" t="s">
        <v>488</v>
      </c>
      <c r="K11" s="7" t="s">
        <v>489</v>
      </c>
    </row>
    <row r="12" spans="1:11" x14ac:dyDescent="0.2">
      <c r="A12" s="7" t="s">
        <v>164</v>
      </c>
      <c r="B12" s="7" t="s">
        <v>165</v>
      </c>
      <c r="C12" s="7" t="s">
        <v>490</v>
      </c>
      <c r="D12" s="7" t="s">
        <v>454</v>
      </c>
      <c r="E12" s="7" t="s">
        <v>166</v>
      </c>
      <c r="F12" s="7" t="s">
        <v>167</v>
      </c>
      <c r="G12" s="7" t="s">
        <v>18</v>
      </c>
      <c r="H12" s="7" t="s">
        <v>168</v>
      </c>
      <c r="I12" s="7" t="s">
        <v>169</v>
      </c>
      <c r="J12" s="7" t="s">
        <v>491</v>
      </c>
      <c r="K12" s="7" t="s">
        <v>18</v>
      </c>
    </row>
    <row r="13" spans="1:11" x14ac:dyDescent="0.2">
      <c r="A13" s="7" t="s">
        <v>371</v>
      </c>
      <c r="B13" s="7" t="s">
        <v>372</v>
      </c>
      <c r="C13" s="7" t="s">
        <v>492</v>
      </c>
      <c r="D13" s="7" t="s">
        <v>493</v>
      </c>
      <c r="E13" s="7" t="s">
        <v>373</v>
      </c>
      <c r="F13" s="7" t="s">
        <v>336</v>
      </c>
      <c r="G13" s="7" t="s">
        <v>18</v>
      </c>
      <c r="H13" s="7">
        <v>1010</v>
      </c>
      <c r="I13" s="7" t="s">
        <v>337</v>
      </c>
      <c r="J13" s="7" t="s">
        <v>494</v>
      </c>
      <c r="K13" s="7" t="s">
        <v>495</v>
      </c>
    </row>
    <row r="14" spans="1:11" x14ac:dyDescent="0.2">
      <c r="A14" s="7" t="s">
        <v>68</v>
      </c>
      <c r="B14" s="7" t="s">
        <v>69</v>
      </c>
      <c r="C14" s="7" t="s">
        <v>496</v>
      </c>
      <c r="D14" s="7" t="s">
        <v>477</v>
      </c>
      <c r="E14" s="7" t="s">
        <v>70</v>
      </c>
      <c r="F14" s="7" t="s">
        <v>71</v>
      </c>
      <c r="G14" s="7" t="s">
        <v>18</v>
      </c>
      <c r="H14" s="7">
        <v>5022</v>
      </c>
      <c r="I14" s="7" t="s">
        <v>72</v>
      </c>
      <c r="J14" s="7" t="s">
        <v>497</v>
      </c>
      <c r="K14" s="7" t="s">
        <v>498</v>
      </c>
    </row>
    <row r="15" spans="1:11" x14ac:dyDescent="0.2">
      <c r="A15" s="7" t="s">
        <v>42</v>
      </c>
      <c r="B15" s="7" t="s">
        <v>43</v>
      </c>
      <c r="C15" s="7" t="s">
        <v>499</v>
      </c>
      <c r="D15" s="7" t="s">
        <v>458</v>
      </c>
      <c r="E15" s="7" t="s">
        <v>500</v>
      </c>
      <c r="F15" s="7" t="s">
        <v>45</v>
      </c>
      <c r="G15" s="7" t="s">
        <v>18</v>
      </c>
      <c r="H15" s="7">
        <v>3012</v>
      </c>
      <c r="I15" s="7" t="s">
        <v>46</v>
      </c>
      <c r="J15" s="7" t="s">
        <v>501</v>
      </c>
      <c r="K15" s="7" t="s">
        <v>18</v>
      </c>
    </row>
    <row r="16" spans="1:11" x14ac:dyDescent="0.2">
      <c r="A16" s="7" t="s">
        <v>170</v>
      </c>
      <c r="B16" s="7" t="s">
        <v>171</v>
      </c>
      <c r="C16" s="7" t="s">
        <v>502</v>
      </c>
      <c r="D16" s="7" t="s">
        <v>503</v>
      </c>
      <c r="E16" s="7" t="s">
        <v>425</v>
      </c>
      <c r="F16" s="7" t="s">
        <v>173</v>
      </c>
      <c r="G16" s="7" t="s">
        <v>55</v>
      </c>
      <c r="H16" s="7" t="s">
        <v>174</v>
      </c>
      <c r="I16" s="7" t="s">
        <v>31</v>
      </c>
      <c r="J16" s="7" t="s">
        <v>504</v>
      </c>
      <c r="K16" s="7" t="s">
        <v>18</v>
      </c>
    </row>
    <row r="17" spans="1:11" x14ac:dyDescent="0.2">
      <c r="A17" s="7" t="s">
        <v>347</v>
      </c>
      <c r="B17" s="7" t="s">
        <v>348</v>
      </c>
      <c r="C17" s="7" t="s">
        <v>505</v>
      </c>
      <c r="D17" s="7" t="s">
        <v>454</v>
      </c>
      <c r="E17" s="7" t="s">
        <v>349</v>
      </c>
      <c r="F17" s="7" t="s">
        <v>167</v>
      </c>
      <c r="G17" s="7" t="s">
        <v>18</v>
      </c>
      <c r="H17" s="7" t="s">
        <v>350</v>
      </c>
      <c r="I17" s="7" t="s">
        <v>169</v>
      </c>
      <c r="J17" s="7" t="s">
        <v>506</v>
      </c>
      <c r="K17" s="7" t="s">
        <v>507</v>
      </c>
    </row>
    <row r="18" spans="1:11" x14ac:dyDescent="0.2">
      <c r="A18" s="7" t="s">
        <v>280</v>
      </c>
      <c r="B18" s="7" t="s">
        <v>281</v>
      </c>
      <c r="C18" s="7" t="s">
        <v>508</v>
      </c>
      <c r="D18" s="7" t="s">
        <v>469</v>
      </c>
      <c r="E18" s="7" t="s">
        <v>282</v>
      </c>
      <c r="F18" s="7" t="s">
        <v>283</v>
      </c>
      <c r="G18" s="7" t="s">
        <v>18</v>
      </c>
      <c r="H18" s="7">
        <v>52066</v>
      </c>
      <c r="I18" s="7" t="s">
        <v>24</v>
      </c>
      <c r="J18" s="7" t="s">
        <v>509</v>
      </c>
      <c r="K18" s="7" t="s">
        <v>510</v>
      </c>
    </row>
    <row r="19" spans="1:11" x14ac:dyDescent="0.2">
      <c r="A19" s="7" t="s">
        <v>209</v>
      </c>
      <c r="B19" s="7" t="s">
        <v>210</v>
      </c>
      <c r="C19" s="7" t="s">
        <v>511</v>
      </c>
      <c r="D19" s="7" t="s">
        <v>458</v>
      </c>
      <c r="E19" s="7" t="s">
        <v>428</v>
      </c>
      <c r="F19" s="7" t="s">
        <v>212</v>
      </c>
      <c r="G19" s="7" t="s">
        <v>18</v>
      </c>
      <c r="H19" s="7">
        <v>44000</v>
      </c>
      <c r="I19" s="7" t="s">
        <v>19</v>
      </c>
      <c r="J19" s="7" t="s">
        <v>512</v>
      </c>
      <c r="K19" s="7" t="s">
        <v>513</v>
      </c>
    </row>
    <row r="20" spans="1:11" x14ac:dyDescent="0.2">
      <c r="A20" s="7" t="s">
        <v>284</v>
      </c>
      <c r="B20" s="7" t="s">
        <v>285</v>
      </c>
      <c r="C20" s="7" t="s">
        <v>514</v>
      </c>
      <c r="D20" s="7" t="s">
        <v>493</v>
      </c>
      <c r="E20" s="7" t="s">
        <v>286</v>
      </c>
      <c r="F20" s="7" t="s">
        <v>167</v>
      </c>
      <c r="G20" s="7" t="s">
        <v>18</v>
      </c>
      <c r="H20" s="7" t="s">
        <v>287</v>
      </c>
      <c r="I20" s="7" t="s">
        <v>169</v>
      </c>
      <c r="J20" s="7" t="s">
        <v>515</v>
      </c>
      <c r="K20" s="7" t="s">
        <v>516</v>
      </c>
    </row>
    <row r="21" spans="1:11" x14ac:dyDescent="0.2">
      <c r="A21" s="7" t="s">
        <v>63</v>
      </c>
      <c r="B21" s="7" t="s">
        <v>64</v>
      </c>
      <c r="C21" s="7" t="s">
        <v>517</v>
      </c>
      <c r="D21" s="7" t="s">
        <v>518</v>
      </c>
      <c r="E21" s="7" t="s">
        <v>65</v>
      </c>
      <c r="F21" s="7" t="s">
        <v>66</v>
      </c>
      <c r="G21" s="7" t="s">
        <v>18</v>
      </c>
      <c r="H21" s="7">
        <v>8010</v>
      </c>
      <c r="I21" s="7" t="s">
        <v>67</v>
      </c>
      <c r="J21" s="7" t="s">
        <v>519</v>
      </c>
      <c r="K21" s="7" t="s">
        <v>520</v>
      </c>
    </row>
    <row r="22" spans="1:11" x14ac:dyDescent="0.2">
      <c r="A22" s="7" t="s">
        <v>258</v>
      </c>
      <c r="B22" s="7" t="s">
        <v>259</v>
      </c>
      <c r="C22" s="7" t="s">
        <v>521</v>
      </c>
      <c r="D22" s="7" t="s">
        <v>522</v>
      </c>
      <c r="E22" s="7" t="s">
        <v>431</v>
      </c>
      <c r="F22" s="7" t="s">
        <v>173</v>
      </c>
      <c r="G22" s="7" t="s">
        <v>55</v>
      </c>
      <c r="H22" s="7" t="s">
        <v>261</v>
      </c>
      <c r="I22" s="7" t="s">
        <v>31</v>
      </c>
      <c r="J22" s="7" t="s">
        <v>523</v>
      </c>
      <c r="K22" s="7" t="s">
        <v>18</v>
      </c>
    </row>
    <row r="23" spans="1:11" x14ac:dyDescent="0.2">
      <c r="A23" s="7" t="s">
        <v>524</v>
      </c>
      <c r="B23" s="7" t="s">
        <v>525</v>
      </c>
      <c r="C23" s="7" t="s">
        <v>526</v>
      </c>
      <c r="D23" s="7" t="s">
        <v>487</v>
      </c>
      <c r="E23" s="7" t="s">
        <v>729</v>
      </c>
      <c r="F23" s="7" t="s">
        <v>149</v>
      </c>
      <c r="G23" s="7" t="s">
        <v>18</v>
      </c>
      <c r="H23" s="7">
        <v>28034</v>
      </c>
      <c r="I23" s="7" t="s">
        <v>150</v>
      </c>
      <c r="J23" s="7" t="s">
        <v>528</v>
      </c>
      <c r="K23" s="7" t="s">
        <v>529</v>
      </c>
    </row>
    <row r="24" spans="1:11" x14ac:dyDescent="0.2">
      <c r="A24" s="7" t="s">
        <v>329</v>
      </c>
      <c r="B24" s="7" t="s">
        <v>330</v>
      </c>
      <c r="C24" s="7" t="s">
        <v>530</v>
      </c>
      <c r="D24" s="7" t="s">
        <v>531</v>
      </c>
      <c r="E24" s="7" t="s">
        <v>434</v>
      </c>
      <c r="F24" s="7" t="s">
        <v>332</v>
      </c>
      <c r="G24" s="7" t="s">
        <v>18</v>
      </c>
      <c r="H24" s="7">
        <v>59000</v>
      </c>
      <c r="I24" s="7" t="s">
        <v>19</v>
      </c>
      <c r="J24" s="7" t="s">
        <v>532</v>
      </c>
      <c r="K24" s="7" t="s">
        <v>533</v>
      </c>
    </row>
    <row r="25" spans="1:11" x14ac:dyDescent="0.2">
      <c r="A25" s="7" t="s">
        <v>87</v>
      </c>
      <c r="B25" s="7" t="s">
        <v>88</v>
      </c>
      <c r="C25" s="7" t="s">
        <v>534</v>
      </c>
      <c r="D25" s="7" t="s">
        <v>458</v>
      </c>
      <c r="E25" s="7" t="s">
        <v>89</v>
      </c>
      <c r="F25" s="7" t="s">
        <v>90</v>
      </c>
      <c r="G25" s="7" t="s">
        <v>18</v>
      </c>
      <c r="H25" s="7" t="s">
        <v>91</v>
      </c>
      <c r="I25" s="7" t="s">
        <v>92</v>
      </c>
      <c r="J25" s="7" t="s">
        <v>535</v>
      </c>
      <c r="K25" s="7" t="s">
        <v>18</v>
      </c>
    </row>
    <row r="26" spans="1:11" x14ac:dyDescent="0.2">
      <c r="A26" s="7" t="s">
        <v>102</v>
      </c>
      <c r="B26" s="7" t="s">
        <v>103</v>
      </c>
      <c r="C26" s="7" t="s">
        <v>536</v>
      </c>
      <c r="D26" s="7" t="s">
        <v>477</v>
      </c>
      <c r="E26" s="7" t="s">
        <v>104</v>
      </c>
      <c r="F26" s="7" t="s">
        <v>105</v>
      </c>
      <c r="G26" s="7" t="s">
        <v>18</v>
      </c>
      <c r="H26" s="7">
        <v>80805</v>
      </c>
      <c r="I26" s="7" t="s">
        <v>24</v>
      </c>
      <c r="J26" s="7" t="s">
        <v>537</v>
      </c>
      <c r="K26" s="7" t="s">
        <v>538</v>
      </c>
    </row>
    <row r="27" spans="1:11" x14ac:dyDescent="0.2">
      <c r="A27" s="7" t="s">
        <v>405</v>
      </c>
      <c r="B27" s="7" t="s">
        <v>406</v>
      </c>
      <c r="C27" s="7" t="s">
        <v>539</v>
      </c>
      <c r="D27" s="7" t="s">
        <v>477</v>
      </c>
      <c r="E27" s="7" t="s">
        <v>436</v>
      </c>
      <c r="F27" s="7" t="s">
        <v>212</v>
      </c>
      <c r="G27" s="7" t="s">
        <v>18</v>
      </c>
      <c r="H27" s="7">
        <v>44000</v>
      </c>
      <c r="I27" s="7" t="s">
        <v>19</v>
      </c>
      <c r="J27" s="7" t="s">
        <v>540</v>
      </c>
      <c r="K27" s="7" t="s">
        <v>541</v>
      </c>
    </row>
    <row r="28" spans="1:11" x14ac:dyDescent="0.2">
      <c r="A28" s="7" t="s">
        <v>338</v>
      </c>
      <c r="B28" s="7" t="s">
        <v>339</v>
      </c>
      <c r="C28" s="7" t="s">
        <v>542</v>
      </c>
      <c r="D28" s="7" t="s">
        <v>454</v>
      </c>
      <c r="E28" s="7" t="s">
        <v>340</v>
      </c>
      <c r="F28" s="7" t="s">
        <v>341</v>
      </c>
      <c r="G28" s="7" t="s">
        <v>18</v>
      </c>
      <c r="H28" s="7">
        <v>10100</v>
      </c>
      <c r="I28" s="7" t="s">
        <v>129</v>
      </c>
      <c r="J28" s="7" t="s">
        <v>543</v>
      </c>
      <c r="K28" s="7" t="s">
        <v>544</v>
      </c>
    </row>
    <row r="29" spans="1:11" x14ac:dyDescent="0.2">
      <c r="A29" s="7" t="s">
        <v>234</v>
      </c>
      <c r="B29" s="7" t="s">
        <v>235</v>
      </c>
      <c r="C29" s="7" t="s">
        <v>545</v>
      </c>
      <c r="D29" s="7" t="s">
        <v>518</v>
      </c>
      <c r="E29" s="7" t="s">
        <v>236</v>
      </c>
      <c r="F29" s="7" t="s">
        <v>237</v>
      </c>
      <c r="G29" s="7" t="s">
        <v>18</v>
      </c>
      <c r="H29" s="7">
        <v>1675</v>
      </c>
      <c r="I29" s="7" t="s">
        <v>238</v>
      </c>
      <c r="J29" s="7" t="s">
        <v>546</v>
      </c>
      <c r="K29" s="7" t="s">
        <v>547</v>
      </c>
    </row>
    <row r="30" spans="1:11" x14ac:dyDescent="0.2">
      <c r="A30" s="7" t="s">
        <v>291</v>
      </c>
      <c r="B30" s="7" t="s">
        <v>548</v>
      </c>
      <c r="C30" s="7" t="s">
        <v>549</v>
      </c>
      <c r="D30" s="7" t="s">
        <v>477</v>
      </c>
      <c r="E30" s="7" t="s">
        <v>432</v>
      </c>
      <c r="F30" s="7" t="s">
        <v>294</v>
      </c>
      <c r="G30" s="7" t="s">
        <v>18</v>
      </c>
      <c r="H30" s="7">
        <v>8022</v>
      </c>
      <c r="I30" s="7" t="s">
        <v>150</v>
      </c>
      <c r="J30" s="7" t="s">
        <v>550</v>
      </c>
      <c r="K30" s="7" t="s">
        <v>551</v>
      </c>
    </row>
    <row r="31" spans="1:11" x14ac:dyDescent="0.2">
      <c r="A31" s="7" t="s">
        <v>189</v>
      </c>
      <c r="B31" s="7" t="s">
        <v>190</v>
      </c>
      <c r="C31" s="7" t="s">
        <v>552</v>
      </c>
      <c r="D31" s="7" t="s">
        <v>518</v>
      </c>
      <c r="E31" s="7" t="s">
        <v>427</v>
      </c>
      <c r="F31" s="7" t="s">
        <v>192</v>
      </c>
      <c r="G31" s="7" t="s">
        <v>18</v>
      </c>
      <c r="H31" s="7">
        <v>41101</v>
      </c>
      <c r="I31" s="7" t="s">
        <v>150</v>
      </c>
      <c r="J31" s="7" t="s">
        <v>553</v>
      </c>
      <c r="K31" s="7" t="s">
        <v>18</v>
      </c>
    </row>
    <row r="32" spans="1:11" x14ac:dyDescent="0.2">
      <c r="A32" s="7" t="s">
        <v>342</v>
      </c>
      <c r="B32" s="7" t="s">
        <v>343</v>
      </c>
      <c r="C32" s="7" t="s">
        <v>554</v>
      </c>
      <c r="D32" s="7" t="s">
        <v>503</v>
      </c>
      <c r="E32" s="7" t="s">
        <v>435</v>
      </c>
      <c r="F32" s="7" t="s">
        <v>345</v>
      </c>
      <c r="G32" s="7" t="s">
        <v>55</v>
      </c>
      <c r="H32" s="7" t="s">
        <v>346</v>
      </c>
      <c r="I32" s="7" t="s">
        <v>31</v>
      </c>
      <c r="J32" s="7" t="s">
        <v>555</v>
      </c>
      <c r="K32" s="7" t="s">
        <v>18</v>
      </c>
    </row>
    <row r="33" spans="1:11" x14ac:dyDescent="0.2">
      <c r="A33" s="7" t="s">
        <v>374</v>
      </c>
      <c r="B33" s="7" t="s">
        <v>375</v>
      </c>
      <c r="C33" s="7" t="s">
        <v>556</v>
      </c>
      <c r="D33" s="7" t="s">
        <v>477</v>
      </c>
      <c r="E33" s="7" t="s">
        <v>376</v>
      </c>
      <c r="F33" s="7" t="s">
        <v>377</v>
      </c>
      <c r="G33" s="7" t="s">
        <v>202</v>
      </c>
      <c r="H33" s="7">
        <v>97403</v>
      </c>
      <c r="I33" s="7" t="s">
        <v>86</v>
      </c>
      <c r="J33" s="7" t="s">
        <v>557</v>
      </c>
      <c r="K33" s="7" t="s">
        <v>18</v>
      </c>
    </row>
    <row r="34" spans="1:11" x14ac:dyDescent="0.2">
      <c r="A34" s="7" t="s">
        <v>106</v>
      </c>
      <c r="B34" s="7" t="s">
        <v>107</v>
      </c>
      <c r="C34" s="7" t="s">
        <v>558</v>
      </c>
      <c r="D34" s="7" t="s">
        <v>458</v>
      </c>
      <c r="E34" s="7" t="s">
        <v>108</v>
      </c>
      <c r="F34" s="7" t="s">
        <v>109</v>
      </c>
      <c r="G34" s="7" t="s">
        <v>110</v>
      </c>
      <c r="H34" s="7">
        <v>1081</v>
      </c>
      <c r="I34" s="7" t="s">
        <v>62</v>
      </c>
      <c r="J34" s="7" t="s">
        <v>559</v>
      </c>
      <c r="K34" s="7" t="s">
        <v>560</v>
      </c>
    </row>
    <row r="35" spans="1:11" x14ac:dyDescent="0.2">
      <c r="A35" s="7" t="s">
        <v>25</v>
      </c>
      <c r="B35" s="7" t="s">
        <v>26</v>
      </c>
      <c r="C35" s="7" t="s">
        <v>561</v>
      </c>
      <c r="D35" s="7" t="s">
        <v>487</v>
      </c>
      <c r="E35" s="7" t="s">
        <v>417</v>
      </c>
      <c r="F35" s="7" t="s">
        <v>28</v>
      </c>
      <c r="G35" s="7" t="s">
        <v>29</v>
      </c>
      <c r="H35" s="7" t="s">
        <v>30</v>
      </c>
      <c r="I35" s="7" t="s">
        <v>31</v>
      </c>
      <c r="J35" s="7" t="s">
        <v>562</v>
      </c>
      <c r="K35" s="7" t="s">
        <v>563</v>
      </c>
    </row>
    <row r="36" spans="1:11" x14ac:dyDescent="0.2">
      <c r="A36" s="7" t="s">
        <v>57</v>
      </c>
      <c r="B36" s="7" t="s">
        <v>58</v>
      </c>
      <c r="C36" s="7" t="s">
        <v>564</v>
      </c>
      <c r="D36" s="7" t="s">
        <v>454</v>
      </c>
      <c r="E36" s="7" t="s">
        <v>59</v>
      </c>
      <c r="F36" s="7" t="s">
        <v>60</v>
      </c>
      <c r="G36" s="7" t="s">
        <v>61</v>
      </c>
      <c r="H36" s="7">
        <v>5022</v>
      </c>
      <c r="I36" s="7" t="s">
        <v>62</v>
      </c>
      <c r="J36" s="7" t="s">
        <v>565</v>
      </c>
      <c r="K36" s="7" t="s">
        <v>566</v>
      </c>
    </row>
    <row r="37" spans="1:11" x14ac:dyDescent="0.2">
      <c r="A37" s="7" t="s">
        <v>309</v>
      </c>
      <c r="B37" s="7" t="s">
        <v>310</v>
      </c>
      <c r="C37" s="7" t="s">
        <v>567</v>
      </c>
      <c r="D37" s="7" t="s">
        <v>454</v>
      </c>
      <c r="E37" s="7" t="s">
        <v>311</v>
      </c>
      <c r="F37" s="7" t="s">
        <v>312</v>
      </c>
      <c r="G37" s="7" t="s">
        <v>202</v>
      </c>
      <c r="H37" s="7">
        <v>97827</v>
      </c>
      <c r="I37" s="7" t="s">
        <v>86</v>
      </c>
      <c r="J37" s="7" t="s">
        <v>568</v>
      </c>
      <c r="K37" s="7" t="s">
        <v>569</v>
      </c>
    </row>
    <row r="38" spans="1:11" x14ac:dyDescent="0.2">
      <c r="A38" s="7" t="s">
        <v>179</v>
      </c>
      <c r="B38" s="7" t="s">
        <v>180</v>
      </c>
      <c r="C38" s="7" t="s">
        <v>570</v>
      </c>
      <c r="D38" s="7" t="s">
        <v>503</v>
      </c>
      <c r="E38" s="7" t="s">
        <v>181</v>
      </c>
      <c r="F38" s="7" t="s">
        <v>182</v>
      </c>
      <c r="G38" s="7" t="s">
        <v>183</v>
      </c>
      <c r="H38" s="7" t="s">
        <v>18</v>
      </c>
      <c r="I38" s="7" t="s">
        <v>184</v>
      </c>
      <c r="J38" s="7" t="s">
        <v>571</v>
      </c>
      <c r="K38" s="7" t="s">
        <v>572</v>
      </c>
    </row>
    <row r="39" spans="1:11" x14ac:dyDescent="0.2">
      <c r="A39" s="7" t="s">
        <v>213</v>
      </c>
      <c r="B39" s="7" t="s">
        <v>214</v>
      </c>
      <c r="C39" s="7" t="s">
        <v>573</v>
      </c>
      <c r="D39" s="7" t="s">
        <v>477</v>
      </c>
      <c r="E39" s="7" t="s">
        <v>215</v>
      </c>
      <c r="F39" s="7" t="s">
        <v>216</v>
      </c>
      <c r="G39" s="7" t="s">
        <v>217</v>
      </c>
      <c r="H39" s="7" t="s">
        <v>218</v>
      </c>
      <c r="I39" s="7" t="s">
        <v>169</v>
      </c>
      <c r="J39" s="7" t="s">
        <v>574</v>
      </c>
      <c r="K39" s="7" t="s">
        <v>18</v>
      </c>
    </row>
    <row r="40" spans="1:11" x14ac:dyDescent="0.2">
      <c r="A40" s="7" t="s">
        <v>222</v>
      </c>
      <c r="B40" s="7" t="s">
        <v>223</v>
      </c>
      <c r="C40" s="7" t="s">
        <v>575</v>
      </c>
      <c r="D40" s="7" t="s">
        <v>503</v>
      </c>
      <c r="E40" s="7" t="s">
        <v>224</v>
      </c>
      <c r="F40" s="7" t="s">
        <v>225</v>
      </c>
      <c r="G40" s="7" t="s">
        <v>18</v>
      </c>
      <c r="H40" s="7">
        <v>14776</v>
      </c>
      <c r="I40" s="7" t="s">
        <v>24</v>
      </c>
      <c r="J40" s="7" t="s">
        <v>576</v>
      </c>
      <c r="K40" s="7" t="s">
        <v>18</v>
      </c>
    </row>
    <row r="41" spans="1:11" x14ac:dyDescent="0.2">
      <c r="A41" s="7" t="s">
        <v>413</v>
      </c>
      <c r="B41" s="7" t="s">
        <v>414</v>
      </c>
      <c r="C41" s="7" t="s">
        <v>577</v>
      </c>
      <c r="D41" s="7" t="s">
        <v>454</v>
      </c>
      <c r="E41" s="7" t="s">
        <v>438</v>
      </c>
      <c r="F41" s="7" t="s">
        <v>416</v>
      </c>
      <c r="G41" s="7" t="s">
        <v>18</v>
      </c>
      <c r="H41" s="7">
        <v>78000</v>
      </c>
      <c r="I41" s="7" t="s">
        <v>19</v>
      </c>
      <c r="J41" s="7" t="s">
        <v>578</v>
      </c>
      <c r="K41" s="7" t="s">
        <v>579</v>
      </c>
    </row>
    <row r="42" spans="1:11" x14ac:dyDescent="0.2">
      <c r="A42" s="7" t="s">
        <v>262</v>
      </c>
      <c r="B42" s="7" t="s">
        <v>263</v>
      </c>
      <c r="C42" s="7" t="s">
        <v>580</v>
      </c>
      <c r="D42" s="7" t="s">
        <v>518</v>
      </c>
      <c r="E42" s="7" t="s">
        <v>264</v>
      </c>
      <c r="F42" s="7" t="s">
        <v>265</v>
      </c>
      <c r="G42" s="7" t="s">
        <v>18</v>
      </c>
      <c r="H42" s="7">
        <v>31000</v>
      </c>
      <c r="I42" s="7" t="s">
        <v>19</v>
      </c>
      <c r="J42" s="7" t="s">
        <v>581</v>
      </c>
      <c r="K42" s="7" t="s">
        <v>582</v>
      </c>
    </row>
    <row r="43" spans="1:11" x14ac:dyDescent="0.2">
      <c r="A43" s="7" t="s">
        <v>358</v>
      </c>
      <c r="B43" s="7" t="s">
        <v>359</v>
      </c>
      <c r="C43" s="7" t="s">
        <v>583</v>
      </c>
      <c r="D43" s="7" t="s">
        <v>522</v>
      </c>
      <c r="E43" s="7" t="s">
        <v>584</v>
      </c>
      <c r="F43" s="7" t="s">
        <v>361</v>
      </c>
      <c r="G43" s="7" t="s">
        <v>322</v>
      </c>
      <c r="H43" s="7" t="s">
        <v>362</v>
      </c>
      <c r="I43" s="7" t="s">
        <v>249</v>
      </c>
      <c r="J43" s="7" t="s">
        <v>585</v>
      </c>
      <c r="K43" s="7" t="s">
        <v>586</v>
      </c>
    </row>
    <row r="44" spans="1:11" x14ac:dyDescent="0.2">
      <c r="A44" s="7" t="s">
        <v>354</v>
      </c>
      <c r="B44" s="7" t="s">
        <v>355</v>
      </c>
      <c r="C44" s="7" t="s">
        <v>587</v>
      </c>
      <c r="D44" s="7" t="s">
        <v>477</v>
      </c>
      <c r="E44" s="7" t="s">
        <v>356</v>
      </c>
      <c r="F44" s="7" t="s">
        <v>357</v>
      </c>
      <c r="G44" s="7" t="s">
        <v>115</v>
      </c>
      <c r="H44" s="7">
        <v>99362</v>
      </c>
      <c r="I44" s="7" t="s">
        <v>86</v>
      </c>
      <c r="J44" s="7" t="s">
        <v>588</v>
      </c>
      <c r="K44" s="7" t="s">
        <v>589</v>
      </c>
    </row>
    <row r="45" spans="1:11" x14ac:dyDescent="0.2">
      <c r="A45" s="7" t="s">
        <v>142</v>
      </c>
      <c r="B45" s="7" t="s">
        <v>143</v>
      </c>
      <c r="C45" s="7" t="s">
        <v>590</v>
      </c>
      <c r="D45" s="7" t="s">
        <v>454</v>
      </c>
      <c r="E45" s="7" t="s">
        <v>144</v>
      </c>
      <c r="F45" s="7" t="s">
        <v>145</v>
      </c>
      <c r="G45" s="7" t="s">
        <v>18</v>
      </c>
      <c r="H45" s="7">
        <v>60528</v>
      </c>
      <c r="I45" s="7" t="s">
        <v>24</v>
      </c>
      <c r="J45" s="7" t="s">
        <v>591</v>
      </c>
      <c r="K45" s="7" t="s">
        <v>592</v>
      </c>
    </row>
    <row r="46" spans="1:11" x14ac:dyDescent="0.2">
      <c r="A46" s="7" t="s">
        <v>387</v>
      </c>
      <c r="B46" s="7" t="s">
        <v>388</v>
      </c>
      <c r="C46" s="7" t="s">
        <v>593</v>
      </c>
      <c r="D46" s="7" t="s">
        <v>458</v>
      </c>
      <c r="E46" s="7" t="s">
        <v>389</v>
      </c>
      <c r="F46" s="7" t="s">
        <v>390</v>
      </c>
      <c r="G46" s="7" t="s">
        <v>391</v>
      </c>
      <c r="H46" s="7">
        <v>94117</v>
      </c>
      <c r="I46" s="7" t="s">
        <v>86</v>
      </c>
      <c r="J46" s="7" t="s">
        <v>594</v>
      </c>
      <c r="K46" s="7" t="s">
        <v>18</v>
      </c>
    </row>
    <row r="47" spans="1:11" x14ac:dyDescent="0.2">
      <c r="A47" s="7" t="s">
        <v>151</v>
      </c>
      <c r="B47" s="7" t="s">
        <v>152</v>
      </c>
      <c r="C47" s="7" t="s">
        <v>595</v>
      </c>
      <c r="D47" s="7" t="s">
        <v>487</v>
      </c>
      <c r="E47" s="7" t="s">
        <v>153</v>
      </c>
      <c r="F47" s="7" t="s">
        <v>154</v>
      </c>
      <c r="G47" s="7" t="s">
        <v>155</v>
      </c>
      <c r="H47" s="7">
        <v>3508</v>
      </c>
      <c r="I47" s="7" t="s">
        <v>62</v>
      </c>
      <c r="J47" s="7" t="s">
        <v>596</v>
      </c>
      <c r="K47" s="7" t="s">
        <v>597</v>
      </c>
    </row>
    <row r="48" spans="1:11" x14ac:dyDescent="0.2">
      <c r="A48" s="7" t="s">
        <v>324</v>
      </c>
      <c r="B48" s="7" t="s">
        <v>325</v>
      </c>
      <c r="C48" s="7" t="s">
        <v>598</v>
      </c>
      <c r="D48" s="7" t="s">
        <v>458</v>
      </c>
      <c r="E48" s="7" t="s">
        <v>326</v>
      </c>
      <c r="F48" s="7" t="s">
        <v>327</v>
      </c>
      <c r="G48" s="7" t="s">
        <v>328</v>
      </c>
      <c r="H48" s="7">
        <v>4980</v>
      </c>
      <c r="I48" s="7" t="s">
        <v>62</v>
      </c>
      <c r="J48" s="7" t="s">
        <v>599</v>
      </c>
      <c r="K48" s="7" t="s">
        <v>600</v>
      </c>
    </row>
    <row r="49" spans="1:11" x14ac:dyDescent="0.2">
      <c r="A49" s="7" t="s">
        <v>198</v>
      </c>
      <c r="B49" s="7" t="s">
        <v>199</v>
      </c>
      <c r="C49" s="7" t="s">
        <v>601</v>
      </c>
      <c r="D49" s="7" t="s">
        <v>518</v>
      </c>
      <c r="E49" s="7" t="s">
        <v>200</v>
      </c>
      <c r="F49" s="7" t="s">
        <v>201</v>
      </c>
      <c r="G49" s="7" t="s">
        <v>202</v>
      </c>
      <c r="H49" s="7">
        <v>97219</v>
      </c>
      <c r="I49" s="7" t="s">
        <v>86</v>
      </c>
      <c r="J49" s="7" t="s">
        <v>602</v>
      </c>
      <c r="K49" s="7" t="s">
        <v>603</v>
      </c>
    </row>
    <row r="50" spans="1:11" x14ac:dyDescent="0.2">
      <c r="A50" s="7" t="s">
        <v>125</v>
      </c>
      <c r="B50" s="7" t="s">
        <v>126</v>
      </c>
      <c r="C50" s="7" t="s">
        <v>604</v>
      </c>
      <c r="D50" s="7" t="s">
        <v>477</v>
      </c>
      <c r="E50" s="7" t="s">
        <v>127</v>
      </c>
      <c r="F50" s="7" t="s">
        <v>128</v>
      </c>
      <c r="G50" s="7" t="s">
        <v>18</v>
      </c>
      <c r="H50" s="7">
        <v>24100</v>
      </c>
      <c r="I50" s="7" t="s">
        <v>129</v>
      </c>
      <c r="J50" s="7" t="s">
        <v>605</v>
      </c>
      <c r="K50" s="7" t="s">
        <v>606</v>
      </c>
    </row>
    <row r="51" spans="1:11" x14ac:dyDescent="0.2">
      <c r="A51" s="7" t="s">
        <v>378</v>
      </c>
      <c r="B51" s="7" t="s">
        <v>379</v>
      </c>
      <c r="C51" s="7" t="s">
        <v>607</v>
      </c>
      <c r="D51" s="7" t="s">
        <v>493</v>
      </c>
      <c r="E51" s="7" t="s">
        <v>380</v>
      </c>
      <c r="F51" s="7" t="s">
        <v>381</v>
      </c>
      <c r="G51" s="7" t="s">
        <v>18</v>
      </c>
      <c r="H51" s="7" t="s">
        <v>382</v>
      </c>
      <c r="I51" s="7" t="s">
        <v>41</v>
      </c>
      <c r="J51" s="7" t="s">
        <v>608</v>
      </c>
      <c r="K51" s="7" t="s">
        <v>609</v>
      </c>
    </row>
    <row r="52" spans="1:11" x14ac:dyDescent="0.2">
      <c r="A52" s="7" t="s">
        <v>243</v>
      </c>
      <c r="B52" s="7" t="s">
        <v>244</v>
      </c>
      <c r="C52" s="7" t="s">
        <v>610</v>
      </c>
      <c r="D52" s="7" t="s">
        <v>522</v>
      </c>
      <c r="E52" s="7" t="s">
        <v>245</v>
      </c>
      <c r="F52" s="7" t="s">
        <v>246</v>
      </c>
      <c r="G52" s="7" t="s">
        <v>247</v>
      </c>
      <c r="H52" s="7" t="s">
        <v>248</v>
      </c>
      <c r="I52" s="7" t="s">
        <v>249</v>
      </c>
      <c r="J52" s="7" t="s">
        <v>611</v>
      </c>
      <c r="K52" s="7" t="s">
        <v>612</v>
      </c>
    </row>
    <row r="53" spans="1:11" x14ac:dyDescent="0.2">
      <c r="A53" s="7" t="s">
        <v>133</v>
      </c>
      <c r="B53" s="7" t="s">
        <v>134</v>
      </c>
      <c r="C53" s="7" t="s">
        <v>613</v>
      </c>
      <c r="D53" s="7" t="s">
        <v>522</v>
      </c>
      <c r="E53" s="7" t="s">
        <v>135</v>
      </c>
      <c r="F53" s="7" t="s">
        <v>136</v>
      </c>
      <c r="G53" s="7" t="s">
        <v>18</v>
      </c>
      <c r="H53" s="7">
        <v>4179</v>
      </c>
      <c r="I53" s="7" t="s">
        <v>24</v>
      </c>
      <c r="J53" s="7" t="s">
        <v>614</v>
      </c>
      <c r="K53" s="7" t="s">
        <v>18</v>
      </c>
    </row>
    <row r="54" spans="1:11" x14ac:dyDescent="0.2">
      <c r="A54" s="7" t="s">
        <v>367</v>
      </c>
      <c r="B54" s="7" t="s">
        <v>368</v>
      </c>
      <c r="C54" s="7" t="s">
        <v>615</v>
      </c>
      <c r="D54" s="7" t="s">
        <v>503</v>
      </c>
      <c r="E54" s="7" t="s">
        <v>369</v>
      </c>
      <c r="F54" s="7" t="s">
        <v>167</v>
      </c>
      <c r="G54" s="7" t="s">
        <v>18</v>
      </c>
      <c r="H54" s="7" t="s">
        <v>370</v>
      </c>
      <c r="I54" s="7" t="s">
        <v>169</v>
      </c>
      <c r="J54" s="7" t="s">
        <v>616</v>
      </c>
      <c r="K54" s="7" t="s">
        <v>617</v>
      </c>
    </row>
    <row r="55" spans="1:11" x14ac:dyDescent="0.2">
      <c r="A55" s="7" t="s">
        <v>333</v>
      </c>
      <c r="B55" s="7" t="s">
        <v>334</v>
      </c>
      <c r="C55" s="7" t="s">
        <v>618</v>
      </c>
      <c r="D55" s="7" t="s">
        <v>493</v>
      </c>
      <c r="E55" s="7" t="s">
        <v>335</v>
      </c>
      <c r="F55" s="7" t="s">
        <v>336</v>
      </c>
      <c r="G55" s="7" t="s">
        <v>18</v>
      </c>
      <c r="H55" s="7">
        <v>1010</v>
      </c>
      <c r="I55" s="7" t="s">
        <v>337</v>
      </c>
      <c r="J55" s="7" t="s">
        <v>619</v>
      </c>
      <c r="K55" s="7" t="s">
        <v>620</v>
      </c>
    </row>
    <row r="56" spans="1:11" x14ac:dyDescent="0.2">
      <c r="A56" s="7" t="s">
        <v>193</v>
      </c>
      <c r="B56" s="7" t="s">
        <v>194</v>
      </c>
      <c r="C56" s="7" t="s">
        <v>621</v>
      </c>
      <c r="D56" s="7" t="s">
        <v>454</v>
      </c>
      <c r="E56" s="7" t="s">
        <v>195</v>
      </c>
      <c r="F56" s="7" t="s">
        <v>196</v>
      </c>
      <c r="G56" s="7" t="s">
        <v>197</v>
      </c>
      <c r="H56" s="7">
        <v>99508</v>
      </c>
      <c r="I56" s="7" t="s">
        <v>86</v>
      </c>
      <c r="J56" s="7" t="s">
        <v>622</v>
      </c>
      <c r="K56" s="7" t="s">
        <v>623</v>
      </c>
    </row>
    <row r="57" spans="1:11" x14ac:dyDescent="0.2">
      <c r="A57" s="7" t="s">
        <v>73</v>
      </c>
      <c r="B57" s="7" t="s">
        <v>74</v>
      </c>
      <c r="C57" s="7" t="s">
        <v>624</v>
      </c>
      <c r="D57" s="7" t="s">
        <v>458</v>
      </c>
      <c r="E57" s="7" t="s">
        <v>75</v>
      </c>
      <c r="F57" s="7" t="s">
        <v>76</v>
      </c>
      <c r="G57" s="7" t="s">
        <v>18</v>
      </c>
      <c r="H57" s="7">
        <v>50739</v>
      </c>
      <c r="I57" s="7" t="s">
        <v>24</v>
      </c>
      <c r="J57" s="7" t="s">
        <v>625</v>
      </c>
      <c r="K57" s="7" t="s">
        <v>626</v>
      </c>
    </row>
    <row r="58" spans="1:11" x14ac:dyDescent="0.2">
      <c r="A58" s="7" t="s">
        <v>627</v>
      </c>
      <c r="B58" s="7" t="s">
        <v>628</v>
      </c>
      <c r="C58" s="7" t="s">
        <v>629</v>
      </c>
      <c r="D58" s="7" t="s">
        <v>458</v>
      </c>
      <c r="E58" s="7" t="s">
        <v>730</v>
      </c>
      <c r="F58" s="7" t="s">
        <v>412</v>
      </c>
      <c r="G58" s="7" t="s">
        <v>18</v>
      </c>
      <c r="H58" s="7">
        <v>75012</v>
      </c>
      <c r="I58" s="7" t="s">
        <v>19</v>
      </c>
      <c r="J58" s="7" t="s">
        <v>631</v>
      </c>
      <c r="K58" s="7" t="s">
        <v>632</v>
      </c>
    </row>
    <row r="59" spans="1:11" x14ac:dyDescent="0.2">
      <c r="A59" s="7" t="s">
        <v>219</v>
      </c>
      <c r="B59" s="7" t="s">
        <v>220</v>
      </c>
      <c r="C59" s="7" t="s">
        <v>633</v>
      </c>
      <c r="D59" s="7" t="s">
        <v>454</v>
      </c>
      <c r="E59" s="7" t="s">
        <v>221</v>
      </c>
      <c r="F59" s="7" t="s">
        <v>71</v>
      </c>
      <c r="G59" s="7" t="s">
        <v>18</v>
      </c>
      <c r="H59" s="7">
        <v>5033</v>
      </c>
      <c r="I59" s="7" t="s">
        <v>72</v>
      </c>
      <c r="J59" s="7" t="s">
        <v>634</v>
      </c>
      <c r="K59" s="7" t="s">
        <v>635</v>
      </c>
    </row>
    <row r="60" spans="1:11" x14ac:dyDescent="0.2">
      <c r="A60" s="7" t="s">
        <v>266</v>
      </c>
      <c r="B60" s="7" t="s">
        <v>267</v>
      </c>
      <c r="C60" s="7" t="s">
        <v>636</v>
      </c>
      <c r="D60" s="7" t="s">
        <v>518</v>
      </c>
      <c r="E60" s="7" t="s">
        <v>268</v>
      </c>
      <c r="F60" s="7" t="s">
        <v>269</v>
      </c>
      <c r="G60" s="7" t="s">
        <v>18</v>
      </c>
      <c r="H60" s="7">
        <v>5020</v>
      </c>
      <c r="I60" s="7" t="s">
        <v>67</v>
      </c>
      <c r="J60" s="7" t="s">
        <v>637</v>
      </c>
      <c r="K60" s="7" t="s">
        <v>638</v>
      </c>
    </row>
    <row r="61" spans="1:11" x14ac:dyDescent="0.2">
      <c r="A61" s="7" t="s">
        <v>250</v>
      </c>
      <c r="B61" s="7" t="s">
        <v>251</v>
      </c>
      <c r="C61" s="7" t="s">
        <v>639</v>
      </c>
      <c r="D61" s="7" t="s">
        <v>454</v>
      </c>
      <c r="E61" s="7" t="s">
        <v>252</v>
      </c>
      <c r="F61" s="7" t="s">
        <v>237</v>
      </c>
      <c r="G61" s="7" t="s">
        <v>18</v>
      </c>
      <c r="H61" s="7">
        <v>1756</v>
      </c>
      <c r="I61" s="7" t="s">
        <v>238</v>
      </c>
      <c r="J61" s="7" t="s">
        <v>640</v>
      </c>
      <c r="K61" s="7" t="s">
        <v>18</v>
      </c>
    </row>
    <row r="62" spans="1:11" x14ac:dyDescent="0.2">
      <c r="A62" s="7" t="s">
        <v>77</v>
      </c>
      <c r="B62" s="7" t="s">
        <v>78</v>
      </c>
      <c r="C62" s="7" t="s">
        <v>641</v>
      </c>
      <c r="D62" s="7" t="s">
        <v>487</v>
      </c>
      <c r="E62" s="7" t="s">
        <v>421</v>
      </c>
      <c r="F62" s="7" t="s">
        <v>28</v>
      </c>
      <c r="G62" s="7" t="s">
        <v>29</v>
      </c>
      <c r="H62" s="7" t="s">
        <v>80</v>
      </c>
      <c r="I62" s="7" t="s">
        <v>31</v>
      </c>
      <c r="J62" s="7" t="s">
        <v>642</v>
      </c>
      <c r="K62" s="7" t="s">
        <v>643</v>
      </c>
    </row>
    <row r="63" spans="1:11" x14ac:dyDescent="0.2">
      <c r="A63" s="7" t="s">
        <v>299</v>
      </c>
      <c r="B63" s="7" t="s">
        <v>300</v>
      </c>
      <c r="C63" s="7" t="s">
        <v>644</v>
      </c>
      <c r="D63" s="7" t="s">
        <v>522</v>
      </c>
      <c r="E63" s="7" t="s">
        <v>433</v>
      </c>
      <c r="F63" s="7" t="s">
        <v>173</v>
      </c>
      <c r="G63" s="7" t="s">
        <v>55</v>
      </c>
      <c r="H63" s="7" t="s">
        <v>302</v>
      </c>
      <c r="I63" s="7" t="s">
        <v>31</v>
      </c>
      <c r="J63" s="7" t="s">
        <v>645</v>
      </c>
      <c r="K63" s="7" t="s">
        <v>18</v>
      </c>
    </row>
    <row r="64" spans="1:11" x14ac:dyDescent="0.2">
      <c r="A64" s="7" t="s">
        <v>121</v>
      </c>
      <c r="B64" s="7" t="s">
        <v>122</v>
      </c>
      <c r="C64" s="7" t="s">
        <v>646</v>
      </c>
      <c r="D64" s="7" t="s">
        <v>487</v>
      </c>
      <c r="E64" s="7" t="s">
        <v>123</v>
      </c>
      <c r="F64" s="7" t="s">
        <v>124</v>
      </c>
      <c r="G64" s="7" t="s">
        <v>18</v>
      </c>
      <c r="H64" s="7">
        <v>1307</v>
      </c>
      <c r="I64" s="7" t="s">
        <v>24</v>
      </c>
      <c r="J64" s="7" t="s">
        <v>647</v>
      </c>
      <c r="K64" s="7" t="s">
        <v>18</v>
      </c>
    </row>
    <row r="65" spans="1:11" x14ac:dyDescent="0.2">
      <c r="A65" s="7" t="s">
        <v>351</v>
      </c>
      <c r="B65" s="7" t="s">
        <v>352</v>
      </c>
      <c r="C65" s="7" t="s">
        <v>648</v>
      </c>
      <c r="D65" s="7" t="s">
        <v>454</v>
      </c>
      <c r="E65" s="7" t="s">
        <v>353</v>
      </c>
      <c r="F65" s="7" t="s">
        <v>336</v>
      </c>
      <c r="G65" s="7" t="s">
        <v>18</v>
      </c>
      <c r="H65" s="7">
        <v>1010</v>
      </c>
      <c r="I65" s="7" t="s">
        <v>337</v>
      </c>
      <c r="J65" s="7" t="s">
        <v>649</v>
      </c>
      <c r="K65" s="7" t="s">
        <v>650</v>
      </c>
    </row>
    <row r="66" spans="1:11" x14ac:dyDescent="0.2">
      <c r="A66" s="7" t="s">
        <v>81</v>
      </c>
      <c r="B66" s="7" t="s">
        <v>82</v>
      </c>
      <c r="C66" s="7" t="s">
        <v>651</v>
      </c>
      <c r="D66" s="7" t="s">
        <v>652</v>
      </c>
      <c r="E66" s="7" t="s">
        <v>83</v>
      </c>
      <c r="F66" s="7" t="s">
        <v>84</v>
      </c>
      <c r="G66" s="7" t="s">
        <v>85</v>
      </c>
      <c r="H66" s="7">
        <v>87110</v>
      </c>
      <c r="I66" s="7" t="s">
        <v>86</v>
      </c>
      <c r="J66" s="7" t="s">
        <v>653</v>
      </c>
      <c r="K66" s="7" t="s">
        <v>654</v>
      </c>
    </row>
    <row r="67" spans="1:11" x14ac:dyDescent="0.2">
      <c r="A67" s="7" t="s">
        <v>160</v>
      </c>
      <c r="B67" s="7" t="s">
        <v>161</v>
      </c>
      <c r="C67" s="7" t="s">
        <v>655</v>
      </c>
      <c r="D67" s="7" t="s">
        <v>503</v>
      </c>
      <c r="E67" s="7" t="s">
        <v>162</v>
      </c>
      <c r="F67" s="7" t="s">
        <v>163</v>
      </c>
      <c r="G67" s="7" t="s">
        <v>18</v>
      </c>
      <c r="H67" s="7">
        <v>42100</v>
      </c>
      <c r="I67" s="7" t="s">
        <v>129</v>
      </c>
      <c r="J67" s="7" t="s">
        <v>656</v>
      </c>
      <c r="K67" s="7" t="s">
        <v>657</v>
      </c>
    </row>
    <row r="68" spans="1:11" x14ac:dyDescent="0.2">
      <c r="A68" s="7" t="s">
        <v>156</v>
      </c>
      <c r="B68" s="7" t="s">
        <v>157</v>
      </c>
      <c r="C68" s="7" t="s">
        <v>658</v>
      </c>
      <c r="D68" s="7" t="s">
        <v>531</v>
      </c>
      <c r="E68" s="7" t="s">
        <v>424</v>
      </c>
      <c r="F68" s="7" t="s">
        <v>28</v>
      </c>
      <c r="G68" s="7" t="s">
        <v>29</v>
      </c>
      <c r="H68" s="7" t="s">
        <v>159</v>
      </c>
      <c r="I68" s="7" t="s">
        <v>31</v>
      </c>
      <c r="J68" s="7" t="s">
        <v>659</v>
      </c>
      <c r="K68" s="7" t="s">
        <v>18</v>
      </c>
    </row>
    <row r="69" spans="1:11" x14ac:dyDescent="0.2">
      <c r="A69" s="7" t="s">
        <v>47</v>
      </c>
      <c r="B69" s="7" t="s">
        <v>48</v>
      </c>
      <c r="C69" s="7" t="s">
        <v>660</v>
      </c>
      <c r="D69" s="7" t="s">
        <v>518</v>
      </c>
      <c r="E69" s="7" t="s">
        <v>661</v>
      </c>
      <c r="F69" s="7" t="s">
        <v>50</v>
      </c>
      <c r="G69" s="7" t="s">
        <v>18</v>
      </c>
      <c r="H69" s="7">
        <v>1203</v>
      </c>
      <c r="I69" s="7" t="s">
        <v>46</v>
      </c>
      <c r="J69" s="7" t="s">
        <v>662</v>
      </c>
      <c r="K69" s="7" t="s">
        <v>18</v>
      </c>
    </row>
    <row r="70" spans="1:11" x14ac:dyDescent="0.2">
      <c r="A70" s="7" t="s">
        <v>146</v>
      </c>
      <c r="B70" s="7" t="s">
        <v>147</v>
      </c>
      <c r="C70" s="7" t="s">
        <v>663</v>
      </c>
      <c r="D70" s="7" t="s">
        <v>487</v>
      </c>
      <c r="E70" s="7" t="s">
        <v>423</v>
      </c>
      <c r="F70" s="7" t="s">
        <v>149</v>
      </c>
      <c r="G70" s="7" t="s">
        <v>18</v>
      </c>
      <c r="H70" s="7">
        <v>28001</v>
      </c>
      <c r="I70" s="7" t="s">
        <v>150</v>
      </c>
      <c r="J70" s="7" t="s">
        <v>664</v>
      </c>
      <c r="K70" s="7" t="s">
        <v>665</v>
      </c>
    </row>
    <row r="71" spans="1:11" x14ac:dyDescent="0.2">
      <c r="A71" s="7" t="s">
        <v>313</v>
      </c>
      <c r="B71" s="7" t="s">
        <v>314</v>
      </c>
      <c r="C71" s="7" t="s">
        <v>666</v>
      </c>
      <c r="D71" s="7" t="s">
        <v>458</v>
      </c>
      <c r="E71" s="7" t="s">
        <v>315</v>
      </c>
      <c r="F71" s="7" t="s">
        <v>316</v>
      </c>
      <c r="G71" s="7" t="s">
        <v>18</v>
      </c>
      <c r="H71" s="7">
        <v>4110</v>
      </c>
      <c r="I71" s="7" t="s">
        <v>317</v>
      </c>
      <c r="J71" s="7" t="s">
        <v>667</v>
      </c>
      <c r="K71" s="7" t="s">
        <v>668</v>
      </c>
    </row>
    <row r="72" spans="1:11" x14ac:dyDescent="0.2">
      <c r="A72" s="7" t="s">
        <v>226</v>
      </c>
      <c r="B72" s="7" t="s">
        <v>227</v>
      </c>
      <c r="C72" s="7" t="s">
        <v>669</v>
      </c>
      <c r="D72" s="7" t="s">
        <v>454</v>
      </c>
      <c r="E72" s="7" t="s">
        <v>228</v>
      </c>
      <c r="F72" s="7" t="s">
        <v>229</v>
      </c>
      <c r="G72" s="7" t="s">
        <v>230</v>
      </c>
      <c r="H72" s="7">
        <v>83720</v>
      </c>
      <c r="I72" s="7" t="s">
        <v>86</v>
      </c>
      <c r="J72" s="7" t="s">
        <v>670</v>
      </c>
      <c r="K72" s="7" t="s">
        <v>18</v>
      </c>
    </row>
    <row r="73" spans="1:11" x14ac:dyDescent="0.2">
      <c r="A73" s="7" t="s">
        <v>276</v>
      </c>
      <c r="B73" s="7" t="s">
        <v>277</v>
      </c>
      <c r="C73" s="7" t="s">
        <v>671</v>
      </c>
      <c r="D73" s="7" t="s">
        <v>518</v>
      </c>
      <c r="E73" s="7" t="s">
        <v>278</v>
      </c>
      <c r="F73" s="7" t="s">
        <v>167</v>
      </c>
      <c r="G73" s="7" t="s">
        <v>18</v>
      </c>
      <c r="H73" s="7" t="s">
        <v>279</v>
      </c>
      <c r="I73" s="7" t="s">
        <v>169</v>
      </c>
      <c r="J73" s="7" t="s">
        <v>672</v>
      </c>
      <c r="K73" s="7" t="s">
        <v>673</v>
      </c>
    </row>
    <row r="74" spans="1:11" x14ac:dyDescent="0.2">
      <c r="A74" s="7" t="s">
        <v>253</v>
      </c>
      <c r="B74" s="7" t="s">
        <v>254</v>
      </c>
      <c r="C74" s="7" t="s">
        <v>674</v>
      </c>
      <c r="D74" s="7" t="s">
        <v>458</v>
      </c>
      <c r="E74" s="7" t="s">
        <v>255</v>
      </c>
      <c r="F74" s="7" t="s">
        <v>256</v>
      </c>
      <c r="G74" s="7" t="s">
        <v>18</v>
      </c>
      <c r="H74" s="7">
        <v>1734</v>
      </c>
      <c r="I74" s="7" t="s">
        <v>257</v>
      </c>
      <c r="J74" s="7" t="s">
        <v>675</v>
      </c>
      <c r="K74" s="7" t="s">
        <v>676</v>
      </c>
    </row>
    <row r="75" spans="1:11" x14ac:dyDescent="0.2">
      <c r="A75" s="7" t="s">
        <v>409</v>
      </c>
      <c r="B75" s="7" t="s">
        <v>410</v>
      </c>
      <c r="C75" s="7" t="s">
        <v>677</v>
      </c>
      <c r="D75" s="7" t="s">
        <v>477</v>
      </c>
      <c r="E75" s="7" t="s">
        <v>437</v>
      </c>
      <c r="F75" s="7" t="s">
        <v>412</v>
      </c>
      <c r="G75" s="7" t="s">
        <v>18</v>
      </c>
      <c r="H75" s="7">
        <v>75016</v>
      </c>
      <c r="I75" s="7" t="s">
        <v>19</v>
      </c>
      <c r="J75" s="7" t="s">
        <v>678</v>
      </c>
      <c r="K75" s="7" t="s">
        <v>679</v>
      </c>
    </row>
    <row r="76" spans="1:11" x14ac:dyDescent="0.2">
      <c r="A76" s="7" t="s">
        <v>116</v>
      </c>
      <c r="B76" s="7" t="s">
        <v>117</v>
      </c>
      <c r="C76" s="7" t="s">
        <v>680</v>
      </c>
      <c r="D76" s="7" t="s">
        <v>518</v>
      </c>
      <c r="E76" s="7" t="s">
        <v>118</v>
      </c>
      <c r="F76" s="7" t="s">
        <v>119</v>
      </c>
      <c r="G76" s="7" t="s">
        <v>120</v>
      </c>
      <c r="H76" s="7">
        <v>82520</v>
      </c>
      <c r="I76" s="7" t="s">
        <v>86</v>
      </c>
      <c r="J76" s="7" t="s">
        <v>681</v>
      </c>
      <c r="K76" s="7" t="s">
        <v>682</v>
      </c>
    </row>
    <row r="77" spans="1:11" x14ac:dyDescent="0.2">
      <c r="A77" s="7" t="s">
        <v>36</v>
      </c>
      <c r="B77" s="7" t="s">
        <v>37</v>
      </c>
      <c r="C77" s="7" t="s">
        <v>683</v>
      </c>
      <c r="D77" s="7" t="s">
        <v>487</v>
      </c>
      <c r="E77" s="7" t="s">
        <v>419</v>
      </c>
      <c r="F77" s="7" t="s">
        <v>39</v>
      </c>
      <c r="G77" s="7" t="s">
        <v>18</v>
      </c>
      <c r="H77" s="7" t="s">
        <v>40</v>
      </c>
      <c r="I77" s="7" t="s">
        <v>41</v>
      </c>
      <c r="J77" s="7" t="s">
        <v>684</v>
      </c>
      <c r="K77" s="7" t="s">
        <v>685</v>
      </c>
    </row>
    <row r="78" spans="1:11" x14ac:dyDescent="0.2">
      <c r="A78" s="7" t="s">
        <v>206</v>
      </c>
      <c r="B78" s="7" t="s">
        <v>207</v>
      </c>
      <c r="C78" s="7" t="s">
        <v>686</v>
      </c>
      <c r="D78" s="7" t="s">
        <v>477</v>
      </c>
      <c r="E78" s="7" t="s">
        <v>208</v>
      </c>
      <c r="F78" s="7" t="s">
        <v>201</v>
      </c>
      <c r="G78" s="7" t="s">
        <v>202</v>
      </c>
      <c r="H78" s="7">
        <v>97201</v>
      </c>
      <c r="I78" s="7" t="s">
        <v>86</v>
      </c>
      <c r="J78" s="7" t="s">
        <v>687</v>
      </c>
      <c r="K78" s="7" t="s">
        <v>18</v>
      </c>
    </row>
    <row r="79" spans="1:11" x14ac:dyDescent="0.2">
      <c r="A79" s="7" t="s">
        <v>396</v>
      </c>
      <c r="B79" s="7" t="s">
        <v>397</v>
      </c>
      <c r="C79" s="7" t="s">
        <v>688</v>
      </c>
      <c r="D79" s="7" t="s">
        <v>522</v>
      </c>
      <c r="E79" s="7" t="s">
        <v>398</v>
      </c>
      <c r="F79" s="7" t="s">
        <v>399</v>
      </c>
      <c r="G79" s="7" t="s">
        <v>400</v>
      </c>
      <c r="H79" s="7">
        <v>59801</v>
      </c>
      <c r="I79" s="7" t="s">
        <v>86</v>
      </c>
      <c r="J79" s="7" t="s">
        <v>689</v>
      </c>
      <c r="K79" s="7" t="s">
        <v>690</v>
      </c>
    </row>
    <row r="80" spans="1:11" x14ac:dyDescent="0.2">
      <c r="A80" s="7" t="s">
        <v>20</v>
      </c>
      <c r="B80" s="7" t="s">
        <v>21</v>
      </c>
      <c r="C80" s="7" t="s">
        <v>691</v>
      </c>
      <c r="D80" s="7" t="s">
        <v>477</v>
      </c>
      <c r="E80" s="7" t="s">
        <v>22</v>
      </c>
      <c r="F80" s="7" t="s">
        <v>23</v>
      </c>
      <c r="G80" s="7" t="s">
        <v>18</v>
      </c>
      <c r="H80" s="7">
        <v>44087</v>
      </c>
      <c r="I80" s="7" t="s">
        <v>24</v>
      </c>
      <c r="J80" s="7" t="s">
        <v>692</v>
      </c>
      <c r="K80" s="7" t="s">
        <v>693</v>
      </c>
    </row>
    <row r="81" spans="1:11" x14ac:dyDescent="0.2">
      <c r="A81" s="7" t="s">
        <v>130</v>
      </c>
      <c r="B81" s="7" t="s">
        <v>131</v>
      </c>
      <c r="C81" s="7" t="s">
        <v>694</v>
      </c>
      <c r="D81" s="7" t="s">
        <v>458</v>
      </c>
      <c r="E81" s="7" t="s">
        <v>132</v>
      </c>
      <c r="F81" s="7" t="s">
        <v>71</v>
      </c>
      <c r="G81" s="7" t="s">
        <v>18</v>
      </c>
      <c r="H81" s="7">
        <v>5033</v>
      </c>
      <c r="I81" s="7" t="s">
        <v>72</v>
      </c>
      <c r="J81" s="7" t="s">
        <v>695</v>
      </c>
      <c r="K81" s="7" t="s">
        <v>18</v>
      </c>
    </row>
    <row r="82" spans="1:11" x14ac:dyDescent="0.2">
      <c r="A82" s="7" t="s">
        <v>175</v>
      </c>
      <c r="B82" s="7" t="s">
        <v>696</v>
      </c>
      <c r="C82" s="7" t="s">
        <v>697</v>
      </c>
      <c r="D82" s="7" t="s">
        <v>454</v>
      </c>
      <c r="E82" s="7" t="s">
        <v>426</v>
      </c>
      <c r="F82" s="7" t="s">
        <v>173</v>
      </c>
      <c r="G82" s="7" t="s">
        <v>55</v>
      </c>
      <c r="H82" s="7" t="s">
        <v>178</v>
      </c>
      <c r="I82" s="7" t="s">
        <v>31</v>
      </c>
      <c r="J82" s="7" t="s">
        <v>698</v>
      </c>
      <c r="K82" s="7" t="s">
        <v>699</v>
      </c>
    </row>
    <row r="83" spans="1:11" x14ac:dyDescent="0.2">
      <c r="A83" s="7" t="s">
        <v>383</v>
      </c>
      <c r="B83" s="7" t="s">
        <v>384</v>
      </c>
      <c r="C83" s="7" t="s">
        <v>700</v>
      </c>
      <c r="D83" s="7" t="s">
        <v>503</v>
      </c>
      <c r="E83" s="7" t="s">
        <v>385</v>
      </c>
      <c r="F83" s="7" t="s">
        <v>386</v>
      </c>
      <c r="G83" s="7" t="s">
        <v>115</v>
      </c>
      <c r="H83" s="7">
        <v>98034</v>
      </c>
      <c r="I83" s="7" t="s">
        <v>86</v>
      </c>
      <c r="J83" s="7" t="s">
        <v>701</v>
      </c>
      <c r="K83" s="7" t="s">
        <v>702</v>
      </c>
    </row>
    <row r="84" spans="1:11" x14ac:dyDescent="0.2">
      <c r="A84" s="7" t="s">
        <v>295</v>
      </c>
      <c r="B84" s="7" t="s">
        <v>296</v>
      </c>
      <c r="C84" s="7" t="s">
        <v>703</v>
      </c>
      <c r="D84" s="7" t="s">
        <v>518</v>
      </c>
      <c r="E84" s="7" t="s">
        <v>297</v>
      </c>
      <c r="F84" s="7" t="s">
        <v>298</v>
      </c>
      <c r="G84" s="7" t="s">
        <v>18</v>
      </c>
      <c r="H84" s="7">
        <v>8200</v>
      </c>
      <c r="I84" s="7" t="s">
        <v>257</v>
      </c>
      <c r="J84" s="7" t="s">
        <v>704</v>
      </c>
      <c r="K84" s="7" t="s">
        <v>705</v>
      </c>
    </row>
    <row r="85" spans="1:11" x14ac:dyDescent="0.2">
      <c r="A85" s="7" t="s">
        <v>32</v>
      </c>
      <c r="B85" s="7" t="s">
        <v>33</v>
      </c>
      <c r="C85" s="7" t="s">
        <v>706</v>
      </c>
      <c r="D85" s="7" t="s">
        <v>493</v>
      </c>
      <c r="E85" s="7" t="s">
        <v>418</v>
      </c>
      <c r="F85" s="7" t="s">
        <v>35</v>
      </c>
      <c r="G85" s="7" t="s">
        <v>18</v>
      </c>
      <c r="H85" s="7">
        <v>69004</v>
      </c>
      <c r="I85" s="7" t="s">
        <v>19</v>
      </c>
      <c r="J85" s="7" t="s">
        <v>707</v>
      </c>
      <c r="K85" s="7" t="s">
        <v>708</v>
      </c>
    </row>
    <row r="86" spans="1:11" x14ac:dyDescent="0.2">
      <c r="A86" s="7" t="s">
        <v>14</v>
      </c>
      <c r="B86" s="7" t="s">
        <v>15</v>
      </c>
      <c r="C86" s="7" t="s">
        <v>709</v>
      </c>
      <c r="D86" s="7" t="s">
        <v>487</v>
      </c>
      <c r="E86" s="7" t="s">
        <v>16</v>
      </c>
      <c r="F86" s="7" t="s">
        <v>17</v>
      </c>
      <c r="G86" s="7" t="s">
        <v>18</v>
      </c>
      <c r="H86" s="7">
        <v>51100</v>
      </c>
      <c r="I86" s="7" t="s">
        <v>19</v>
      </c>
      <c r="J86" s="7" t="s">
        <v>710</v>
      </c>
      <c r="K86" s="7" t="s">
        <v>711</v>
      </c>
    </row>
    <row r="87" spans="1:11" x14ac:dyDescent="0.2">
      <c r="A87" s="7" t="s">
        <v>185</v>
      </c>
      <c r="B87" s="7" t="s">
        <v>186</v>
      </c>
      <c r="C87" s="7" t="s">
        <v>712</v>
      </c>
      <c r="D87" s="7" t="s">
        <v>454</v>
      </c>
      <c r="E87" s="7" t="s">
        <v>187</v>
      </c>
      <c r="F87" s="7" t="s">
        <v>188</v>
      </c>
      <c r="G87" s="7" t="s">
        <v>18</v>
      </c>
      <c r="H87" s="7">
        <v>70563</v>
      </c>
      <c r="I87" s="7" t="s">
        <v>24</v>
      </c>
      <c r="J87" s="7" t="s">
        <v>713</v>
      </c>
      <c r="K87" s="7" t="s">
        <v>714</v>
      </c>
    </row>
    <row r="88" spans="1:11" x14ac:dyDescent="0.2">
      <c r="A88" s="7" t="s">
        <v>97</v>
      </c>
      <c r="B88" s="7" t="s">
        <v>98</v>
      </c>
      <c r="C88" s="7" t="s">
        <v>715</v>
      </c>
      <c r="D88" s="7" t="s">
        <v>487</v>
      </c>
      <c r="E88" s="7" t="s">
        <v>99</v>
      </c>
      <c r="F88" s="7" t="s">
        <v>100</v>
      </c>
      <c r="G88" s="7" t="s">
        <v>18</v>
      </c>
      <c r="H88" s="7">
        <v>90110</v>
      </c>
      <c r="I88" s="7" t="s">
        <v>101</v>
      </c>
      <c r="J88" s="7" t="s">
        <v>716</v>
      </c>
      <c r="K88" s="7" t="s">
        <v>716</v>
      </c>
    </row>
    <row r="89" spans="1:11" x14ac:dyDescent="0.2">
      <c r="A89" s="7" t="s">
        <v>51</v>
      </c>
      <c r="B89" s="7" t="s">
        <v>52</v>
      </c>
      <c r="C89" s="7" t="s">
        <v>717</v>
      </c>
      <c r="D89" s="7" t="s">
        <v>518</v>
      </c>
      <c r="E89" s="7" t="s">
        <v>420</v>
      </c>
      <c r="F89" s="7" t="s">
        <v>54</v>
      </c>
      <c r="G89" s="7" t="s">
        <v>55</v>
      </c>
      <c r="H89" s="7" t="s">
        <v>56</v>
      </c>
      <c r="I89" s="7" t="s">
        <v>31</v>
      </c>
      <c r="J89" s="7" t="s">
        <v>718</v>
      </c>
      <c r="K89" s="7" t="s">
        <v>18</v>
      </c>
    </row>
    <row r="90" spans="1:11" x14ac:dyDescent="0.2">
      <c r="A90" s="7" t="s">
        <v>111</v>
      </c>
      <c r="B90" s="7" t="s">
        <v>112</v>
      </c>
      <c r="C90" s="7" t="s">
        <v>719</v>
      </c>
      <c r="D90" s="7" t="s">
        <v>458</v>
      </c>
      <c r="E90" s="7" t="s">
        <v>720</v>
      </c>
      <c r="F90" s="7" t="s">
        <v>114</v>
      </c>
      <c r="G90" s="7" t="s">
        <v>115</v>
      </c>
      <c r="H90" s="7">
        <v>98128</v>
      </c>
      <c r="I90" s="7" t="s">
        <v>86</v>
      </c>
      <c r="J90" s="7" t="s">
        <v>721</v>
      </c>
      <c r="K90" s="7" t="s">
        <v>722</v>
      </c>
    </row>
    <row r="91" spans="1:11" x14ac:dyDescent="0.2">
      <c r="A91" s="7" t="s">
        <v>392</v>
      </c>
      <c r="B91" s="7" t="s">
        <v>393</v>
      </c>
      <c r="C91" s="7" t="s">
        <v>723</v>
      </c>
      <c r="D91" s="7" t="s">
        <v>724</v>
      </c>
      <c r="E91" s="7" t="s">
        <v>394</v>
      </c>
      <c r="F91" s="7" t="s">
        <v>395</v>
      </c>
      <c r="G91" s="7" t="s">
        <v>18</v>
      </c>
      <c r="H91" s="7">
        <v>21240</v>
      </c>
      <c r="I91" s="7" t="s">
        <v>101</v>
      </c>
      <c r="J91" s="7" t="s">
        <v>725</v>
      </c>
      <c r="K91" s="7" t="s">
        <v>725</v>
      </c>
    </row>
    <row r="92" spans="1:11" x14ac:dyDescent="0.2">
      <c r="A92" s="7" t="s">
        <v>303</v>
      </c>
      <c r="B92" s="7" t="s">
        <v>726</v>
      </c>
      <c r="C92" s="7" t="s">
        <v>727</v>
      </c>
      <c r="D92" s="7" t="s">
        <v>458</v>
      </c>
      <c r="E92" s="7" t="s">
        <v>305</v>
      </c>
      <c r="F92" s="7" t="s">
        <v>306</v>
      </c>
      <c r="G92" s="7" t="s">
        <v>18</v>
      </c>
      <c r="H92" s="7" t="s">
        <v>307</v>
      </c>
      <c r="I92" s="7" t="s">
        <v>308</v>
      </c>
      <c r="J92" s="7" t="s">
        <v>728</v>
      </c>
      <c r="K92" s="7" t="s">
        <v>728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D072-6789-6C46-9220-E9931C5A0FD2}">
  <dimension ref="A1:AM10"/>
  <sheetViews>
    <sheetView workbookViewId="0">
      <selection activeCell="I2" sqref="I2:I10"/>
    </sheetView>
  </sheetViews>
  <sheetFormatPr baseColWidth="10" defaultRowHeight="16" x14ac:dyDescent="0.2"/>
  <cols>
    <col min="1" max="1" width="10.83203125" style="7"/>
    <col min="2" max="2" width="10" style="7" bestFit="1" customWidth="1"/>
    <col min="3" max="3" width="9.1640625" style="7" bestFit="1" customWidth="1"/>
    <col min="4" max="4" width="21" style="7" bestFit="1" customWidth="1"/>
    <col min="5" max="5" width="13.6640625" style="7" bestFit="1" customWidth="1"/>
    <col min="6" max="6" width="9" style="10" bestFit="1" customWidth="1"/>
    <col min="7" max="7" width="8.5" style="10" bestFit="1" customWidth="1"/>
    <col min="8" max="8" width="28.5" style="7" bestFit="1" customWidth="1"/>
    <col min="9" max="9" width="8.83203125" style="7" bestFit="1" customWidth="1"/>
    <col min="10" max="10" width="6.1640625" style="7" bestFit="1" customWidth="1"/>
    <col min="11" max="11" width="10.5" style="7" bestFit="1" customWidth="1"/>
    <col min="12" max="12" width="7.33203125" style="7" bestFit="1" customWidth="1"/>
    <col min="13" max="13" width="13.5" style="7" bestFit="1" customWidth="1"/>
    <col min="14" max="14" width="9" style="7" bestFit="1" customWidth="1"/>
    <col min="15" max="15" width="86.6640625" style="7" bestFit="1" customWidth="1"/>
    <col min="16" max="16" width="8.83203125" style="7" bestFit="1" customWidth="1"/>
    <col min="17" max="17" width="37" style="7" bestFit="1" customWidth="1"/>
    <col min="18" max="18" width="20.1640625" style="7" bestFit="1" customWidth="1"/>
    <col min="19" max="19" width="15.1640625" style="7" bestFit="1" customWidth="1"/>
    <col min="20" max="20" width="13.83203125" style="7" bestFit="1" customWidth="1"/>
    <col min="21" max="21" width="12.5" style="7" bestFit="1" customWidth="1"/>
    <col min="22" max="22" width="13" style="7" bestFit="1" customWidth="1"/>
    <col min="23" max="23" width="13.5" style="7" bestFit="1" customWidth="1"/>
    <col min="24" max="25" width="11.5" style="7" bestFit="1" customWidth="1"/>
    <col min="26" max="26" width="11.6640625" style="7" bestFit="1" customWidth="1"/>
    <col min="27" max="27" width="14.6640625" style="7" bestFit="1" customWidth="1"/>
    <col min="29" max="34" width="10.83203125" style="7"/>
    <col min="35" max="35" width="17.6640625" style="7" customWidth="1"/>
    <col min="36" max="39" width="10.83203125" style="7"/>
  </cols>
  <sheetData>
    <row r="1" spans="1:27" x14ac:dyDescent="0.2">
      <c r="A1" s="7" t="s">
        <v>2</v>
      </c>
      <c r="B1" s="7" t="s">
        <v>731</v>
      </c>
      <c r="C1" s="7" t="s">
        <v>732</v>
      </c>
      <c r="D1" s="7" t="s">
        <v>733</v>
      </c>
      <c r="E1" s="7" t="s">
        <v>734</v>
      </c>
      <c r="F1" s="10" t="s">
        <v>735</v>
      </c>
      <c r="G1" s="10" t="s">
        <v>736</v>
      </c>
      <c r="H1" s="7" t="s">
        <v>446</v>
      </c>
      <c r="I1" s="7" t="s">
        <v>447</v>
      </c>
      <c r="J1" s="7" t="s">
        <v>448</v>
      </c>
      <c r="K1" s="7" t="s">
        <v>449</v>
      </c>
      <c r="L1" s="7" t="s">
        <v>450</v>
      </c>
      <c r="M1" s="7" t="s">
        <v>737</v>
      </c>
      <c r="N1" s="7" t="s">
        <v>738</v>
      </c>
      <c r="O1" s="7" t="s">
        <v>739</v>
      </c>
      <c r="P1" s="7" t="s">
        <v>740</v>
      </c>
      <c r="Q1" s="7" t="s">
        <v>741</v>
      </c>
      <c r="R1" s="7" t="s">
        <v>815</v>
      </c>
      <c r="S1" s="7" t="s">
        <v>831</v>
      </c>
      <c r="T1" s="7" t="s">
        <v>817</v>
      </c>
      <c r="U1" s="7" t="s">
        <v>818</v>
      </c>
      <c r="V1" s="7" t="s">
        <v>821</v>
      </c>
      <c r="W1" s="7" t="s">
        <v>826</v>
      </c>
      <c r="X1" s="7" t="s">
        <v>827</v>
      </c>
      <c r="Y1" s="7" t="s">
        <v>828</v>
      </c>
      <c r="Z1" s="7" t="s">
        <v>829</v>
      </c>
      <c r="AA1" s="7" t="s">
        <v>830</v>
      </c>
    </row>
    <row r="2" spans="1:27" ht="34" x14ac:dyDescent="0.2">
      <c r="A2" s="7">
        <v>1</v>
      </c>
      <c r="B2" s="7" t="s">
        <v>742</v>
      </c>
      <c r="C2" s="7" t="s">
        <v>743</v>
      </c>
      <c r="D2" s="7" t="s">
        <v>454</v>
      </c>
      <c r="E2" s="7" t="s">
        <v>744</v>
      </c>
      <c r="F2" s="10">
        <v>17875</v>
      </c>
      <c r="G2" s="10">
        <v>33725</v>
      </c>
      <c r="H2" s="7" t="s">
        <v>745</v>
      </c>
      <c r="I2" s="7" t="s">
        <v>114</v>
      </c>
      <c r="J2" s="7" t="s">
        <v>115</v>
      </c>
      <c r="K2" s="7">
        <v>98122</v>
      </c>
      <c r="L2" s="7" t="s">
        <v>86</v>
      </c>
      <c r="M2" s="7" t="s">
        <v>746</v>
      </c>
      <c r="N2" s="7">
        <v>5467</v>
      </c>
      <c r="O2" s="11" t="s">
        <v>747</v>
      </c>
      <c r="P2" s="7">
        <v>2</v>
      </c>
      <c r="Q2" s="7" t="s">
        <v>748</v>
      </c>
      <c r="R2" s="7" t="s">
        <v>810</v>
      </c>
      <c r="S2" s="7" t="s">
        <v>804</v>
      </c>
      <c r="T2" s="7" t="s">
        <v>816</v>
      </c>
      <c r="U2" s="7">
        <v>0</v>
      </c>
      <c r="V2" s="7" t="s">
        <v>810</v>
      </c>
      <c r="W2" s="7">
        <v>1</v>
      </c>
      <c r="X2" s="7">
        <v>0</v>
      </c>
      <c r="Y2" s="7">
        <v>0</v>
      </c>
      <c r="Z2" s="7">
        <v>0</v>
      </c>
      <c r="AA2" s="7">
        <v>0</v>
      </c>
    </row>
    <row r="3" spans="1:27" ht="51" x14ac:dyDescent="0.2">
      <c r="A3" s="7">
        <v>2</v>
      </c>
      <c r="B3" s="7" t="s">
        <v>749</v>
      </c>
      <c r="C3" s="7" t="s">
        <v>750</v>
      </c>
      <c r="D3" s="7" t="s">
        <v>751</v>
      </c>
      <c r="E3" s="7" t="s">
        <v>752</v>
      </c>
      <c r="F3" s="10">
        <v>19043</v>
      </c>
      <c r="G3" s="10">
        <v>33830</v>
      </c>
      <c r="H3" s="7" t="s">
        <v>753</v>
      </c>
      <c r="I3" s="7" t="s">
        <v>754</v>
      </c>
      <c r="J3" s="7" t="s">
        <v>115</v>
      </c>
      <c r="K3" s="7">
        <v>98401</v>
      </c>
      <c r="L3" s="7" t="s">
        <v>86</v>
      </c>
      <c r="M3" s="7" t="s">
        <v>755</v>
      </c>
      <c r="N3" s="7">
        <v>3457</v>
      </c>
      <c r="O3" s="11" t="s">
        <v>756</v>
      </c>
      <c r="P3" s="7" t="s">
        <v>18</v>
      </c>
      <c r="Q3" s="7" t="s">
        <v>757</v>
      </c>
      <c r="R3" s="7" t="s">
        <v>811</v>
      </c>
      <c r="S3" s="7" t="s">
        <v>805</v>
      </c>
      <c r="T3" s="7" t="s">
        <v>819</v>
      </c>
      <c r="U3" s="7">
        <v>1</v>
      </c>
      <c r="V3" s="7" t="s">
        <v>822</v>
      </c>
      <c r="W3" s="7">
        <v>0</v>
      </c>
      <c r="X3" s="7">
        <v>1</v>
      </c>
      <c r="Y3" s="7">
        <v>1</v>
      </c>
      <c r="Z3" s="7">
        <v>1</v>
      </c>
      <c r="AA3" s="7">
        <v>1</v>
      </c>
    </row>
    <row r="4" spans="1:27" ht="51" x14ac:dyDescent="0.2">
      <c r="A4" s="7">
        <v>3</v>
      </c>
      <c r="B4" s="7" t="s">
        <v>758</v>
      </c>
      <c r="C4" s="7" t="s">
        <v>759</v>
      </c>
      <c r="D4" s="7" t="s">
        <v>454</v>
      </c>
      <c r="E4" s="7" t="s">
        <v>744</v>
      </c>
      <c r="F4" s="10">
        <v>23253</v>
      </c>
      <c r="G4" s="10">
        <v>33695</v>
      </c>
      <c r="H4" s="7" t="s">
        <v>760</v>
      </c>
      <c r="I4" s="7" t="s">
        <v>386</v>
      </c>
      <c r="J4" s="7" t="s">
        <v>115</v>
      </c>
      <c r="K4" s="7">
        <v>98033</v>
      </c>
      <c r="L4" s="7" t="s">
        <v>86</v>
      </c>
      <c r="M4" s="7" t="s">
        <v>761</v>
      </c>
      <c r="N4" s="7">
        <v>3355</v>
      </c>
      <c r="O4" s="11" t="s">
        <v>762</v>
      </c>
      <c r="P4" s="7">
        <v>2</v>
      </c>
      <c r="Q4" s="7" t="s">
        <v>763</v>
      </c>
      <c r="R4" s="7" t="s">
        <v>812</v>
      </c>
      <c r="S4" s="7" t="s">
        <v>806</v>
      </c>
      <c r="T4" s="7" t="s">
        <v>819</v>
      </c>
      <c r="U4" s="7">
        <v>0</v>
      </c>
      <c r="V4" s="7" t="s">
        <v>823</v>
      </c>
      <c r="W4" s="7">
        <v>1</v>
      </c>
      <c r="X4" s="7">
        <v>0</v>
      </c>
      <c r="Y4" s="7">
        <v>0</v>
      </c>
      <c r="Z4" s="7">
        <v>0</v>
      </c>
      <c r="AA4" s="7">
        <v>0</v>
      </c>
    </row>
    <row r="5" spans="1:27" ht="51" x14ac:dyDescent="0.2">
      <c r="A5" s="7">
        <v>4</v>
      </c>
      <c r="B5" s="7" t="s">
        <v>764</v>
      </c>
      <c r="C5" s="7" t="s">
        <v>765</v>
      </c>
      <c r="D5" s="7" t="s">
        <v>454</v>
      </c>
      <c r="E5" s="7" t="s">
        <v>766</v>
      </c>
      <c r="F5" s="10">
        <v>13777</v>
      </c>
      <c r="G5" s="10">
        <v>34092</v>
      </c>
      <c r="H5" s="7" t="s">
        <v>767</v>
      </c>
      <c r="I5" s="7" t="s">
        <v>768</v>
      </c>
      <c r="J5" s="7" t="s">
        <v>115</v>
      </c>
      <c r="K5" s="7">
        <v>98052</v>
      </c>
      <c r="L5" s="7" t="s">
        <v>86</v>
      </c>
      <c r="M5" s="7" t="s">
        <v>769</v>
      </c>
      <c r="N5" s="7">
        <v>5176</v>
      </c>
      <c r="O5" s="11" t="s">
        <v>770</v>
      </c>
      <c r="P5" s="7">
        <v>2</v>
      </c>
      <c r="Q5" s="7" t="s">
        <v>771</v>
      </c>
      <c r="R5" s="7" t="s">
        <v>813</v>
      </c>
      <c r="S5" s="7" t="s">
        <v>807</v>
      </c>
      <c r="T5" s="7" t="s">
        <v>816</v>
      </c>
      <c r="U5" s="7">
        <v>1</v>
      </c>
      <c r="V5" s="7" t="s">
        <v>824</v>
      </c>
      <c r="W5" s="7">
        <v>0</v>
      </c>
      <c r="X5" s="7">
        <v>0</v>
      </c>
      <c r="Y5" s="7">
        <v>0</v>
      </c>
      <c r="Z5" s="7">
        <v>1</v>
      </c>
      <c r="AA5" s="7">
        <v>0</v>
      </c>
    </row>
    <row r="6" spans="1:27" ht="51" x14ac:dyDescent="0.2">
      <c r="A6" s="7">
        <v>5</v>
      </c>
      <c r="B6" s="7" t="s">
        <v>772</v>
      </c>
      <c r="C6" s="7" t="s">
        <v>773</v>
      </c>
      <c r="D6" s="7" t="s">
        <v>518</v>
      </c>
      <c r="E6" s="7" t="s">
        <v>774</v>
      </c>
      <c r="F6" s="10">
        <v>20152</v>
      </c>
      <c r="G6" s="10">
        <v>34259</v>
      </c>
      <c r="H6" s="7" t="s">
        <v>775</v>
      </c>
      <c r="I6" s="7" t="s">
        <v>167</v>
      </c>
      <c r="J6" s="7" t="s">
        <v>18</v>
      </c>
      <c r="K6" s="7" t="s">
        <v>776</v>
      </c>
      <c r="L6" s="7" t="s">
        <v>169</v>
      </c>
      <c r="M6" s="7" t="s">
        <v>777</v>
      </c>
      <c r="N6" s="7">
        <v>3453</v>
      </c>
      <c r="O6" s="11" t="s">
        <v>778</v>
      </c>
      <c r="P6" s="7">
        <v>2</v>
      </c>
      <c r="Q6" s="7" t="s">
        <v>779</v>
      </c>
      <c r="R6" s="7" t="s">
        <v>825</v>
      </c>
      <c r="S6" s="7" t="s">
        <v>808</v>
      </c>
      <c r="T6" s="7" t="s">
        <v>820</v>
      </c>
      <c r="U6" s="7">
        <v>0</v>
      </c>
      <c r="V6" s="7" t="s">
        <v>825</v>
      </c>
      <c r="W6" s="7">
        <v>0</v>
      </c>
      <c r="X6" s="7">
        <v>0</v>
      </c>
      <c r="Y6" s="7">
        <v>0</v>
      </c>
      <c r="Z6" s="7">
        <v>1</v>
      </c>
      <c r="AA6" s="7">
        <v>0</v>
      </c>
    </row>
    <row r="7" spans="1:27" ht="51" x14ac:dyDescent="0.2">
      <c r="A7" s="7">
        <v>6</v>
      </c>
      <c r="B7" s="7" t="s">
        <v>780</v>
      </c>
      <c r="C7" s="7" t="s">
        <v>781</v>
      </c>
      <c r="D7" s="7" t="s">
        <v>454</v>
      </c>
      <c r="E7" s="7" t="s">
        <v>774</v>
      </c>
      <c r="F7" s="10">
        <v>23194</v>
      </c>
      <c r="G7" s="10">
        <v>34259</v>
      </c>
      <c r="H7" s="7" t="s">
        <v>782</v>
      </c>
      <c r="I7" s="7" t="s">
        <v>167</v>
      </c>
      <c r="J7" s="7" t="s">
        <v>18</v>
      </c>
      <c r="K7" s="7" t="s">
        <v>783</v>
      </c>
      <c r="L7" s="7" t="s">
        <v>169</v>
      </c>
      <c r="M7" s="7" t="s">
        <v>784</v>
      </c>
      <c r="N7" s="7">
        <v>428</v>
      </c>
      <c r="O7" s="11" t="s">
        <v>785</v>
      </c>
      <c r="P7" s="7">
        <v>5</v>
      </c>
      <c r="Q7" s="7" t="s">
        <v>748</v>
      </c>
      <c r="R7" s="7" t="s">
        <v>814</v>
      </c>
      <c r="S7" s="7" t="s">
        <v>809</v>
      </c>
      <c r="T7" s="7" t="s">
        <v>820</v>
      </c>
      <c r="U7" s="7">
        <v>1</v>
      </c>
      <c r="V7" s="7" t="s">
        <v>822</v>
      </c>
      <c r="W7" s="7">
        <v>1</v>
      </c>
      <c r="X7" s="7">
        <v>0</v>
      </c>
      <c r="Y7" s="7">
        <v>0</v>
      </c>
      <c r="Z7" s="7">
        <v>1</v>
      </c>
      <c r="AA7" s="7">
        <v>0</v>
      </c>
    </row>
    <row r="8" spans="1:27" ht="51" x14ac:dyDescent="0.2">
      <c r="A8" s="7">
        <v>7</v>
      </c>
      <c r="B8" s="7" t="s">
        <v>786</v>
      </c>
      <c r="C8" s="7" t="s">
        <v>787</v>
      </c>
      <c r="D8" s="7" t="s">
        <v>454</v>
      </c>
      <c r="E8" s="7" t="s">
        <v>774</v>
      </c>
      <c r="F8" s="10">
        <v>22065</v>
      </c>
      <c r="G8" s="10">
        <v>34336</v>
      </c>
      <c r="H8" s="7" t="s">
        <v>788</v>
      </c>
      <c r="I8" s="7" t="s">
        <v>167</v>
      </c>
      <c r="J8" s="7" t="s">
        <v>18</v>
      </c>
      <c r="K8" s="7" t="s">
        <v>789</v>
      </c>
      <c r="L8" s="7" t="s">
        <v>169</v>
      </c>
      <c r="M8" s="7" t="s">
        <v>790</v>
      </c>
      <c r="N8" s="7">
        <v>465</v>
      </c>
      <c r="O8" s="11" t="s">
        <v>791</v>
      </c>
      <c r="P8" s="7">
        <v>5</v>
      </c>
      <c r="Q8" s="7" t="s">
        <v>748</v>
      </c>
      <c r="R8" s="7" t="s">
        <v>813</v>
      </c>
      <c r="S8" s="7" t="s">
        <v>804</v>
      </c>
      <c r="T8" s="7" t="s">
        <v>816</v>
      </c>
      <c r="U8" s="7">
        <v>0</v>
      </c>
      <c r="V8" s="7" t="s">
        <v>824</v>
      </c>
      <c r="W8" s="7">
        <v>1</v>
      </c>
      <c r="X8" s="7">
        <v>0</v>
      </c>
      <c r="Y8" s="7">
        <v>0</v>
      </c>
      <c r="Z8" s="7">
        <v>1</v>
      </c>
      <c r="AA8" s="7">
        <v>0</v>
      </c>
    </row>
    <row r="9" spans="1:27" ht="34" x14ac:dyDescent="0.2">
      <c r="A9" s="7">
        <v>8</v>
      </c>
      <c r="B9" s="7" t="s">
        <v>792</v>
      </c>
      <c r="C9" s="7" t="s">
        <v>793</v>
      </c>
      <c r="D9" s="7" t="s">
        <v>794</v>
      </c>
      <c r="E9" s="7" t="s">
        <v>744</v>
      </c>
      <c r="F9" s="10">
        <v>21194</v>
      </c>
      <c r="G9" s="10">
        <v>34398</v>
      </c>
      <c r="H9" s="7" t="s">
        <v>795</v>
      </c>
      <c r="I9" s="7" t="s">
        <v>114</v>
      </c>
      <c r="J9" s="7" t="s">
        <v>115</v>
      </c>
      <c r="K9" s="7">
        <v>98105</v>
      </c>
      <c r="L9" s="7" t="s">
        <v>86</v>
      </c>
      <c r="M9" s="7" t="s">
        <v>796</v>
      </c>
      <c r="N9" s="7">
        <v>2344</v>
      </c>
      <c r="O9" s="11" t="s">
        <v>797</v>
      </c>
      <c r="P9" s="7">
        <v>2</v>
      </c>
      <c r="Q9" s="7" t="s">
        <v>748</v>
      </c>
      <c r="R9" s="7" t="s">
        <v>810</v>
      </c>
      <c r="S9" s="7" t="s">
        <v>804</v>
      </c>
      <c r="T9" s="7" t="s">
        <v>816</v>
      </c>
      <c r="U9" s="7">
        <v>0</v>
      </c>
      <c r="V9" s="7" t="s">
        <v>810</v>
      </c>
      <c r="W9" s="7">
        <v>1</v>
      </c>
      <c r="X9" s="7">
        <v>1</v>
      </c>
      <c r="Y9" s="7">
        <v>0</v>
      </c>
      <c r="Z9" s="7">
        <v>0</v>
      </c>
      <c r="AA9" s="7">
        <v>1</v>
      </c>
    </row>
    <row r="10" spans="1:27" ht="17" x14ac:dyDescent="0.2">
      <c r="A10" s="7">
        <v>9</v>
      </c>
      <c r="B10" s="7" t="s">
        <v>798</v>
      </c>
      <c r="C10" s="7" t="s">
        <v>799</v>
      </c>
      <c r="D10" s="7" t="s">
        <v>454</v>
      </c>
      <c r="E10" s="7" t="s">
        <v>744</v>
      </c>
      <c r="F10" s="10">
        <v>24134</v>
      </c>
      <c r="G10" s="10">
        <v>34653</v>
      </c>
      <c r="H10" s="7" t="s">
        <v>800</v>
      </c>
      <c r="I10" s="7" t="s">
        <v>167</v>
      </c>
      <c r="J10" s="7" t="s">
        <v>18</v>
      </c>
      <c r="K10" s="7" t="s">
        <v>801</v>
      </c>
      <c r="L10" s="7" t="s">
        <v>169</v>
      </c>
      <c r="M10" s="7" t="s">
        <v>802</v>
      </c>
      <c r="N10" s="7">
        <v>452</v>
      </c>
      <c r="O10" s="11" t="s">
        <v>803</v>
      </c>
      <c r="P10" s="7">
        <v>5</v>
      </c>
      <c r="Q10" s="7" t="s">
        <v>748</v>
      </c>
      <c r="R10" s="7" t="s">
        <v>813</v>
      </c>
      <c r="S10" s="7" t="s">
        <v>804</v>
      </c>
      <c r="T10" s="7" t="s">
        <v>816</v>
      </c>
      <c r="U10" s="7">
        <v>0</v>
      </c>
      <c r="V10" s="7" t="s">
        <v>824</v>
      </c>
      <c r="W10" s="7">
        <v>0</v>
      </c>
      <c r="X10" s="7">
        <v>1</v>
      </c>
      <c r="Y10" s="7">
        <v>1</v>
      </c>
      <c r="Z10" s="7">
        <v>0</v>
      </c>
      <c r="AA10" s="7">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26BD8-C7FA-7941-AB87-93CE350F60AE}">
  <dimension ref="A1:C4"/>
  <sheetViews>
    <sheetView workbookViewId="0">
      <selection activeCell="F26" sqref="F26"/>
    </sheetView>
  </sheetViews>
  <sheetFormatPr baseColWidth="10" defaultRowHeight="16" x14ac:dyDescent="0.2"/>
  <cols>
    <col min="1" max="1" width="9" bestFit="1" customWidth="1"/>
    <col min="2" max="2" width="14.5" bestFit="1" customWidth="1"/>
    <col min="3" max="3" width="13.5" bestFit="1" customWidth="1"/>
  </cols>
  <sheetData>
    <row r="1" spans="1:3" x14ac:dyDescent="0.2">
      <c r="A1" s="7" t="s">
        <v>832</v>
      </c>
      <c r="B1" s="7" t="s">
        <v>443</v>
      </c>
      <c r="C1" s="7" t="s">
        <v>451</v>
      </c>
    </row>
    <row r="2" spans="1:3" x14ac:dyDescent="0.2">
      <c r="A2" s="7">
        <v>1</v>
      </c>
      <c r="B2" s="7" t="s">
        <v>833</v>
      </c>
      <c r="C2" s="7" t="s">
        <v>834</v>
      </c>
    </row>
    <row r="3" spans="1:3" x14ac:dyDescent="0.2">
      <c r="A3" s="7">
        <v>2</v>
      </c>
      <c r="B3" s="7" t="s">
        <v>835</v>
      </c>
      <c r="C3" s="7" t="s">
        <v>836</v>
      </c>
    </row>
    <row r="4" spans="1:3" x14ac:dyDescent="0.2">
      <c r="A4" s="7">
        <v>3</v>
      </c>
      <c r="B4" s="7" t="s">
        <v>837</v>
      </c>
      <c r="C4" s="7"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5869C-44FF-4342-B0BD-AEAF059120A2}">
  <dimension ref="A1:J78"/>
  <sheetViews>
    <sheetView workbookViewId="0">
      <selection activeCell="D1" sqref="D1"/>
    </sheetView>
  </sheetViews>
  <sheetFormatPr baseColWidth="10" defaultRowHeight="16" x14ac:dyDescent="0.2"/>
  <cols>
    <col min="1" max="1" width="9.33203125" style="7" bestFit="1" customWidth="1"/>
    <col min="2" max="2" width="29.33203125" style="7" bestFit="1" customWidth="1"/>
    <col min="3" max="3" width="9.5" style="7" bestFit="1" customWidth="1"/>
    <col min="4" max="4" width="10" style="7" bestFit="1" customWidth="1"/>
    <col min="5" max="5" width="17.5" style="7" bestFit="1" customWidth="1"/>
    <col min="6" max="6" width="9" style="12" bestFit="1" customWidth="1"/>
    <col min="7" max="7" width="11.1640625" style="7" bestFit="1" customWidth="1"/>
    <col min="8" max="8" width="12.1640625" style="7" bestFit="1" customWidth="1"/>
    <col min="9" max="9" width="11.33203125" style="7" bestFit="1" customWidth="1"/>
    <col min="10" max="10" width="11.6640625" style="7" bestFit="1" customWidth="1"/>
  </cols>
  <sheetData>
    <row r="1" spans="1:10" x14ac:dyDescent="0.2">
      <c r="A1" s="7" t="s">
        <v>439</v>
      </c>
      <c r="B1" s="7" t="s">
        <v>839</v>
      </c>
      <c r="C1" s="7" t="s">
        <v>840</v>
      </c>
      <c r="D1" s="7" t="s">
        <v>841</v>
      </c>
      <c r="E1" s="7" t="s">
        <v>842</v>
      </c>
      <c r="F1" s="12" t="s">
        <v>440</v>
      </c>
      <c r="G1" s="7" t="s">
        <v>843</v>
      </c>
      <c r="H1" s="7" t="s">
        <v>844</v>
      </c>
      <c r="I1" s="7" t="s">
        <v>845</v>
      </c>
      <c r="J1" s="7" t="s">
        <v>846</v>
      </c>
    </row>
    <row r="2" spans="1:10" x14ac:dyDescent="0.2">
      <c r="A2" s="7">
        <v>1</v>
      </c>
      <c r="B2" s="7" t="s">
        <v>847</v>
      </c>
      <c r="C2" s="7">
        <v>1</v>
      </c>
      <c r="D2" s="7">
        <v>1</v>
      </c>
      <c r="E2" s="7" t="s">
        <v>848</v>
      </c>
      <c r="F2" s="12">
        <v>18</v>
      </c>
      <c r="G2" s="7">
        <v>39</v>
      </c>
      <c r="H2" s="7">
        <v>0</v>
      </c>
      <c r="I2" s="7">
        <v>10</v>
      </c>
      <c r="J2" s="7">
        <v>0</v>
      </c>
    </row>
    <row r="3" spans="1:10" x14ac:dyDescent="0.2">
      <c r="A3" s="7">
        <v>2</v>
      </c>
      <c r="B3" s="7" t="s">
        <v>849</v>
      </c>
      <c r="C3" s="7">
        <v>1</v>
      </c>
      <c r="D3" s="7">
        <v>1</v>
      </c>
      <c r="E3" s="7" t="s">
        <v>850</v>
      </c>
      <c r="F3" s="12">
        <v>19</v>
      </c>
      <c r="G3" s="7">
        <v>17</v>
      </c>
      <c r="H3" s="7">
        <v>40</v>
      </c>
      <c r="I3" s="7">
        <v>25</v>
      </c>
      <c r="J3" s="7">
        <v>0</v>
      </c>
    </row>
    <row r="4" spans="1:10" x14ac:dyDescent="0.2">
      <c r="A4" s="7">
        <v>3</v>
      </c>
      <c r="B4" s="7" t="s">
        <v>851</v>
      </c>
      <c r="C4" s="7">
        <v>1</v>
      </c>
      <c r="D4" s="7">
        <v>2</v>
      </c>
      <c r="E4" s="7" t="s">
        <v>852</v>
      </c>
      <c r="F4" s="12">
        <v>10</v>
      </c>
      <c r="G4" s="7">
        <v>13</v>
      </c>
      <c r="H4" s="7">
        <v>70</v>
      </c>
      <c r="I4" s="7">
        <v>25</v>
      </c>
      <c r="J4" s="7">
        <v>0</v>
      </c>
    </row>
    <row r="5" spans="1:10" x14ac:dyDescent="0.2">
      <c r="A5" s="7">
        <v>4</v>
      </c>
      <c r="B5" s="7" t="s">
        <v>853</v>
      </c>
      <c r="C5" s="7">
        <v>2</v>
      </c>
      <c r="D5" s="7">
        <v>2</v>
      </c>
      <c r="E5" s="7" t="s">
        <v>854</v>
      </c>
      <c r="F5" s="12">
        <v>22</v>
      </c>
      <c r="G5" s="7">
        <v>53</v>
      </c>
      <c r="H5" s="7">
        <v>0</v>
      </c>
      <c r="I5" s="7">
        <v>0</v>
      </c>
      <c r="J5" s="7">
        <v>0</v>
      </c>
    </row>
    <row r="6" spans="1:10" x14ac:dyDescent="0.2">
      <c r="A6" s="7">
        <v>5</v>
      </c>
      <c r="B6" s="7" t="s">
        <v>855</v>
      </c>
      <c r="C6" s="7">
        <v>2</v>
      </c>
      <c r="D6" s="7">
        <v>2</v>
      </c>
      <c r="E6" s="7" t="s">
        <v>856</v>
      </c>
      <c r="F6" s="12">
        <v>21.35</v>
      </c>
      <c r="G6" s="7">
        <v>0</v>
      </c>
      <c r="H6" s="7">
        <v>0</v>
      </c>
      <c r="I6" s="7">
        <v>0</v>
      </c>
      <c r="J6" s="7">
        <v>1</v>
      </c>
    </row>
    <row r="7" spans="1:10" x14ac:dyDescent="0.2">
      <c r="A7" s="7">
        <v>6</v>
      </c>
      <c r="B7" s="7" t="s">
        <v>857</v>
      </c>
      <c r="C7" s="7">
        <v>3</v>
      </c>
      <c r="D7" s="7">
        <v>2</v>
      </c>
      <c r="E7" s="7" t="s">
        <v>858</v>
      </c>
      <c r="F7" s="12">
        <v>25</v>
      </c>
      <c r="G7" s="7">
        <v>120</v>
      </c>
      <c r="H7" s="7">
        <v>0</v>
      </c>
      <c r="I7" s="7">
        <v>25</v>
      </c>
      <c r="J7" s="7">
        <v>0</v>
      </c>
    </row>
    <row r="8" spans="1:10" x14ac:dyDescent="0.2">
      <c r="A8" s="7">
        <v>7</v>
      </c>
      <c r="B8" s="7" t="s">
        <v>859</v>
      </c>
      <c r="C8" s="7">
        <v>3</v>
      </c>
      <c r="D8" s="7">
        <v>7</v>
      </c>
      <c r="E8" s="7" t="s">
        <v>860</v>
      </c>
      <c r="F8" s="12">
        <v>30</v>
      </c>
      <c r="G8" s="7">
        <v>15</v>
      </c>
      <c r="H8" s="7">
        <v>0</v>
      </c>
      <c r="I8" s="7">
        <v>10</v>
      </c>
      <c r="J8" s="7">
        <v>0</v>
      </c>
    </row>
    <row r="9" spans="1:10" x14ac:dyDescent="0.2">
      <c r="A9" s="7">
        <v>8</v>
      </c>
      <c r="B9" s="7" t="s">
        <v>861</v>
      </c>
      <c r="C9" s="7">
        <v>3</v>
      </c>
      <c r="D9" s="7">
        <v>2</v>
      </c>
      <c r="E9" s="7" t="s">
        <v>862</v>
      </c>
      <c r="F9" s="12">
        <v>40</v>
      </c>
      <c r="G9" s="7">
        <v>6</v>
      </c>
      <c r="H9" s="7">
        <v>0</v>
      </c>
      <c r="I9" s="7">
        <v>0</v>
      </c>
      <c r="J9" s="7">
        <v>0</v>
      </c>
    </row>
    <row r="10" spans="1:10" x14ac:dyDescent="0.2">
      <c r="A10" s="7">
        <v>9</v>
      </c>
      <c r="B10" s="7" t="s">
        <v>863</v>
      </c>
      <c r="C10" s="7">
        <v>4</v>
      </c>
      <c r="D10" s="7">
        <v>6</v>
      </c>
      <c r="E10" s="7" t="s">
        <v>864</v>
      </c>
      <c r="F10" s="12">
        <v>97</v>
      </c>
      <c r="G10" s="7">
        <v>29</v>
      </c>
      <c r="H10" s="7">
        <v>0</v>
      </c>
      <c r="I10" s="7">
        <v>0</v>
      </c>
      <c r="J10" s="7">
        <v>1</v>
      </c>
    </row>
    <row r="11" spans="1:10" x14ac:dyDescent="0.2">
      <c r="A11" s="7">
        <v>10</v>
      </c>
      <c r="B11" s="7" t="s">
        <v>865</v>
      </c>
      <c r="C11" s="7">
        <v>4</v>
      </c>
      <c r="D11" s="7">
        <v>8</v>
      </c>
      <c r="E11" s="7" t="s">
        <v>866</v>
      </c>
      <c r="F11" s="12">
        <v>31</v>
      </c>
      <c r="G11" s="7">
        <v>31</v>
      </c>
      <c r="H11" s="7">
        <v>0</v>
      </c>
      <c r="I11" s="7">
        <v>0</v>
      </c>
      <c r="J11" s="7">
        <v>0</v>
      </c>
    </row>
    <row r="12" spans="1:10" x14ac:dyDescent="0.2">
      <c r="A12" s="7">
        <v>11</v>
      </c>
      <c r="B12" s="7" t="s">
        <v>867</v>
      </c>
      <c r="C12" s="7">
        <v>5</v>
      </c>
      <c r="D12" s="7">
        <v>4</v>
      </c>
      <c r="E12" s="7" t="s">
        <v>868</v>
      </c>
      <c r="F12" s="12">
        <v>21</v>
      </c>
      <c r="G12" s="7">
        <v>22</v>
      </c>
      <c r="H12" s="7">
        <v>30</v>
      </c>
      <c r="I12" s="7">
        <v>30</v>
      </c>
      <c r="J12" s="7">
        <v>0</v>
      </c>
    </row>
    <row r="13" spans="1:10" x14ac:dyDescent="0.2">
      <c r="A13" s="7">
        <v>12</v>
      </c>
      <c r="B13" s="7" t="s">
        <v>869</v>
      </c>
      <c r="C13" s="7">
        <v>5</v>
      </c>
      <c r="D13" s="7">
        <v>4</v>
      </c>
      <c r="E13" s="7" t="s">
        <v>870</v>
      </c>
      <c r="F13" s="12">
        <v>38</v>
      </c>
      <c r="G13" s="7">
        <v>86</v>
      </c>
      <c r="H13" s="7">
        <v>0</v>
      </c>
      <c r="I13" s="7">
        <v>0</v>
      </c>
      <c r="J13" s="7">
        <v>0</v>
      </c>
    </row>
    <row r="14" spans="1:10" x14ac:dyDescent="0.2">
      <c r="A14" s="7">
        <v>13</v>
      </c>
      <c r="B14" s="7" t="s">
        <v>871</v>
      </c>
      <c r="C14" s="7">
        <v>6</v>
      </c>
      <c r="D14" s="7">
        <v>8</v>
      </c>
      <c r="E14" s="7" t="s">
        <v>872</v>
      </c>
      <c r="F14" s="12">
        <v>6</v>
      </c>
      <c r="G14" s="7">
        <v>24</v>
      </c>
      <c r="H14" s="7">
        <v>0</v>
      </c>
      <c r="I14" s="7">
        <v>5</v>
      </c>
      <c r="J14" s="7">
        <v>0</v>
      </c>
    </row>
    <row r="15" spans="1:10" x14ac:dyDescent="0.2">
      <c r="A15" s="7">
        <v>14</v>
      </c>
      <c r="B15" s="7" t="s">
        <v>873</v>
      </c>
      <c r="C15" s="7">
        <v>6</v>
      </c>
      <c r="D15" s="7">
        <v>7</v>
      </c>
      <c r="E15" s="7" t="s">
        <v>874</v>
      </c>
      <c r="F15" s="12">
        <v>23.25</v>
      </c>
      <c r="G15" s="7">
        <v>35</v>
      </c>
      <c r="H15" s="7">
        <v>0</v>
      </c>
      <c r="I15" s="7">
        <v>0</v>
      </c>
      <c r="J15" s="7">
        <v>0</v>
      </c>
    </row>
    <row r="16" spans="1:10" x14ac:dyDescent="0.2">
      <c r="A16" s="7">
        <v>15</v>
      </c>
      <c r="B16" s="7" t="s">
        <v>875</v>
      </c>
      <c r="C16" s="7">
        <v>6</v>
      </c>
      <c r="D16" s="7">
        <v>2</v>
      </c>
      <c r="E16" s="7" t="s">
        <v>876</v>
      </c>
      <c r="F16" s="12">
        <v>15.5</v>
      </c>
      <c r="G16" s="7">
        <v>39</v>
      </c>
      <c r="H16" s="7">
        <v>0</v>
      </c>
      <c r="I16" s="7">
        <v>5</v>
      </c>
      <c r="J16" s="7">
        <v>0</v>
      </c>
    </row>
    <row r="17" spans="1:10" x14ac:dyDescent="0.2">
      <c r="A17" s="7">
        <v>16</v>
      </c>
      <c r="B17" s="7" t="s">
        <v>877</v>
      </c>
      <c r="C17" s="7">
        <v>7</v>
      </c>
      <c r="D17" s="7">
        <v>3</v>
      </c>
      <c r="E17" s="7" t="s">
        <v>878</v>
      </c>
      <c r="F17" s="12">
        <v>17.45</v>
      </c>
      <c r="G17" s="7">
        <v>29</v>
      </c>
      <c r="H17" s="7">
        <v>0</v>
      </c>
      <c r="I17" s="7">
        <v>10</v>
      </c>
      <c r="J17" s="7">
        <v>0</v>
      </c>
    </row>
    <row r="18" spans="1:10" x14ac:dyDescent="0.2">
      <c r="A18" s="7">
        <v>17</v>
      </c>
      <c r="B18" s="7" t="s">
        <v>879</v>
      </c>
      <c r="C18" s="7">
        <v>7</v>
      </c>
      <c r="D18" s="7">
        <v>6</v>
      </c>
      <c r="E18" s="7" t="s">
        <v>880</v>
      </c>
      <c r="F18" s="12">
        <v>39</v>
      </c>
      <c r="G18" s="7">
        <v>0</v>
      </c>
      <c r="H18" s="7">
        <v>0</v>
      </c>
      <c r="I18" s="7">
        <v>0</v>
      </c>
      <c r="J18" s="7">
        <v>1</v>
      </c>
    </row>
    <row r="19" spans="1:10" x14ac:dyDescent="0.2">
      <c r="A19" s="7">
        <v>18</v>
      </c>
      <c r="B19" s="7" t="s">
        <v>881</v>
      </c>
      <c r="C19" s="7">
        <v>7</v>
      </c>
      <c r="D19" s="7">
        <v>8</v>
      </c>
      <c r="E19" s="7" t="s">
        <v>882</v>
      </c>
      <c r="F19" s="12">
        <v>62.5</v>
      </c>
      <c r="G19" s="7">
        <v>42</v>
      </c>
      <c r="H19" s="7">
        <v>0</v>
      </c>
      <c r="I19" s="7">
        <v>0</v>
      </c>
      <c r="J19" s="7">
        <v>0</v>
      </c>
    </row>
    <row r="20" spans="1:10" x14ac:dyDescent="0.2">
      <c r="A20" s="7">
        <v>19</v>
      </c>
      <c r="B20" s="7" t="s">
        <v>883</v>
      </c>
      <c r="C20" s="7">
        <v>8</v>
      </c>
      <c r="D20" s="7">
        <v>3</v>
      </c>
      <c r="E20" s="7" t="s">
        <v>884</v>
      </c>
      <c r="F20" s="12">
        <v>9.1999999999999993</v>
      </c>
      <c r="G20" s="7">
        <v>25</v>
      </c>
      <c r="H20" s="7">
        <v>0</v>
      </c>
      <c r="I20" s="7">
        <v>5</v>
      </c>
      <c r="J20" s="7">
        <v>0</v>
      </c>
    </row>
    <row r="21" spans="1:10" x14ac:dyDescent="0.2">
      <c r="A21" s="7">
        <v>20</v>
      </c>
      <c r="B21" s="7" t="s">
        <v>885</v>
      </c>
      <c r="C21" s="7">
        <v>8</v>
      </c>
      <c r="D21" s="7">
        <v>3</v>
      </c>
      <c r="E21" s="7" t="s">
        <v>886</v>
      </c>
      <c r="F21" s="12">
        <v>81</v>
      </c>
      <c r="G21" s="7">
        <v>40</v>
      </c>
      <c r="H21" s="7">
        <v>0</v>
      </c>
      <c r="I21" s="7">
        <v>0</v>
      </c>
      <c r="J21" s="7">
        <v>0</v>
      </c>
    </row>
    <row r="22" spans="1:10" x14ac:dyDescent="0.2">
      <c r="A22" s="7">
        <v>21</v>
      </c>
      <c r="B22" s="7" t="s">
        <v>887</v>
      </c>
      <c r="C22" s="7">
        <v>8</v>
      </c>
      <c r="D22" s="7">
        <v>3</v>
      </c>
      <c r="E22" s="7" t="s">
        <v>888</v>
      </c>
      <c r="F22" s="12">
        <v>10</v>
      </c>
      <c r="G22" s="7">
        <v>3</v>
      </c>
      <c r="H22" s="7">
        <v>40</v>
      </c>
      <c r="I22" s="7">
        <v>5</v>
      </c>
      <c r="J22" s="7">
        <v>0</v>
      </c>
    </row>
    <row r="23" spans="1:10" x14ac:dyDescent="0.2">
      <c r="A23" s="7">
        <v>22</v>
      </c>
      <c r="B23" s="7" t="s">
        <v>889</v>
      </c>
      <c r="C23" s="7">
        <v>9</v>
      </c>
      <c r="D23" s="7">
        <v>5</v>
      </c>
      <c r="E23" s="7" t="s">
        <v>890</v>
      </c>
      <c r="F23" s="12">
        <v>21</v>
      </c>
      <c r="G23" s="7">
        <v>104</v>
      </c>
      <c r="H23" s="7">
        <v>0</v>
      </c>
      <c r="I23" s="7">
        <v>25</v>
      </c>
      <c r="J23" s="7">
        <v>0</v>
      </c>
    </row>
    <row r="24" spans="1:10" x14ac:dyDescent="0.2">
      <c r="A24" s="7">
        <v>23</v>
      </c>
      <c r="B24" s="7" t="s">
        <v>891</v>
      </c>
      <c r="C24" s="7">
        <v>9</v>
      </c>
      <c r="D24" s="7">
        <v>5</v>
      </c>
      <c r="E24" s="7" t="s">
        <v>892</v>
      </c>
      <c r="F24" s="12">
        <v>9</v>
      </c>
      <c r="G24" s="7">
        <v>61</v>
      </c>
      <c r="H24" s="7">
        <v>0</v>
      </c>
      <c r="I24" s="7">
        <v>25</v>
      </c>
      <c r="J24" s="7">
        <v>0</v>
      </c>
    </row>
    <row r="25" spans="1:10" x14ac:dyDescent="0.2">
      <c r="A25" s="7">
        <v>24</v>
      </c>
      <c r="B25" s="7" t="s">
        <v>893</v>
      </c>
      <c r="C25" s="7">
        <v>10</v>
      </c>
      <c r="D25" s="7">
        <v>1</v>
      </c>
      <c r="E25" s="7" t="s">
        <v>894</v>
      </c>
      <c r="F25" s="12">
        <v>4.5</v>
      </c>
      <c r="G25" s="7">
        <v>20</v>
      </c>
      <c r="H25" s="7">
        <v>0</v>
      </c>
      <c r="I25" s="7">
        <v>0</v>
      </c>
      <c r="J25" s="7">
        <v>1</v>
      </c>
    </row>
    <row r="26" spans="1:10" x14ac:dyDescent="0.2">
      <c r="A26" s="7">
        <v>25</v>
      </c>
      <c r="B26" s="7" t="s">
        <v>895</v>
      </c>
      <c r="C26" s="7">
        <v>11</v>
      </c>
      <c r="D26" s="7">
        <v>3</v>
      </c>
      <c r="E26" s="7" t="s">
        <v>896</v>
      </c>
      <c r="F26" s="12">
        <v>14</v>
      </c>
      <c r="G26" s="7">
        <v>76</v>
      </c>
      <c r="H26" s="7">
        <v>0</v>
      </c>
      <c r="I26" s="7">
        <v>30</v>
      </c>
      <c r="J26" s="7">
        <v>0</v>
      </c>
    </row>
    <row r="27" spans="1:10" x14ac:dyDescent="0.2">
      <c r="A27" s="7">
        <v>26</v>
      </c>
      <c r="B27" s="7" t="s">
        <v>897</v>
      </c>
      <c r="C27" s="7">
        <v>11</v>
      </c>
      <c r="D27" s="7">
        <v>3</v>
      </c>
      <c r="E27" s="7" t="s">
        <v>898</v>
      </c>
      <c r="F27" s="12">
        <v>31.23</v>
      </c>
      <c r="G27" s="7">
        <v>15</v>
      </c>
      <c r="H27" s="7">
        <v>0</v>
      </c>
      <c r="I27" s="7">
        <v>0</v>
      </c>
      <c r="J27" s="7">
        <v>0</v>
      </c>
    </row>
    <row r="28" spans="1:10" x14ac:dyDescent="0.2">
      <c r="A28" s="7">
        <v>27</v>
      </c>
      <c r="B28" s="7" t="s">
        <v>899</v>
      </c>
      <c r="C28" s="7">
        <v>11</v>
      </c>
      <c r="D28" s="7">
        <v>3</v>
      </c>
      <c r="E28" s="7" t="s">
        <v>900</v>
      </c>
      <c r="F28" s="12">
        <v>43.9</v>
      </c>
      <c r="G28" s="7">
        <v>49</v>
      </c>
      <c r="H28" s="7">
        <v>0</v>
      </c>
      <c r="I28" s="7">
        <v>30</v>
      </c>
      <c r="J28" s="7">
        <v>0</v>
      </c>
    </row>
    <row r="29" spans="1:10" x14ac:dyDescent="0.2">
      <c r="A29" s="7">
        <v>28</v>
      </c>
      <c r="B29" s="7" t="s">
        <v>901</v>
      </c>
      <c r="C29" s="7">
        <v>12</v>
      </c>
      <c r="D29" s="7">
        <v>7</v>
      </c>
      <c r="E29" s="7" t="s">
        <v>902</v>
      </c>
      <c r="F29" s="12">
        <v>45.6</v>
      </c>
      <c r="G29" s="7">
        <v>26</v>
      </c>
      <c r="H29" s="7">
        <v>0</v>
      </c>
      <c r="I29" s="7">
        <v>0</v>
      </c>
      <c r="J29" s="7">
        <v>1</v>
      </c>
    </row>
    <row r="30" spans="1:10" x14ac:dyDescent="0.2">
      <c r="A30" s="7">
        <v>29</v>
      </c>
      <c r="B30" s="7" t="s">
        <v>903</v>
      </c>
      <c r="C30" s="7">
        <v>12</v>
      </c>
      <c r="D30" s="7">
        <v>6</v>
      </c>
      <c r="E30" s="7" t="s">
        <v>904</v>
      </c>
      <c r="F30" s="12">
        <v>123.79</v>
      </c>
      <c r="G30" s="7">
        <v>0</v>
      </c>
      <c r="H30" s="7">
        <v>0</v>
      </c>
      <c r="I30" s="7">
        <v>0</v>
      </c>
      <c r="J30" s="7">
        <v>1</v>
      </c>
    </row>
    <row r="31" spans="1:10" x14ac:dyDescent="0.2">
      <c r="A31" s="7">
        <v>30</v>
      </c>
      <c r="B31" s="7" t="s">
        <v>905</v>
      </c>
      <c r="C31" s="7">
        <v>13</v>
      </c>
      <c r="D31" s="7">
        <v>8</v>
      </c>
      <c r="E31" s="7" t="s">
        <v>906</v>
      </c>
      <c r="F31" s="12">
        <v>25.89</v>
      </c>
      <c r="G31" s="7">
        <v>10</v>
      </c>
      <c r="H31" s="7">
        <v>0</v>
      </c>
      <c r="I31" s="7">
        <v>15</v>
      </c>
      <c r="J31" s="7">
        <v>0</v>
      </c>
    </row>
    <row r="32" spans="1:10" x14ac:dyDescent="0.2">
      <c r="A32" s="7">
        <v>31</v>
      </c>
      <c r="B32" s="7" t="s">
        <v>907</v>
      </c>
      <c r="C32" s="7">
        <v>14</v>
      </c>
      <c r="D32" s="7">
        <v>4</v>
      </c>
      <c r="E32" s="7" t="s">
        <v>908</v>
      </c>
      <c r="F32" s="12">
        <v>12.5</v>
      </c>
      <c r="G32" s="7">
        <v>0</v>
      </c>
      <c r="H32" s="7">
        <v>70</v>
      </c>
      <c r="I32" s="7">
        <v>20</v>
      </c>
      <c r="J32" s="7">
        <v>0</v>
      </c>
    </row>
    <row r="33" spans="1:10" x14ac:dyDescent="0.2">
      <c r="A33" s="7">
        <v>32</v>
      </c>
      <c r="B33" s="7" t="s">
        <v>909</v>
      </c>
      <c r="C33" s="7">
        <v>14</v>
      </c>
      <c r="D33" s="7">
        <v>4</v>
      </c>
      <c r="E33" s="7" t="s">
        <v>910</v>
      </c>
      <c r="F33" s="12">
        <v>32</v>
      </c>
      <c r="G33" s="7">
        <v>9</v>
      </c>
      <c r="H33" s="7">
        <v>40</v>
      </c>
      <c r="I33" s="7">
        <v>25</v>
      </c>
      <c r="J33" s="7">
        <v>0</v>
      </c>
    </row>
    <row r="34" spans="1:10" x14ac:dyDescent="0.2">
      <c r="A34" s="7">
        <v>33</v>
      </c>
      <c r="B34" s="7" t="s">
        <v>911</v>
      </c>
      <c r="C34" s="7">
        <v>15</v>
      </c>
      <c r="D34" s="7">
        <v>4</v>
      </c>
      <c r="E34" s="7" t="s">
        <v>912</v>
      </c>
      <c r="F34" s="12">
        <v>2.5</v>
      </c>
      <c r="G34" s="7">
        <v>112</v>
      </c>
      <c r="H34" s="7">
        <v>0</v>
      </c>
      <c r="I34" s="7">
        <v>20</v>
      </c>
      <c r="J34" s="7">
        <v>0</v>
      </c>
    </row>
    <row r="35" spans="1:10" x14ac:dyDescent="0.2">
      <c r="A35" s="7">
        <v>34</v>
      </c>
      <c r="B35" s="7" t="s">
        <v>913</v>
      </c>
      <c r="C35" s="7">
        <v>16</v>
      </c>
      <c r="D35" s="7">
        <v>1</v>
      </c>
      <c r="E35" s="7" t="s">
        <v>850</v>
      </c>
      <c r="F35" s="12">
        <v>14</v>
      </c>
      <c r="G35" s="7">
        <v>111</v>
      </c>
      <c r="H35" s="7">
        <v>0</v>
      </c>
      <c r="I35" s="7">
        <v>15</v>
      </c>
      <c r="J35" s="7">
        <v>0</v>
      </c>
    </row>
    <row r="36" spans="1:10" x14ac:dyDescent="0.2">
      <c r="A36" s="7">
        <v>35</v>
      </c>
      <c r="B36" s="7" t="s">
        <v>914</v>
      </c>
      <c r="C36" s="7">
        <v>16</v>
      </c>
      <c r="D36" s="7">
        <v>1</v>
      </c>
      <c r="E36" s="7" t="s">
        <v>850</v>
      </c>
      <c r="F36" s="12">
        <v>18</v>
      </c>
      <c r="G36" s="7">
        <v>20</v>
      </c>
      <c r="H36" s="7">
        <v>0</v>
      </c>
      <c r="I36" s="7">
        <v>15</v>
      </c>
      <c r="J36" s="7">
        <v>0</v>
      </c>
    </row>
    <row r="37" spans="1:10" x14ac:dyDescent="0.2">
      <c r="A37" s="7">
        <v>36</v>
      </c>
      <c r="B37" s="7" t="s">
        <v>915</v>
      </c>
      <c r="C37" s="7">
        <v>17</v>
      </c>
      <c r="D37" s="7">
        <v>8</v>
      </c>
      <c r="E37" s="7" t="s">
        <v>916</v>
      </c>
      <c r="F37" s="12">
        <v>19</v>
      </c>
      <c r="G37" s="7">
        <v>112</v>
      </c>
      <c r="H37" s="7">
        <v>0</v>
      </c>
      <c r="I37" s="7">
        <v>20</v>
      </c>
      <c r="J37" s="7">
        <v>0</v>
      </c>
    </row>
    <row r="38" spans="1:10" x14ac:dyDescent="0.2">
      <c r="A38" s="7">
        <v>37</v>
      </c>
      <c r="B38" s="7" t="s">
        <v>917</v>
      </c>
      <c r="C38" s="7">
        <v>17</v>
      </c>
      <c r="D38" s="7">
        <v>8</v>
      </c>
      <c r="E38" s="7" t="s">
        <v>918</v>
      </c>
      <c r="F38" s="12">
        <v>26</v>
      </c>
      <c r="G38" s="7">
        <v>11</v>
      </c>
      <c r="H38" s="7">
        <v>50</v>
      </c>
      <c r="I38" s="7">
        <v>25</v>
      </c>
      <c r="J38" s="7">
        <v>0</v>
      </c>
    </row>
    <row r="39" spans="1:10" x14ac:dyDescent="0.2">
      <c r="A39" s="7">
        <v>38</v>
      </c>
      <c r="B39" s="7" t="s">
        <v>919</v>
      </c>
      <c r="C39" s="7">
        <v>18</v>
      </c>
      <c r="D39" s="7">
        <v>1</v>
      </c>
      <c r="E39" s="7" t="s">
        <v>920</v>
      </c>
      <c r="F39" s="12">
        <v>263.5</v>
      </c>
      <c r="G39" s="7">
        <v>17</v>
      </c>
      <c r="H39" s="7">
        <v>0</v>
      </c>
      <c r="I39" s="7">
        <v>15</v>
      </c>
      <c r="J39" s="7">
        <v>0</v>
      </c>
    </row>
    <row r="40" spans="1:10" x14ac:dyDescent="0.2">
      <c r="A40" s="7">
        <v>39</v>
      </c>
      <c r="B40" s="7" t="s">
        <v>921</v>
      </c>
      <c r="C40" s="7">
        <v>18</v>
      </c>
      <c r="D40" s="7">
        <v>1</v>
      </c>
      <c r="E40" s="7" t="s">
        <v>922</v>
      </c>
      <c r="F40" s="12">
        <v>18</v>
      </c>
      <c r="G40" s="7">
        <v>69</v>
      </c>
      <c r="H40" s="7">
        <v>0</v>
      </c>
      <c r="I40" s="7">
        <v>5</v>
      </c>
      <c r="J40" s="7">
        <v>0</v>
      </c>
    </row>
    <row r="41" spans="1:10" x14ac:dyDescent="0.2">
      <c r="A41" s="7">
        <v>40</v>
      </c>
      <c r="B41" s="7" t="s">
        <v>923</v>
      </c>
      <c r="C41" s="7">
        <v>19</v>
      </c>
      <c r="D41" s="7">
        <v>8</v>
      </c>
      <c r="E41" s="7" t="s">
        <v>924</v>
      </c>
      <c r="F41" s="12">
        <v>18.399999999999999</v>
      </c>
      <c r="G41" s="7">
        <v>123</v>
      </c>
      <c r="H41" s="7">
        <v>0</v>
      </c>
      <c r="I41" s="7">
        <v>30</v>
      </c>
      <c r="J41" s="7">
        <v>0</v>
      </c>
    </row>
    <row r="42" spans="1:10" x14ac:dyDescent="0.2">
      <c r="A42" s="7">
        <v>41</v>
      </c>
      <c r="B42" s="7" t="s">
        <v>925</v>
      </c>
      <c r="C42" s="7">
        <v>19</v>
      </c>
      <c r="D42" s="7">
        <v>8</v>
      </c>
      <c r="E42" s="7" t="s">
        <v>926</v>
      </c>
      <c r="F42" s="12">
        <v>9.65</v>
      </c>
      <c r="G42" s="7">
        <v>85</v>
      </c>
      <c r="H42" s="7">
        <v>0</v>
      </c>
      <c r="I42" s="7">
        <v>10</v>
      </c>
      <c r="J42" s="7">
        <v>0</v>
      </c>
    </row>
    <row r="43" spans="1:10" x14ac:dyDescent="0.2">
      <c r="A43" s="7">
        <v>42</v>
      </c>
      <c r="B43" s="7" t="s">
        <v>927</v>
      </c>
      <c r="C43" s="7">
        <v>20</v>
      </c>
      <c r="D43" s="7">
        <v>5</v>
      </c>
      <c r="E43" s="7" t="s">
        <v>928</v>
      </c>
      <c r="F43" s="12">
        <v>14</v>
      </c>
      <c r="G43" s="7">
        <v>26</v>
      </c>
      <c r="H43" s="7">
        <v>0</v>
      </c>
      <c r="I43" s="7">
        <v>0</v>
      </c>
      <c r="J43" s="7">
        <v>1</v>
      </c>
    </row>
    <row r="44" spans="1:10" x14ac:dyDescent="0.2">
      <c r="A44" s="7">
        <v>43</v>
      </c>
      <c r="B44" s="7" t="s">
        <v>929</v>
      </c>
      <c r="C44" s="7">
        <v>20</v>
      </c>
      <c r="D44" s="7">
        <v>1</v>
      </c>
      <c r="E44" s="7" t="s">
        <v>930</v>
      </c>
      <c r="F44" s="12">
        <v>46</v>
      </c>
      <c r="G44" s="7">
        <v>17</v>
      </c>
      <c r="H44" s="7">
        <v>10</v>
      </c>
      <c r="I44" s="7">
        <v>25</v>
      </c>
      <c r="J44" s="7">
        <v>0</v>
      </c>
    </row>
    <row r="45" spans="1:10" x14ac:dyDescent="0.2">
      <c r="A45" s="7">
        <v>44</v>
      </c>
      <c r="B45" s="7" t="s">
        <v>931</v>
      </c>
      <c r="C45" s="7">
        <v>20</v>
      </c>
      <c r="D45" s="7">
        <v>2</v>
      </c>
      <c r="E45" s="7" t="s">
        <v>932</v>
      </c>
      <c r="F45" s="12">
        <v>19.45</v>
      </c>
      <c r="G45" s="7">
        <v>27</v>
      </c>
      <c r="H45" s="7">
        <v>0</v>
      </c>
      <c r="I45" s="7">
        <v>15</v>
      </c>
      <c r="J45" s="7">
        <v>0</v>
      </c>
    </row>
    <row r="46" spans="1:10" x14ac:dyDescent="0.2">
      <c r="A46" s="7">
        <v>45</v>
      </c>
      <c r="B46" s="7" t="s">
        <v>933</v>
      </c>
      <c r="C46" s="7">
        <v>21</v>
      </c>
      <c r="D46" s="7">
        <v>8</v>
      </c>
      <c r="E46" s="7" t="s">
        <v>934</v>
      </c>
      <c r="F46" s="12">
        <v>9.5</v>
      </c>
      <c r="G46" s="7">
        <v>5</v>
      </c>
      <c r="H46" s="7">
        <v>70</v>
      </c>
      <c r="I46" s="7">
        <v>15</v>
      </c>
      <c r="J46" s="7">
        <v>0</v>
      </c>
    </row>
    <row r="47" spans="1:10" x14ac:dyDescent="0.2">
      <c r="A47" s="7">
        <v>46</v>
      </c>
      <c r="B47" s="7" t="s">
        <v>935</v>
      </c>
      <c r="C47" s="7">
        <v>21</v>
      </c>
      <c r="D47" s="7">
        <v>8</v>
      </c>
      <c r="E47" s="7" t="s">
        <v>936</v>
      </c>
      <c r="F47" s="12">
        <v>12</v>
      </c>
      <c r="G47" s="7">
        <v>95</v>
      </c>
      <c r="H47" s="7">
        <v>0</v>
      </c>
      <c r="I47" s="7">
        <v>0</v>
      </c>
      <c r="J47" s="7">
        <v>0</v>
      </c>
    </row>
    <row r="48" spans="1:10" x14ac:dyDescent="0.2">
      <c r="A48" s="7">
        <v>47</v>
      </c>
      <c r="B48" s="7" t="s">
        <v>937</v>
      </c>
      <c r="C48" s="7">
        <v>22</v>
      </c>
      <c r="D48" s="7">
        <v>3</v>
      </c>
      <c r="E48" s="7" t="s">
        <v>938</v>
      </c>
      <c r="F48" s="12">
        <v>9.5</v>
      </c>
      <c r="G48" s="7">
        <v>36</v>
      </c>
      <c r="H48" s="7">
        <v>0</v>
      </c>
      <c r="I48" s="7">
        <v>0</v>
      </c>
      <c r="J48" s="7">
        <v>0</v>
      </c>
    </row>
    <row r="49" spans="1:10" x14ac:dyDescent="0.2">
      <c r="A49" s="7">
        <v>48</v>
      </c>
      <c r="B49" s="7" t="s">
        <v>939</v>
      </c>
      <c r="C49" s="7">
        <v>22</v>
      </c>
      <c r="D49" s="7">
        <v>3</v>
      </c>
      <c r="E49" s="7" t="s">
        <v>940</v>
      </c>
      <c r="F49" s="12">
        <v>12.75</v>
      </c>
      <c r="G49" s="7">
        <v>15</v>
      </c>
      <c r="H49" s="7">
        <v>70</v>
      </c>
      <c r="I49" s="7">
        <v>25</v>
      </c>
      <c r="J49" s="7">
        <v>0</v>
      </c>
    </row>
    <row r="50" spans="1:10" x14ac:dyDescent="0.2">
      <c r="A50" s="7">
        <v>49</v>
      </c>
      <c r="B50" s="7" t="s">
        <v>941</v>
      </c>
      <c r="C50" s="7">
        <v>23</v>
      </c>
      <c r="D50" s="7">
        <v>3</v>
      </c>
      <c r="E50" s="7" t="s">
        <v>942</v>
      </c>
      <c r="F50" s="12">
        <v>20</v>
      </c>
      <c r="G50" s="7">
        <v>10</v>
      </c>
      <c r="H50" s="7">
        <v>60</v>
      </c>
      <c r="I50" s="7">
        <v>15</v>
      </c>
      <c r="J50" s="7">
        <v>0</v>
      </c>
    </row>
    <row r="51" spans="1:10" x14ac:dyDescent="0.2">
      <c r="A51" s="7">
        <v>50</v>
      </c>
      <c r="B51" s="7" t="s">
        <v>943</v>
      </c>
      <c r="C51" s="7">
        <v>23</v>
      </c>
      <c r="D51" s="7">
        <v>3</v>
      </c>
      <c r="E51" s="7" t="s">
        <v>944</v>
      </c>
      <c r="F51" s="12">
        <v>16.25</v>
      </c>
      <c r="G51" s="7">
        <v>65</v>
      </c>
      <c r="H51" s="7">
        <v>0</v>
      </c>
      <c r="I51" s="7">
        <v>30</v>
      </c>
      <c r="J51" s="7">
        <v>0</v>
      </c>
    </row>
    <row r="52" spans="1:10" x14ac:dyDescent="0.2">
      <c r="A52" s="7">
        <v>51</v>
      </c>
      <c r="B52" s="7" t="s">
        <v>945</v>
      </c>
      <c r="C52" s="7">
        <v>24</v>
      </c>
      <c r="D52" s="7">
        <v>7</v>
      </c>
      <c r="E52" s="7" t="s">
        <v>946</v>
      </c>
      <c r="F52" s="12">
        <v>53</v>
      </c>
      <c r="G52" s="7">
        <v>20</v>
      </c>
      <c r="H52" s="7">
        <v>0</v>
      </c>
      <c r="I52" s="7">
        <v>10</v>
      </c>
      <c r="J52" s="7">
        <v>0</v>
      </c>
    </row>
    <row r="53" spans="1:10" x14ac:dyDescent="0.2">
      <c r="A53" s="7">
        <v>52</v>
      </c>
      <c r="B53" s="7" t="s">
        <v>947</v>
      </c>
      <c r="C53" s="7">
        <v>24</v>
      </c>
      <c r="D53" s="7">
        <v>5</v>
      </c>
      <c r="E53" s="7" t="s">
        <v>948</v>
      </c>
      <c r="F53" s="12">
        <v>7</v>
      </c>
      <c r="G53" s="7">
        <v>38</v>
      </c>
      <c r="H53" s="7">
        <v>0</v>
      </c>
      <c r="I53" s="7">
        <v>25</v>
      </c>
      <c r="J53" s="7">
        <v>0</v>
      </c>
    </row>
    <row r="54" spans="1:10" x14ac:dyDescent="0.2">
      <c r="A54" s="7">
        <v>53</v>
      </c>
      <c r="B54" s="7" t="s">
        <v>949</v>
      </c>
      <c r="C54" s="7">
        <v>24</v>
      </c>
      <c r="D54" s="7">
        <v>6</v>
      </c>
      <c r="E54" s="7" t="s">
        <v>950</v>
      </c>
      <c r="F54" s="12">
        <v>32.799999999999997</v>
      </c>
      <c r="G54" s="7">
        <v>0</v>
      </c>
      <c r="H54" s="7">
        <v>0</v>
      </c>
      <c r="I54" s="7">
        <v>0</v>
      </c>
      <c r="J54" s="7">
        <v>1</v>
      </c>
    </row>
    <row r="55" spans="1:10" x14ac:dyDescent="0.2">
      <c r="A55" s="7">
        <v>54</v>
      </c>
      <c r="B55" s="7" t="s">
        <v>951</v>
      </c>
      <c r="C55" s="7">
        <v>25</v>
      </c>
      <c r="D55" s="7">
        <v>6</v>
      </c>
      <c r="E55" s="7" t="s">
        <v>952</v>
      </c>
      <c r="F55" s="12">
        <v>7.45</v>
      </c>
      <c r="G55" s="7">
        <v>21</v>
      </c>
      <c r="H55" s="7">
        <v>0</v>
      </c>
      <c r="I55" s="7">
        <v>10</v>
      </c>
      <c r="J55" s="7">
        <v>0</v>
      </c>
    </row>
    <row r="56" spans="1:10" x14ac:dyDescent="0.2">
      <c r="A56" s="7">
        <v>55</v>
      </c>
      <c r="B56" s="7" t="s">
        <v>953</v>
      </c>
      <c r="C56" s="7">
        <v>25</v>
      </c>
      <c r="D56" s="7">
        <v>6</v>
      </c>
      <c r="E56" s="7" t="s">
        <v>954</v>
      </c>
      <c r="F56" s="12">
        <v>24</v>
      </c>
      <c r="G56" s="7">
        <v>115</v>
      </c>
      <c r="H56" s="7">
        <v>0</v>
      </c>
      <c r="I56" s="7">
        <v>20</v>
      </c>
      <c r="J56" s="7">
        <v>0</v>
      </c>
    </row>
    <row r="57" spans="1:10" x14ac:dyDescent="0.2">
      <c r="A57" s="7">
        <v>56</v>
      </c>
      <c r="B57" s="7" t="s">
        <v>955</v>
      </c>
      <c r="C57" s="7">
        <v>26</v>
      </c>
      <c r="D57" s="7">
        <v>5</v>
      </c>
      <c r="E57" s="7" t="s">
        <v>956</v>
      </c>
      <c r="F57" s="12">
        <v>38</v>
      </c>
      <c r="G57" s="7">
        <v>21</v>
      </c>
      <c r="H57" s="7">
        <v>10</v>
      </c>
      <c r="I57" s="7">
        <v>30</v>
      </c>
      <c r="J57" s="7">
        <v>0</v>
      </c>
    </row>
    <row r="58" spans="1:10" x14ac:dyDescent="0.2">
      <c r="A58" s="7">
        <v>57</v>
      </c>
      <c r="B58" s="7" t="s">
        <v>957</v>
      </c>
      <c r="C58" s="7">
        <v>26</v>
      </c>
      <c r="D58" s="7">
        <v>5</v>
      </c>
      <c r="E58" s="7" t="s">
        <v>956</v>
      </c>
      <c r="F58" s="12">
        <v>19.5</v>
      </c>
      <c r="G58" s="7">
        <v>36</v>
      </c>
      <c r="H58" s="7">
        <v>0</v>
      </c>
      <c r="I58" s="7">
        <v>20</v>
      </c>
      <c r="J58" s="7">
        <v>0</v>
      </c>
    </row>
    <row r="59" spans="1:10" x14ac:dyDescent="0.2">
      <c r="A59" s="7">
        <v>58</v>
      </c>
      <c r="B59" s="7" t="s">
        <v>958</v>
      </c>
      <c r="C59" s="7">
        <v>27</v>
      </c>
      <c r="D59" s="7">
        <v>8</v>
      </c>
      <c r="E59" s="7" t="s">
        <v>959</v>
      </c>
      <c r="F59" s="12">
        <v>13.25</v>
      </c>
      <c r="G59" s="7">
        <v>62</v>
      </c>
      <c r="H59" s="7">
        <v>0</v>
      </c>
      <c r="I59" s="7">
        <v>20</v>
      </c>
      <c r="J59" s="7">
        <v>0</v>
      </c>
    </row>
    <row r="60" spans="1:10" x14ac:dyDescent="0.2">
      <c r="A60" s="7">
        <v>59</v>
      </c>
      <c r="B60" s="7" t="s">
        <v>960</v>
      </c>
      <c r="C60" s="7">
        <v>28</v>
      </c>
      <c r="D60" s="7">
        <v>4</v>
      </c>
      <c r="E60" s="7" t="s">
        <v>961</v>
      </c>
      <c r="F60" s="12">
        <v>55</v>
      </c>
      <c r="G60" s="7">
        <v>79</v>
      </c>
      <c r="H60" s="7">
        <v>0</v>
      </c>
      <c r="I60" s="7">
        <v>0</v>
      </c>
      <c r="J60" s="7">
        <v>0</v>
      </c>
    </row>
    <row r="61" spans="1:10" x14ac:dyDescent="0.2">
      <c r="A61" s="7">
        <v>60</v>
      </c>
      <c r="B61" s="7" t="s">
        <v>962</v>
      </c>
      <c r="C61" s="7">
        <v>28</v>
      </c>
      <c r="D61" s="7">
        <v>4</v>
      </c>
      <c r="E61" s="7" t="s">
        <v>963</v>
      </c>
      <c r="F61" s="12">
        <v>34</v>
      </c>
      <c r="G61" s="7">
        <v>19</v>
      </c>
      <c r="H61" s="7">
        <v>0</v>
      </c>
      <c r="I61" s="7">
        <v>0</v>
      </c>
      <c r="J61" s="7">
        <v>0</v>
      </c>
    </row>
    <row r="62" spans="1:10" x14ac:dyDescent="0.2">
      <c r="A62" s="7">
        <v>61</v>
      </c>
      <c r="B62" s="7" t="s">
        <v>964</v>
      </c>
      <c r="C62" s="7">
        <v>29</v>
      </c>
      <c r="D62" s="7">
        <v>2</v>
      </c>
      <c r="E62" s="7" t="s">
        <v>965</v>
      </c>
      <c r="F62" s="12">
        <v>28.5</v>
      </c>
      <c r="G62" s="7">
        <v>113</v>
      </c>
      <c r="H62" s="7">
        <v>0</v>
      </c>
      <c r="I62" s="7">
        <v>25</v>
      </c>
      <c r="J62" s="7">
        <v>0</v>
      </c>
    </row>
    <row r="63" spans="1:10" x14ac:dyDescent="0.2">
      <c r="A63" s="7">
        <v>62</v>
      </c>
      <c r="B63" s="7" t="s">
        <v>966</v>
      </c>
      <c r="C63" s="7">
        <v>29</v>
      </c>
      <c r="D63" s="7">
        <v>3</v>
      </c>
      <c r="E63" s="7" t="s">
        <v>967</v>
      </c>
      <c r="F63" s="12">
        <v>49.3</v>
      </c>
      <c r="G63" s="7">
        <v>17</v>
      </c>
      <c r="H63" s="7">
        <v>0</v>
      </c>
      <c r="I63" s="7">
        <v>0</v>
      </c>
      <c r="J63" s="7">
        <v>0</v>
      </c>
    </row>
    <row r="64" spans="1:10" x14ac:dyDescent="0.2">
      <c r="A64" s="7">
        <v>63</v>
      </c>
      <c r="B64" s="7" t="s">
        <v>968</v>
      </c>
      <c r="C64" s="7">
        <v>7</v>
      </c>
      <c r="D64" s="7">
        <v>2</v>
      </c>
      <c r="E64" s="7" t="s">
        <v>969</v>
      </c>
      <c r="F64" s="12">
        <v>43.9</v>
      </c>
      <c r="G64" s="7">
        <v>24</v>
      </c>
      <c r="H64" s="7">
        <v>0</v>
      </c>
      <c r="I64" s="7">
        <v>5</v>
      </c>
      <c r="J64" s="7">
        <v>0</v>
      </c>
    </row>
    <row r="65" spans="1:10" x14ac:dyDescent="0.2">
      <c r="A65" s="7">
        <v>64</v>
      </c>
      <c r="B65" s="7" t="s">
        <v>970</v>
      </c>
      <c r="C65" s="7">
        <v>12</v>
      </c>
      <c r="D65" s="7">
        <v>5</v>
      </c>
      <c r="E65" s="7" t="s">
        <v>971</v>
      </c>
      <c r="F65" s="12">
        <v>33.25</v>
      </c>
      <c r="G65" s="7">
        <v>22</v>
      </c>
      <c r="H65" s="7">
        <v>80</v>
      </c>
      <c r="I65" s="7">
        <v>30</v>
      </c>
      <c r="J65" s="7">
        <v>0</v>
      </c>
    </row>
    <row r="66" spans="1:10" x14ac:dyDescent="0.2">
      <c r="A66" s="7">
        <v>65</v>
      </c>
      <c r="B66" s="7" t="s">
        <v>972</v>
      </c>
      <c r="C66" s="7">
        <v>2</v>
      </c>
      <c r="D66" s="7">
        <v>2</v>
      </c>
      <c r="E66" s="7" t="s">
        <v>973</v>
      </c>
      <c r="F66" s="12">
        <v>21.05</v>
      </c>
      <c r="G66" s="7">
        <v>76</v>
      </c>
      <c r="H66" s="7">
        <v>0</v>
      </c>
      <c r="I66" s="7">
        <v>0</v>
      </c>
      <c r="J66" s="7">
        <v>0</v>
      </c>
    </row>
    <row r="67" spans="1:10" x14ac:dyDescent="0.2">
      <c r="A67" s="7">
        <v>66</v>
      </c>
      <c r="B67" s="7" t="s">
        <v>974</v>
      </c>
      <c r="C67" s="7">
        <v>2</v>
      </c>
      <c r="D67" s="7">
        <v>2</v>
      </c>
      <c r="E67" s="7" t="s">
        <v>975</v>
      </c>
      <c r="F67" s="12">
        <v>17</v>
      </c>
      <c r="G67" s="7">
        <v>4</v>
      </c>
      <c r="H67" s="7">
        <v>100</v>
      </c>
      <c r="I67" s="7">
        <v>20</v>
      </c>
      <c r="J67" s="7">
        <v>0</v>
      </c>
    </row>
    <row r="68" spans="1:10" x14ac:dyDescent="0.2">
      <c r="A68" s="7">
        <v>67</v>
      </c>
      <c r="B68" s="7" t="s">
        <v>976</v>
      </c>
      <c r="C68" s="7">
        <v>16</v>
      </c>
      <c r="D68" s="7">
        <v>1</v>
      </c>
      <c r="E68" s="7" t="s">
        <v>850</v>
      </c>
      <c r="F68" s="12">
        <v>14</v>
      </c>
      <c r="G68" s="7">
        <v>52</v>
      </c>
      <c r="H68" s="7">
        <v>0</v>
      </c>
      <c r="I68" s="7">
        <v>10</v>
      </c>
      <c r="J68" s="7">
        <v>0</v>
      </c>
    </row>
    <row r="69" spans="1:10" x14ac:dyDescent="0.2">
      <c r="A69" s="7">
        <v>68</v>
      </c>
      <c r="B69" s="7" t="s">
        <v>977</v>
      </c>
      <c r="C69" s="7">
        <v>8</v>
      </c>
      <c r="D69" s="7">
        <v>3</v>
      </c>
      <c r="E69" s="7" t="s">
        <v>978</v>
      </c>
      <c r="F69" s="12">
        <v>12.5</v>
      </c>
      <c r="G69" s="7">
        <v>6</v>
      </c>
      <c r="H69" s="7">
        <v>10</v>
      </c>
      <c r="I69" s="7">
        <v>15</v>
      </c>
      <c r="J69" s="7">
        <v>0</v>
      </c>
    </row>
    <row r="70" spans="1:10" x14ac:dyDescent="0.2">
      <c r="A70" s="7">
        <v>69</v>
      </c>
      <c r="B70" s="7" t="s">
        <v>979</v>
      </c>
      <c r="C70" s="7">
        <v>15</v>
      </c>
      <c r="D70" s="7">
        <v>4</v>
      </c>
      <c r="E70" s="7" t="s">
        <v>980</v>
      </c>
      <c r="F70" s="12">
        <v>36</v>
      </c>
      <c r="G70" s="7">
        <v>26</v>
      </c>
      <c r="H70" s="7">
        <v>0</v>
      </c>
      <c r="I70" s="7">
        <v>15</v>
      </c>
      <c r="J70" s="7">
        <v>0</v>
      </c>
    </row>
    <row r="71" spans="1:10" x14ac:dyDescent="0.2">
      <c r="A71" s="7">
        <v>70</v>
      </c>
      <c r="B71" s="7" t="s">
        <v>981</v>
      </c>
      <c r="C71" s="7">
        <v>7</v>
      </c>
      <c r="D71" s="7">
        <v>1</v>
      </c>
      <c r="E71" s="7" t="s">
        <v>982</v>
      </c>
      <c r="F71" s="12">
        <v>15</v>
      </c>
      <c r="G71" s="7">
        <v>15</v>
      </c>
      <c r="H71" s="7">
        <v>10</v>
      </c>
      <c r="I71" s="7">
        <v>30</v>
      </c>
      <c r="J71" s="7">
        <v>0</v>
      </c>
    </row>
    <row r="72" spans="1:10" x14ac:dyDescent="0.2">
      <c r="A72" s="7">
        <v>71</v>
      </c>
      <c r="B72" s="7" t="s">
        <v>983</v>
      </c>
      <c r="C72" s="7">
        <v>15</v>
      </c>
      <c r="D72" s="7">
        <v>4</v>
      </c>
      <c r="E72" s="7" t="s">
        <v>870</v>
      </c>
      <c r="F72" s="12">
        <v>21.5</v>
      </c>
      <c r="G72" s="7">
        <v>26</v>
      </c>
      <c r="H72" s="7">
        <v>0</v>
      </c>
      <c r="I72" s="7">
        <v>0</v>
      </c>
      <c r="J72" s="7">
        <v>0</v>
      </c>
    </row>
    <row r="73" spans="1:10" x14ac:dyDescent="0.2">
      <c r="A73" s="7">
        <v>72</v>
      </c>
      <c r="B73" s="7" t="s">
        <v>984</v>
      </c>
      <c r="C73" s="7">
        <v>14</v>
      </c>
      <c r="D73" s="7">
        <v>4</v>
      </c>
      <c r="E73" s="7" t="s">
        <v>910</v>
      </c>
      <c r="F73" s="12">
        <v>34.799999999999997</v>
      </c>
      <c r="G73" s="7">
        <v>14</v>
      </c>
      <c r="H73" s="7">
        <v>0</v>
      </c>
      <c r="I73" s="7">
        <v>0</v>
      </c>
      <c r="J73" s="7">
        <v>0</v>
      </c>
    </row>
    <row r="74" spans="1:10" x14ac:dyDescent="0.2">
      <c r="A74" s="7">
        <v>73</v>
      </c>
      <c r="B74" s="7" t="s">
        <v>985</v>
      </c>
      <c r="C74" s="7">
        <v>17</v>
      </c>
      <c r="D74" s="7">
        <v>8</v>
      </c>
      <c r="E74" s="7" t="s">
        <v>986</v>
      </c>
      <c r="F74" s="12">
        <v>15</v>
      </c>
      <c r="G74" s="7">
        <v>101</v>
      </c>
      <c r="H74" s="7">
        <v>0</v>
      </c>
      <c r="I74" s="7">
        <v>5</v>
      </c>
      <c r="J74" s="7">
        <v>0</v>
      </c>
    </row>
    <row r="75" spans="1:10" x14ac:dyDescent="0.2">
      <c r="A75" s="7">
        <v>74</v>
      </c>
      <c r="B75" s="7" t="s">
        <v>987</v>
      </c>
      <c r="C75" s="7">
        <v>4</v>
      </c>
      <c r="D75" s="7">
        <v>7</v>
      </c>
      <c r="E75" s="7" t="s">
        <v>961</v>
      </c>
      <c r="F75" s="12">
        <v>10</v>
      </c>
      <c r="G75" s="7">
        <v>4</v>
      </c>
      <c r="H75" s="7">
        <v>20</v>
      </c>
      <c r="I75" s="7">
        <v>5</v>
      </c>
      <c r="J75" s="7">
        <v>0</v>
      </c>
    </row>
    <row r="76" spans="1:10" x14ac:dyDescent="0.2">
      <c r="A76" s="7">
        <v>75</v>
      </c>
      <c r="B76" s="7" t="s">
        <v>988</v>
      </c>
      <c r="C76" s="7">
        <v>12</v>
      </c>
      <c r="D76" s="7">
        <v>1</v>
      </c>
      <c r="E76" s="7" t="s">
        <v>989</v>
      </c>
      <c r="F76" s="12">
        <v>7.75</v>
      </c>
      <c r="G76" s="7">
        <v>125</v>
      </c>
      <c r="H76" s="7">
        <v>0</v>
      </c>
      <c r="I76" s="7">
        <v>25</v>
      </c>
      <c r="J76" s="7">
        <v>0</v>
      </c>
    </row>
    <row r="77" spans="1:10" x14ac:dyDescent="0.2">
      <c r="A77" s="7">
        <v>76</v>
      </c>
      <c r="B77" s="7" t="s">
        <v>990</v>
      </c>
      <c r="C77" s="7">
        <v>23</v>
      </c>
      <c r="D77" s="7">
        <v>1</v>
      </c>
      <c r="E77" s="7" t="s">
        <v>991</v>
      </c>
      <c r="F77" s="12">
        <v>18</v>
      </c>
      <c r="G77" s="7">
        <v>57</v>
      </c>
      <c r="H77" s="7">
        <v>0</v>
      </c>
      <c r="I77" s="7">
        <v>20</v>
      </c>
      <c r="J77" s="7">
        <v>0</v>
      </c>
    </row>
    <row r="78" spans="1:10" x14ac:dyDescent="0.2">
      <c r="A78" s="7">
        <v>77</v>
      </c>
      <c r="B78" s="7" t="s">
        <v>992</v>
      </c>
      <c r="C78" s="7">
        <v>12</v>
      </c>
      <c r="D78" s="7">
        <v>2</v>
      </c>
      <c r="E78" s="7" t="s">
        <v>993</v>
      </c>
      <c r="F78" s="12">
        <v>13</v>
      </c>
      <c r="G78" s="7">
        <v>32</v>
      </c>
      <c r="H78" s="7">
        <v>0</v>
      </c>
      <c r="I78" s="7">
        <v>15</v>
      </c>
      <c r="J78" s="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5F3AD-49B1-6340-B855-754582FE2967}">
  <dimension ref="A1:U30"/>
  <sheetViews>
    <sheetView topLeftCell="H1" workbookViewId="0">
      <selection activeCell="N1" sqref="N1:T1048576"/>
    </sheetView>
  </sheetViews>
  <sheetFormatPr baseColWidth="10" defaultRowHeight="16" x14ac:dyDescent="0.2"/>
  <cols>
    <col min="6" max="6" width="16.83203125" customWidth="1"/>
    <col min="12" max="12" width="18.83203125" customWidth="1"/>
    <col min="14" max="14" width="34.5" customWidth="1"/>
    <col min="21" max="21" width="87.83203125" bestFit="1" customWidth="1"/>
  </cols>
  <sheetData>
    <row r="1" spans="1:21" x14ac:dyDescent="0.2">
      <c r="A1" s="1" t="s">
        <v>840</v>
      </c>
      <c r="B1" s="1" t="s">
        <v>443</v>
      </c>
      <c r="C1" s="1" t="s">
        <v>444</v>
      </c>
      <c r="D1" s="1" t="s">
        <v>445</v>
      </c>
      <c r="E1" s="1" t="s">
        <v>446</v>
      </c>
      <c r="F1" s="1" t="s">
        <v>447</v>
      </c>
      <c r="G1" s="1" t="s">
        <v>448</v>
      </c>
      <c r="H1" s="1" t="s">
        <v>449</v>
      </c>
      <c r="I1" s="1" t="s">
        <v>450</v>
      </c>
      <c r="J1" s="1" t="s">
        <v>451</v>
      </c>
      <c r="K1" s="1" t="s">
        <v>452</v>
      </c>
      <c r="L1" s="1" t="s">
        <v>994</v>
      </c>
      <c r="M1" s="2"/>
      <c r="N1" s="1" t="s">
        <v>446</v>
      </c>
      <c r="O1" s="1" t="s">
        <v>447</v>
      </c>
      <c r="P1" s="1" t="s">
        <v>448</v>
      </c>
      <c r="Q1" s="1" t="s">
        <v>449</v>
      </c>
      <c r="R1" s="1" t="s">
        <v>450</v>
      </c>
      <c r="S1" s="1" t="s">
        <v>451</v>
      </c>
      <c r="T1" s="1" t="s">
        <v>452</v>
      </c>
      <c r="U1" s="1" t="s">
        <v>994</v>
      </c>
    </row>
    <row r="2" spans="1:21" x14ac:dyDescent="0.2">
      <c r="A2" s="1">
        <v>1</v>
      </c>
      <c r="B2" s="3" t="s">
        <v>995</v>
      </c>
      <c r="C2" s="3" t="s">
        <v>996</v>
      </c>
      <c r="D2" s="3" t="s">
        <v>997</v>
      </c>
      <c r="E2" s="3" t="s">
        <v>998</v>
      </c>
      <c r="F2" s="3" t="s">
        <v>167</v>
      </c>
      <c r="G2" s="3" t="s">
        <v>18</v>
      </c>
      <c r="H2" s="3" t="s">
        <v>999</v>
      </c>
      <c r="I2" s="3" t="s">
        <v>169</v>
      </c>
      <c r="J2" s="3" t="s">
        <v>1000</v>
      </c>
      <c r="K2" s="3" t="s">
        <v>18</v>
      </c>
      <c r="L2" s="3" t="s">
        <v>18</v>
      </c>
      <c r="M2" s="2"/>
      <c r="N2" t="str">
        <f>IF($M2&lt;&gt;"",E2&amp;" "&amp;F2,E2)</f>
        <v>49 Gilbert St.</v>
      </c>
      <c r="O2" t="str">
        <f>IF($M2&lt;&gt;"",G2,F2)</f>
        <v>London</v>
      </c>
      <c r="P2" t="str">
        <f t="shared" ref="P2:U17" si="0">IF($M2&lt;&gt;"",H2,G2)</f>
        <v>NULL</v>
      </c>
      <c r="Q2" t="str">
        <f t="shared" si="0"/>
        <v>EC1 4SD</v>
      </c>
      <c r="R2" t="str">
        <f t="shared" si="0"/>
        <v>UK</v>
      </c>
      <c r="S2" t="str">
        <f t="shared" si="0"/>
        <v>(171) 555-2222</v>
      </c>
      <c r="T2" t="str">
        <f t="shared" si="0"/>
        <v>NULL</v>
      </c>
      <c r="U2" t="str">
        <f t="shared" si="0"/>
        <v>NULL</v>
      </c>
    </row>
    <row r="3" spans="1:21" x14ac:dyDescent="0.2">
      <c r="A3" s="1">
        <v>2</v>
      </c>
      <c r="B3" s="3" t="s">
        <v>1001</v>
      </c>
      <c r="C3" s="3" t="s">
        <v>1002</v>
      </c>
      <c r="D3" s="3" t="s">
        <v>469</v>
      </c>
      <c r="E3" s="3" t="s">
        <v>1003</v>
      </c>
      <c r="F3" s="3" t="s">
        <v>1004</v>
      </c>
      <c r="G3" s="3" t="s">
        <v>1005</v>
      </c>
      <c r="H3" s="3">
        <v>70117</v>
      </c>
      <c r="I3" s="3" t="s">
        <v>86</v>
      </c>
      <c r="J3" s="3" t="s">
        <v>1006</v>
      </c>
      <c r="K3" s="3" t="s">
        <v>18</v>
      </c>
      <c r="L3" s="3" t="s">
        <v>1007</v>
      </c>
      <c r="M3" s="2"/>
      <c r="N3" t="str">
        <f t="shared" ref="N3:N30" si="1">IF($M3&lt;&gt;"",E3&amp;" "&amp;F3,E3)</f>
        <v>P.O. Box 78934</v>
      </c>
      <c r="O3" t="str">
        <f t="shared" ref="O3:O30" si="2">IF($M3&lt;&gt;"",G3,F3)</f>
        <v>New Orleans</v>
      </c>
      <c r="P3" t="str">
        <f t="shared" si="0"/>
        <v>LA</v>
      </c>
      <c r="Q3">
        <f t="shared" si="0"/>
        <v>70117</v>
      </c>
      <c r="R3" t="str">
        <f t="shared" si="0"/>
        <v>USA</v>
      </c>
      <c r="S3" t="str">
        <f t="shared" si="0"/>
        <v>(100) 555-4822</v>
      </c>
      <c r="T3" t="str">
        <f t="shared" si="0"/>
        <v>NULL</v>
      </c>
      <c r="U3" t="str">
        <f t="shared" si="0"/>
        <v>#CAJUN.HTM#</v>
      </c>
    </row>
    <row r="4" spans="1:21" x14ac:dyDescent="0.2">
      <c r="A4" s="1">
        <v>3</v>
      </c>
      <c r="B4" s="3" t="s">
        <v>1008</v>
      </c>
      <c r="C4" s="3" t="s">
        <v>1009</v>
      </c>
      <c r="D4" s="3" t="s">
        <v>454</v>
      </c>
      <c r="E4" s="3" t="s">
        <v>1010</v>
      </c>
      <c r="F4" s="3" t="s">
        <v>1011</v>
      </c>
      <c r="G4" s="3" t="s">
        <v>1012</v>
      </c>
      <c r="H4" s="3">
        <v>48104</v>
      </c>
      <c r="I4" s="3" t="s">
        <v>86</v>
      </c>
      <c r="J4" s="3" t="s">
        <v>1013</v>
      </c>
      <c r="K4" s="3" t="s">
        <v>1014</v>
      </c>
      <c r="L4" s="3" t="s">
        <v>18</v>
      </c>
      <c r="M4" s="2"/>
      <c r="N4" t="str">
        <f t="shared" si="1"/>
        <v>707 Oxford Rd.</v>
      </c>
      <c r="O4" t="str">
        <f t="shared" si="2"/>
        <v>Ann Arbor</v>
      </c>
      <c r="P4" t="str">
        <f t="shared" si="0"/>
        <v>MI</v>
      </c>
      <c r="Q4">
        <f t="shared" si="0"/>
        <v>48104</v>
      </c>
      <c r="R4" t="str">
        <f t="shared" si="0"/>
        <v>USA</v>
      </c>
      <c r="S4" t="str">
        <f t="shared" si="0"/>
        <v>(313) 555-5735</v>
      </c>
      <c r="T4" t="str">
        <f t="shared" si="0"/>
        <v>(313) 555-3349</v>
      </c>
      <c r="U4" t="str">
        <f t="shared" si="0"/>
        <v>NULL</v>
      </c>
    </row>
    <row r="5" spans="1:21" x14ac:dyDescent="0.2">
      <c r="A5" s="1">
        <v>4</v>
      </c>
      <c r="B5" s="3" t="s">
        <v>1015</v>
      </c>
      <c r="C5" s="3" t="s">
        <v>1016</v>
      </c>
      <c r="D5" s="3" t="s">
        <v>477</v>
      </c>
      <c r="E5" s="3" t="s">
        <v>1017</v>
      </c>
      <c r="F5" s="3" t="s">
        <v>1018</v>
      </c>
      <c r="G5" s="3" t="s">
        <v>18</v>
      </c>
      <c r="H5" s="3">
        <v>100</v>
      </c>
      <c r="I5" s="3" t="s">
        <v>1019</v>
      </c>
      <c r="J5" s="3" t="s">
        <v>1020</v>
      </c>
      <c r="K5" s="3" t="s">
        <v>18</v>
      </c>
      <c r="L5" s="3" t="s">
        <v>18</v>
      </c>
      <c r="M5" s="2"/>
      <c r="N5" t="str">
        <f t="shared" si="1"/>
        <v>9-8 Sekimai Musashino-shi</v>
      </c>
      <c r="O5" t="str">
        <f t="shared" si="2"/>
        <v>Tokyo</v>
      </c>
      <c r="P5" t="str">
        <f t="shared" si="0"/>
        <v>NULL</v>
      </c>
      <c r="Q5">
        <f t="shared" si="0"/>
        <v>100</v>
      </c>
      <c r="R5" t="str">
        <f t="shared" si="0"/>
        <v>Japan</v>
      </c>
      <c r="S5" t="str">
        <f t="shared" si="0"/>
        <v>(03) 3555-5011</v>
      </c>
      <c r="T5" t="str">
        <f t="shared" si="0"/>
        <v>NULL</v>
      </c>
      <c r="U5" t="str">
        <f t="shared" si="0"/>
        <v>NULL</v>
      </c>
    </row>
    <row r="6" spans="1:21" x14ac:dyDescent="0.2">
      <c r="A6" s="1">
        <v>5</v>
      </c>
      <c r="B6" s="3" t="s">
        <v>1021</v>
      </c>
      <c r="C6" s="3" t="s">
        <v>1022</v>
      </c>
      <c r="D6" s="3" t="s">
        <v>1023</v>
      </c>
      <c r="E6" s="3" t="s">
        <v>1024</v>
      </c>
      <c r="F6" s="3" t="s">
        <v>1025</v>
      </c>
      <c r="G6" s="3" t="s">
        <v>1026</v>
      </c>
      <c r="H6" s="3">
        <v>33007</v>
      </c>
      <c r="I6" s="3" t="s">
        <v>150</v>
      </c>
      <c r="J6" s="3" t="s">
        <v>1027</v>
      </c>
      <c r="K6" s="3" t="s">
        <v>18</v>
      </c>
      <c r="L6" s="3" t="s">
        <v>18</v>
      </c>
      <c r="M6" s="2"/>
      <c r="N6" t="str">
        <f t="shared" si="1"/>
        <v>Calle del Rosal 4</v>
      </c>
      <c r="O6" t="str">
        <f t="shared" si="2"/>
        <v>Oviedo</v>
      </c>
      <c r="P6" t="str">
        <f t="shared" si="0"/>
        <v>Asturias</v>
      </c>
      <c r="Q6">
        <f t="shared" si="0"/>
        <v>33007</v>
      </c>
      <c r="R6" t="str">
        <f t="shared" si="0"/>
        <v>Spain</v>
      </c>
      <c r="S6" t="str">
        <f t="shared" si="0"/>
        <v>(98) 598 76 54</v>
      </c>
      <c r="T6" t="str">
        <f t="shared" si="0"/>
        <v>NULL</v>
      </c>
      <c r="U6" t="str">
        <f t="shared" si="0"/>
        <v>NULL</v>
      </c>
    </row>
    <row r="7" spans="1:21" x14ac:dyDescent="0.2">
      <c r="A7" s="1">
        <v>6</v>
      </c>
      <c r="B7" s="3" t="s">
        <v>1028</v>
      </c>
      <c r="C7" s="3" t="s">
        <v>1029</v>
      </c>
      <c r="D7" s="3" t="s">
        <v>1030</v>
      </c>
      <c r="E7" s="3" t="s">
        <v>1031</v>
      </c>
      <c r="F7" s="3" t="s">
        <v>1032</v>
      </c>
      <c r="G7" s="3" t="s">
        <v>18</v>
      </c>
      <c r="H7" s="3">
        <v>545</v>
      </c>
      <c r="I7" s="3" t="s">
        <v>1019</v>
      </c>
      <c r="J7" s="3" t="s">
        <v>1033</v>
      </c>
      <c r="K7" s="3" t="s">
        <v>18</v>
      </c>
      <c r="L7" s="9" t="s">
        <v>1034</v>
      </c>
      <c r="M7" s="2"/>
      <c r="N7" t="str">
        <f t="shared" si="1"/>
        <v>92 Setsuko Chuo-ku</v>
      </c>
      <c r="O7" t="str">
        <f t="shared" si="2"/>
        <v>Osaka</v>
      </c>
      <c r="P7" t="str">
        <f t="shared" si="0"/>
        <v>NULL</v>
      </c>
      <c r="Q7">
        <f t="shared" si="0"/>
        <v>545</v>
      </c>
      <c r="R7" t="str">
        <f t="shared" si="0"/>
        <v>Japan</v>
      </c>
      <c r="S7" t="str">
        <f t="shared" si="0"/>
        <v>(06) 431-7877</v>
      </c>
      <c r="T7" t="str">
        <f t="shared" si="0"/>
        <v>NULL</v>
      </c>
      <c r="U7" t="str">
        <f t="shared" si="0"/>
        <v>Mayumi's (on the World Wide Web)#http://www.microsoft.com/accessdev/sampleapps/mayumi.htm#</v>
      </c>
    </row>
    <row r="8" spans="1:21" x14ac:dyDescent="0.2">
      <c r="A8" s="1">
        <v>7</v>
      </c>
      <c r="B8" s="3" t="s">
        <v>877</v>
      </c>
      <c r="C8" s="3" t="s">
        <v>1035</v>
      </c>
      <c r="D8" s="3" t="s">
        <v>1036</v>
      </c>
      <c r="E8" s="3" t="s">
        <v>477</v>
      </c>
      <c r="F8" s="3" t="s">
        <v>1037</v>
      </c>
      <c r="G8" s="3" t="s">
        <v>1038</v>
      </c>
      <c r="H8" s="3" t="s">
        <v>1039</v>
      </c>
      <c r="I8" s="3">
        <v>3058</v>
      </c>
      <c r="J8" s="3" t="s">
        <v>1040</v>
      </c>
      <c r="K8" s="3" t="s">
        <v>1041</v>
      </c>
      <c r="L8" s="3" t="s">
        <v>1042</v>
      </c>
      <c r="M8" s="3" t="s">
        <v>18</v>
      </c>
      <c r="N8" t="str">
        <f t="shared" si="1"/>
        <v>Marketing Manager 74 Rose St. Moonie Ponds</v>
      </c>
      <c r="O8" t="str">
        <f t="shared" si="2"/>
        <v>Melbourne</v>
      </c>
      <c r="P8" t="str">
        <f t="shared" si="0"/>
        <v>Victoria</v>
      </c>
      <c r="Q8">
        <f t="shared" si="0"/>
        <v>3058</v>
      </c>
      <c r="R8" t="str">
        <f t="shared" si="0"/>
        <v>Australia</v>
      </c>
      <c r="S8" t="str">
        <f t="shared" si="0"/>
        <v>(03) 444-2343</v>
      </c>
      <c r="T8" t="str">
        <f t="shared" si="0"/>
        <v>(03) 444-6588</v>
      </c>
      <c r="U8" t="str">
        <f t="shared" si="0"/>
        <v>NULL</v>
      </c>
    </row>
    <row r="9" spans="1:21" x14ac:dyDescent="0.2">
      <c r="A9" s="1">
        <v>8</v>
      </c>
      <c r="B9" s="3" t="s">
        <v>1043</v>
      </c>
      <c r="C9" s="3" t="s">
        <v>1035</v>
      </c>
      <c r="D9" s="3" t="s">
        <v>1044</v>
      </c>
      <c r="E9" s="3" t="s">
        <v>454</v>
      </c>
      <c r="F9" s="3" t="s">
        <v>1045</v>
      </c>
      <c r="G9" s="3" t="s">
        <v>1046</v>
      </c>
      <c r="H9" s="3" t="s">
        <v>18</v>
      </c>
      <c r="I9" s="3" t="s">
        <v>1047</v>
      </c>
      <c r="J9" s="3" t="s">
        <v>169</v>
      </c>
      <c r="K9" s="3" t="s">
        <v>1048</v>
      </c>
      <c r="L9" s="3" t="s">
        <v>18</v>
      </c>
      <c r="M9" s="3" t="s">
        <v>18</v>
      </c>
      <c r="N9" t="str">
        <f t="shared" si="1"/>
        <v>Sales Representative 29 King's Way</v>
      </c>
      <c r="O9" t="str">
        <f t="shared" si="2"/>
        <v>Manchester</v>
      </c>
      <c r="P9" t="str">
        <f t="shared" si="0"/>
        <v>NULL</v>
      </c>
      <c r="Q9" t="str">
        <f t="shared" si="0"/>
        <v>M14 GSD</v>
      </c>
      <c r="R9" t="str">
        <f t="shared" si="0"/>
        <v>UK</v>
      </c>
      <c r="S9" t="str">
        <f t="shared" si="0"/>
        <v>(161) 555-4448</v>
      </c>
      <c r="T9" t="str">
        <f t="shared" si="0"/>
        <v>NULL</v>
      </c>
      <c r="U9" t="str">
        <f t="shared" si="0"/>
        <v>NULL</v>
      </c>
    </row>
    <row r="10" spans="1:21" x14ac:dyDescent="0.2">
      <c r="A10" s="1">
        <v>9</v>
      </c>
      <c r="B10" s="3" t="s">
        <v>1049</v>
      </c>
      <c r="C10" s="3" t="s">
        <v>1050</v>
      </c>
      <c r="D10" s="3" t="s">
        <v>493</v>
      </c>
      <c r="E10" s="3" t="s">
        <v>1051</v>
      </c>
      <c r="F10" s="3" t="s">
        <v>1052</v>
      </c>
      <c r="G10" s="3" t="s">
        <v>18</v>
      </c>
      <c r="H10" s="3" t="s">
        <v>1053</v>
      </c>
      <c r="I10" s="3" t="s">
        <v>92</v>
      </c>
      <c r="J10" s="3" t="s">
        <v>1054</v>
      </c>
      <c r="K10" s="3" t="s">
        <v>1055</v>
      </c>
      <c r="L10" s="3" t="s">
        <v>18</v>
      </c>
      <c r="M10" s="2"/>
      <c r="N10" t="str">
        <f t="shared" si="1"/>
        <v>Kaloadagatan 13</v>
      </c>
      <c r="O10" t="str">
        <f t="shared" si="2"/>
        <v>Göteborg</v>
      </c>
      <c r="P10" t="str">
        <f t="shared" si="0"/>
        <v>NULL</v>
      </c>
      <c r="Q10" t="str">
        <f t="shared" si="0"/>
        <v>S-345 67</v>
      </c>
      <c r="R10" t="str">
        <f t="shared" si="0"/>
        <v>Sweden</v>
      </c>
      <c r="S10" t="str">
        <f t="shared" si="0"/>
        <v>031-987 65 43</v>
      </c>
      <c r="T10" t="str">
        <f t="shared" si="0"/>
        <v>031-987 65 91</v>
      </c>
      <c r="U10" t="str">
        <f t="shared" si="0"/>
        <v>NULL</v>
      </c>
    </row>
    <row r="11" spans="1:21" x14ac:dyDescent="0.2">
      <c r="A11" s="1">
        <v>10</v>
      </c>
      <c r="B11" s="3" t="s">
        <v>1056</v>
      </c>
      <c r="C11" s="3" t="s">
        <v>1057</v>
      </c>
      <c r="D11" s="3" t="s">
        <v>477</v>
      </c>
      <c r="E11" s="3" t="s">
        <v>1058</v>
      </c>
      <c r="F11" s="3" t="s">
        <v>173</v>
      </c>
      <c r="G11" s="3" t="s">
        <v>18</v>
      </c>
      <c r="H11" s="3">
        <v>5442</v>
      </c>
      <c r="I11" s="3" t="s">
        <v>31</v>
      </c>
      <c r="J11" s="3" t="s">
        <v>1059</v>
      </c>
      <c r="K11" s="3" t="s">
        <v>18</v>
      </c>
      <c r="L11" s="3" t="s">
        <v>18</v>
      </c>
      <c r="M11" s="2"/>
      <c r="N11" t="str">
        <f t="shared" si="1"/>
        <v>Av. das Americanas 12.890</v>
      </c>
      <c r="O11" t="str">
        <f t="shared" si="2"/>
        <v>Sao Paulo</v>
      </c>
      <c r="P11" t="str">
        <f t="shared" si="0"/>
        <v>NULL</v>
      </c>
      <c r="Q11">
        <f t="shared" si="0"/>
        <v>5442</v>
      </c>
      <c r="R11" t="str">
        <f t="shared" si="0"/>
        <v>Brazil</v>
      </c>
      <c r="S11" t="str">
        <f t="shared" si="0"/>
        <v>(11) 555 4640</v>
      </c>
      <c r="T11" t="str">
        <f t="shared" si="0"/>
        <v>NULL</v>
      </c>
      <c r="U11" t="str">
        <f t="shared" si="0"/>
        <v>NULL</v>
      </c>
    </row>
    <row r="12" spans="1:21" x14ac:dyDescent="0.2">
      <c r="A12" s="1">
        <v>11</v>
      </c>
      <c r="B12" s="3" t="s">
        <v>1060</v>
      </c>
      <c r="C12" s="3" t="s">
        <v>1061</v>
      </c>
      <c r="D12" s="3" t="s">
        <v>518</v>
      </c>
      <c r="E12" s="3" t="s">
        <v>1062</v>
      </c>
      <c r="F12" s="3" t="s">
        <v>404</v>
      </c>
      <c r="G12" s="3" t="s">
        <v>18</v>
      </c>
      <c r="H12" s="3">
        <v>10785</v>
      </c>
      <c r="I12" s="3" t="s">
        <v>24</v>
      </c>
      <c r="J12" s="3" t="s">
        <v>1063</v>
      </c>
      <c r="K12" s="3" t="s">
        <v>18</v>
      </c>
      <c r="L12" s="3" t="s">
        <v>18</v>
      </c>
      <c r="M12" s="2"/>
      <c r="N12" t="str">
        <f t="shared" si="1"/>
        <v>Tiergartenstraße 5</v>
      </c>
      <c r="O12" t="str">
        <f t="shared" si="2"/>
        <v>Berlin</v>
      </c>
      <c r="P12" t="str">
        <f t="shared" si="0"/>
        <v>NULL</v>
      </c>
      <c r="Q12">
        <f t="shared" si="0"/>
        <v>10785</v>
      </c>
      <c r="R12" t="str">
        <f t="shared" si="0"/>
        <v>Germany</v>
      </c>
      <c r="S12" t="str">
        <f t="shared" si="0"/>
        <v>(010) 9984510</v>
      </c>
      <c r="T12" t="str">
        <f t="shared" si="0"/>
        <v>NULL</v>
      </c>
      <c r="U12" t="str">
        <f t="shared" si="0"/>
        <v>NULL</v>
      </c>
    </row>
    <row r="13" spans="1:21" x14ac:dyDescent="0.2">
      <c r="A13" s="1">
        <v>12</v>
      </c>
      <c r="B13" s="3" t="s">
        <v>1064</v>
      </c>
      <c r="C13" s="3" t="s">
        <v>1065</v>
      </c>
      <c r="D13" s="3" t="s">
        <v>1066</v>
      </c>
      <c r="E13" s="3" t="s">
        <v>1067</v>
      </c>
      <c r="F13" s="3" t="s">
        <v>1068</v>
      </c>
      <c r="G13" s="3" t="s">
        <v>18</v>
      </c>
      <c r="H13" s="3">
        <v>60439</v>
      </c>
      <c r="I13" s="3" t="s">
        <v>24</v>
      </c>
      <c r="J13" s="3" t="s">
        <v>1069</v>
      </c>
      <c r="K13" s="3" t="s">
        <v>18</v>
      </c>
      <c r="L13" s="9" t="s">
        <v>1070</v>
      </c>
      <c r="M13" s="2"/>
      <c r="N13" t="str">
        <f t="shared" si="1"/>
        <v>Bogenallee 51</v>
      </c>
      <c r="O13" t="str">
        <f t="shared" si="2"/>
        <v>Frankfurt</v>
      </c>
      <c r="P13" t="str">
        <f t="shared" si="0"/>
        <v>NULL</v>
      </c>
      <c r="Q13">
        <f t="shared" si="0"/>
        <v>60439</v>
      </c>
      <c r="R13" t="str">
        <f t="shared" si="0"/>
        <v>Germany</v>
      </c>
      <c r="S13" t="str">
        <f t="shared" si="0"/>
        <v>(069) 992755</v>
      </c>
      <c r="T13" t="str">
        <f t="shared" si="0"/>
        <v>NULL</v>
      </c>
      <c r="U13" t="str">
        <f t="shared" si="0"/>
        <v>Plutzer (on the World Wide Web)#http://www.microsoft.com/accessdev/sampleapps/plutzer.htm#</v>
      </c>
    </row>
    <row r="14" spans="1:21" x14ac:dyDescent="0.2">
      <c r="A14" s="1">
        <v>13</v>
      </c>
      <c r="B14" s="3" t="s">
        <v>1071</v>
      </c>
      <c r="C14" s="3" t="s">
        <v>1072</v>
      </c>
      <c r="D14" s="3" t="s">
        <v>1073</v>
      </c>
      <c r="E14" s="3" t="s">
        <v>1074</v>
      </c>
      <c r="F14" s="3" t="s">
        <v>1075</v>
      </c>
      <c r="G14" s="3" t="s">
        <v>18</v>
      </c>
      <c r="H14" s="3">
        <v>27478</v>
      </c>
      <c r="I14" s="3" t="s">
        <v>24</v>
      </c>
      <c r="J14" s="3" t="s">
        <v>1076</v>
      </c>
      <c r="K14" s="3" t="s">
        <v>1077</v>
      </c>
      <c r="L14" s="3" t="s">
        <v>18</v>
      </c>
      <c r="M14" s="2"/>
      <c r="N14" t="str">
        <f t="shared" si="1"/>
        <v>Frahmredder 112a</v>
      </c>
      <c r="O14" t="str">
        <f t="shared" si="2"/>
        <v>Cuxhaven</v>
      </c>
      <c r="P14" t="str">
        <f t="shared" si="0"/>
        <v>NULL</v>
      </c>
      <c r="Q14">
        <f t="shared" si="0"/>
        <v>27478</v>
      </c>
      <c r="R14" t="str">
        <f t="shared" si="0"/>
        <v>Germany</v>
      </c>
      <c r="S14" t="str">
        <f t="shared" si="0"/>
        <v>(04721) 8713</v>
      </c>
      <c r="T14" t="str">
        <f t="shared" si="0"/>
        <v>(04721) 8714</v>
      </c>
      <c r="U14" t="str">
        <f t="shared" si="0"/>
        <v>NULL</v>
      </c>
    </row>
    <row r="15" spans="1:21" x14ac:dyDescent="0.2">
      <c r="A15" s="1">
        <v>14</v>
      </c>
      <c r="B15" s="3" t="s">
        <v>1078</v>
      </c>
      <c r="C15" s="3" t="s">
        <v>1079</v>
      </c>
      <c r="D15" s="3" t="s">
        <v>454</v>
      </c>
      <c r="E15" s="3" t="s">
        <v>1080</v>
      </c>
      <c r="F15" s="3">
        <v>75</v>
      </c>
      <c r="G15" s="3" t="s">
        <v>1081</v>
      </c>
      <c r="H15" s="3" t="s">
        <v>18</v>
      </c>
      <c r="I15" s="3">
        <v>48100</v>
      </c>
      <c r="J15" s="3" t="s">
        <v>129</v>
      </c>
      <c r="K15" s="3" t="s">
        <v>1082</v>
      </c>
      <c r="L15" s="3" t="s">
        <v>1083</v>
      </c>
      <c r="M15" s="3" t="s">
        <v>1084</v>
      </c>
      <c r="N15" t="str">
        <f t="shared" si="1"/>
        <v>Viale Dante 75</v>
      </c>
      <c r="O15" t="str">
        <f t="shared" si="2"/>
        <v>Ravenna</v>
      </c>
      <c r="P15" t="str">
        <f t="shared" si="0"/>
        <v>NULL</v>
      </c>
      <c r="Q15">
        <f t="shared" si="0"/>
        <v>48100</v>
      </c>
      <c r="R15" t="str">
        <f t="shared" si="0"/>
        <v>Italy</v>
      </c>
      <c r="S15" t="str">
        <f t="shared" si="0"/>
        <v>(0544) 60323</v>
      </c>
      <c r="T15" t="str">
        <f t="shared" si="0"/>
        <v>(0544) 60603</v>
      </c>
      <c r="U15" t="str">
        <f t="shared" si="0"/>
        <v>#FORMAGGI.HTM#</v>
      </c>
    </row>
    <row r="16" spans="1:21" x14ac:dyDescent="0.2">
      <c r="A16" s="1">
        <v>15</v>
      </c>
      <c r="B16" s="3" t="s">
        <v>1085</v>
      </c>
      <c r="C16" s="3" t="s">
        <v>1086</v>
      </c>
      <c r="D16" s="3" t="s">
        <v>477</v>
      </c>
      <c r="E16" s="3" t="s">
        <v>1087</v>
      </c>
      <c r="F16" s="3" t="s">
        <v>1088</v>
      </c>
      <c r="G16" s="3" t="s">
        <v>18</v>
      </c>
      <c r="H16" s="3">
        <v>1320</v>
      </c>
      <c r="I16" s="3" t="s">
        <v>317</v>
      </c>
      <c r="J16" s="3" t="s">
        <v>1089</v>
      </c>
      <c r="K16" s="3" t="s">
        <v>18</v>
      </c>
      <c r="L16" s="3" t="s">
        <v>18</v>
      </c>
      <c r="M16" s="2"/>
      <c r="N16" t="str">
        <f t="shared" si="1"/>
        <v>Hatlevegen 5</v>
      </c>
      <c r="O16" t="str">
        <f t="shared" si="2"/>
        <v>Sandvika</v>
      </c>
      <c r="P16" t="str">
        <f t="shared" si="0"/>
        <v>NULL</v>
      </c>
      <c r="Q16">
        <f t="shared" si="0"/>
        <v>1320</v>
      </c>
      <c r="R16" t="str">
        <f t="shared" si="0"/>
        <v>Norway</v>
      </c>
      <c r="S16" t="str">
        <f t="shared" si="0"/>
        <v>(0)2-953010</v>
      </c>
      <c r="T16" t="str">
        <f t="shared" si="0"/>
        <v>NULL</v>
      </c>
      <c r="U16" t="str">
        <f t="shared" si="0"/>
        <v>NULL</v>
      </c>
    </row>
    <row r="17" spans="1:21" x14ac:dyDescent="0.2">
      <c r="A17" s="1">
        <v>16</v>
      </c>
      <c r="B17" s="3" t="s">
        <v>1090</v>
      </c>
      <c r="C17" s="3" t="s">
        <v>1091</v>
      </c>
      <c r="D17" s="3" t="s">
        <v>1092</v>
      </c>
      <c r="E17" s="3" t="s">
        <v>1093</v>
      </c>
      <c r="F17" s="3" t="s">
        <v>1094</v>
      </c>
      <c r="G17" s="3" t="s">
        <v>202</v>
      </c>
      <c r="H17" s="3">
        <v>97101</v>
      </c>
      <c r="I17" s="3" t="s">
        <v>86</v>
      </c>
      <c r="J17" s="3" t="s">
        <v>838</v>
      </c>
      <c r="K17" s="3" t="s">
        <v>18</v>
      </c>
      <c r="L17" s="3" t="s">
        <v>18</v>
      </c>
      <c r="M17" s="2"/>
      <c r="N17" t="str">
        <f t="shared" si="1"/>
        <v>3400 - 8th Avenue Suite 210</v>
      </c>
      <c r="O17" t="str">
        <f t="shared" si="2"/>
        <v>Bend</v>
      </c>
      <c r="P17" t="str">
        <f t="shared" si="0"/>
        <v>OR</v>
      </c>
      <c r="Q17">
        <f t="shared" si="0"/>
        <v>97101</v>
      </c>
      <c r="R17" t="str">
        <f t="shared" si="0"/>
        <v>USA</v>
      </c>
      <c r="S17" t="str">
        <f t="shared" si="0"/>
        <v>(503) 555-9931</v>
      </c>
      <c r="T17" t="str">
        <f t="shared" si="0"/>
        <v>NULL</v>
      </c>
      <c r="U17" t="str">
        <f t="shared" si="0"/>
        <v>NULL</v>
      </c>
    </row>
    <row r="18" spans="1:21" x14ac:dyDescent="0.2">
      <c r="A18" s="1">
        <v>17</v>
      </c>
      <c r="B18" s="3" t="s">
        <v>1095</v>
      </c>
      <c r="C18" s="3" t="s">
        <v>1096</v>
      </c>
      <c r="D18" s="3" t="s">
        <v>454</v>
      </c>
      <c r="E18" s="3" t="s">
        <v>1097</v>
      </c>
      <c r="F18" s="3" t="s">
        <v>1098</v>
      </c>
      <c r="G18" s="3" t="s">
        <v>18</v>
      </c>
      <c r="H18" s="3" t="s">
        <v>1099</v>
      </c>
      <c r="I18" s="3" t="s">
        <v>92</v>
      </c>
      <c r="J18" s="3" t="s">
        <v>1100</v>
      </c>
      <c r="K18" s="3" t="s">
        <v>18</v>
      </c>
      <c r="L18" s="3" t="s">
        <v>18</v>
      </c>
      <c r="M18" s="2"/>
      <c r="N18" t="str">
        <f t="shared" si="1"/>
        <v>Brovallavägen 231</v>
      </c>
      <c r="O18" t="str">
        <f t="shared" si="2"/>
        <v>Stockholm</v>
      </c>
      <c r="P18" t="str">
        <f t="shared" ref="P18:P30" si="3">IF($M18&lt;&gt;"",H18,G18)</f>
        <v>NULL</v>
      </c>
      <c r="Q18" t="str">
        <f t="shared" ref="Q18:Q30" si="4">IF($M18&lt;&gt;"",I18,H18)</f>
        <v>S-123 45</v>
      </c>
      <c r="R18" t="str">
        <f t="shared" ref="R18:R30" si="5">IF($M18&lt;&gt;"",J18,I18)</f>
        <v>Sweden</v>
      </c>
      <c r="S18" t="str">
        <f t="shared" ref="S18:S30" si="6">IF($M18&lt;&gt;"",K18,J18)</f>
        <v>08-123 45 67</v>
      </c>
      <c r="T18" t="str">
        <f t="shared" ref="T18:T30" si="7">IF($M18&lt;&gt;"",L18,K18)</f>
        <v>NULL</v>
      </c>
      <c r="U18" t="str">
        <f t="shared" ref="U18:U30" si="8">IF($M18&lt;&gt;"",M18,L18)</f>
        <v>NULL</v>
      </c>
    </row>
    <row r="19" spans="1:21" x14ac:dyDescent="0.2">
      <c r="A19" s="1">
        <v>18</v>
      </c>
      <c r="B19" s="3" t="s">
        <v>1101</v>
      </c>
      <c r="C19" s="3" t="s">
        <v>1102</v>
      </c>
      <c r="D19" s="3" t="s">
        <v>518</v>
      </c>
      <c r="E19" s="3">
        <v>203</v>
      </c>
      <c r="F19" s="3" t="s">
        <v>1103</v>
      </c>
      <c r="G19" s="3" t="s">
        <v>412</v>
      </c>
      <c r="H19" s="3" t="s">
        <v>18</v>
      </c>
      <c r="I19" s="3">
        <v>75004</v>
      </c>
      <c r="J19" s="3" t="s">
        <v>19</v>
      </c>
      <c r="K19" s="3" t="s">
        <v>1104</v>
      </c>
      <c r="L19" s="3" t="s">
        <v>1105</v>
      </c>
      <c r="M19" s="3" t="s">
        <v>18</v>
      </c>
      <c r="N19" t="str">
        <f t="shared" si="1"/>
        <v>203  Rue des Francs-Bourgeois</v>
      </c>
      <c r="O19" t="str">
        <f t="shared" si="2"/>
        <v>Paris</v>
      </c>
      <c r="P19" t="str">
        <f t="shared" si="3"/>
        <v>NULL</v>
      </c>
      <c r="Q19">
        <f t="shared" si="4"/>
        <v>75004</v>
      </c>
      <c r="R19" t="str">
        <f t="shared" si="5"/>
        <v>France</v>
      </c>
      <c r="S19" t="str">
        <f t="shared" si="6"/>
        <v>(1) 03.83.00.68</v>
      </c>
      <c r="T19" t="str">
        <f t="shared" si="7"/>
        <v>(1) 03.83.00.62</v>
      </c>
      <c r="U19" t="str">
        <f t="shared" si="8"/>
        <v>NULL</v>
      </c>
    </row>
    <row r="20" spans="1:21" x14ac:dyDescent="0.2">
      <c r="A20" s="1">
        <v>19</v>
      </c>
      <c r="B20" s="3" t="s">
        <v>1106</v>
      </c>
      <c r="C20" s="3" t="s">
        <v>1107</v>
      </c>
      <c r="D20" s="3" t="s">
        <v>1108</v>
      </c>
      <c r="E20" s="3" t="s">
        <v>1109</v>
      </c>
      <c r="F20" s="3" t="s">
        <v>1110</v>
      </c>
      <c r="G20" s="3" t="s">
        <v>1111</v>
      </c>
      <c r="H20" s="3">
        <v>2134</v>
      </c>
      <c r="I20" s="3" t="s">
        <v>86</v>
      </c>
      <c r="J20" s="3" t="s">
        <v>1112</v>
      </c>
      <c r="K20" s="3" t="s">
        <v>1113</v>
      </c>
      <c r="L20" s="3" t="s">
        <v>18</v>
      </c>
      <c r="M20" s="2"/>
      <c r="N20" t="str">
        <f t="shared" si="1"/>
        <v>Order Processing Dept. 2100 Paul Revere Blvd.</v>
      </c>
      <c r="O20" t="str">
        <f t="shared" si="2"/>
        <v>Boston</v>
      </c>
      <c r="P20" t="str">
        <f t="shared" si="3"/>
        <v>MA</v>
      </c>
      <c r="Q20">
        <f t="shared" si="4"/>
        <v>2134</v>
      </c>
      <c r="R20" t="str">
        <f t="shared" si="5"/>
        <v>USA</v>
      </c>
      <c r="S20" t="str">
        <f t="shared" si="6"/>
        <v>(617) 555-3267</v>
      </c>
      <c r="T20" t="str">
        <f t="shared" si="7"/>
        <v>(617) 555-3389</v>
      </c>
      <c r="U20" t="str">
        <f t="shared" si="8"/>
        <v>NULL</v>
      </c>
    </row>
    <row r="21" spans="1:21" x14ac:dyDescent="0.2">
      <c r="A21" s="1">
        <v>20</v>
      </c>
      <c r="B21" s="3" t="s">
        <v>1114</v>
      </c>
      <c r="C21" s="3" t="s">
        <v>1115</v>
      </c>
      <c r="D21" s="3" t="s">
        <v>458</v>
      </c>
      <c r="E21" s="3" t="s">
        <v>1116</v>
      </c>
      <c r="F21" s="3" t="s">
        <v>1117</v>
      </c>
      <c r="G21" s="3" t="s">
        <v>1118</v>
      </c>
      <c r="H21" s="3" t="s">
        <v>18</v>
      </c>
      <c r="I21" s="3">
        <v>512</v>
      </c>
      <c r="J21" s="3" t="s">
        <v>1118</v>
      </c>
      <c r="K21" s="3" t="s">
        <v>1119</v>
      </c>
      <c r="L21" s="3" t="s">
        <v>18</v>
      </c>
      <c r="M21" s="3" t="s">
        <v>18</v>
      </c>
      <c r="N21" t="str">
        <f t="shared" si="1"/>
        <v>471 Serangoon Loop Suite #402</v>
      </c>
      <c r="O21" t="str">
        <f t="shared" si="2"/>
        <v>Singapore</v>
      </c>
      <c r="P21" t="str">
        <f t="shared" si="3"/>
        <v>NULL</v>
      </c>
      <c r="Q21">
        <f t="shared" si="4"/>
        <v>512</v>
      </c>
      <c r="R21" t="str">
        <f t="shared" si="5"/>
        <v>Singapore</v>
      </c>
      <c r="S21" t="str">
        <f t="shared" si="6"/>
        <v>555-8787</v>
      </c>
      <c r="T21" t="str">
        <f t="shared" si="7"/>
        <v>NULL</v>
      </c>
      <c r="U21" t="str">
        <f t="shared" si="8"/>
        <v>NULL</v>
      </c>
    </row>
    <row r="22" spans="1:21" x14ac:dyDescent="0.2">
      <c r="A22" s="1">
        <v>21</v>
      </c>
      <c r="B22" s="3" t="s">
        <v>1120</v>
      </c>
      <c r="C22" s="3" t="s">
        <v>1121</v>
      </c>
      <c r="D22" s="3" t="s">
        <v>518</v>
      </c>
      <c r="E22" s="3" t="s">
        <v>1122</v>
      </c>
      <c r="F22" s="3" t="s">
        <v>1123</v>
      </c>
      <c r="G22" s="3" t="s">
        <v>18</v>
      </c>
      <c r="H22" s="3">
        <v>2800</v>
      </c>
      <c r="I22" s="3" t="s">
        <v>257</v>
      </c>
      <c r="J22" s="3">
        <v>43844108</v>
      </c>
      <c r="K22" s="3">
        <v>43844115</v>
      </c>
      <c r="L22" s="3" t="s">
        <v>18</v>
      </c>
      <c r="M22" s="2"/>
      <c r="N22" t="str">
        <f t="shared" si="1"/>
        <v>Lyngbysild Fiskebakken 10</v>
      </c>
      <c r="O22" t="str">
        <f t="shared" si="2"/>
        <v>Lyngby</v>
      </c>
      <c r="P22" t="str">
        <f t="shared" si="3"/>
        <v>NULL</v>
      </c>
      <c r="Q22">
        <f t="shared" si="4"/>
        <v>2800</v>
      </c>
      <c r="R22" t="str">
        <f t="shared" si="5"/>
        <v>Denmark</v>
      </c>
      <c r="S22">
        <f t="shared" si="6"/>
        <v>43844108</v>
      </c>
      <c r="T22">
        <f t="shared" si="7"/>
        <v>43844115</v>
      </c>
      <c r="U22" t="str">
        <f t="shared" si="8"/>
        <v>NULL</v>
      </c>
    </row>
    <row r="23" spans="1:21" x14ac:dyDescent="0.2">
      <c r="A23" s="1">
        <v>22</v>
      </c>
      <c r="B23" s="3" t="s">
        <v>1124</v>
      </c>
      <c r="C23" s="3" t="s">
        <v>1125</v>
      </c>
      <c r="D23" s="3" t="s">
        <v>487</v>
      </c>
      <c r="E23" s="3" t="s">
        <v>1126</v>
      </c>
      <c r="F23" s="3" t="s">
        <v>1127</v>
      </c>
      <c r="G23" s="3" t="s">
        <v>18</v>
      </c>
      <c r="H23" s="3" t="s">
        <v>1128</v>
      </c>
      <c r="I23" s="3" t="s">
        <v>1129</v>
      </c>
      <c r="J23" s="3" t="s">
        <v>1130</v>
      </c>
      <c r="K23" s="3" t="s">
        <v>1131</v>
      </c>
      <c r="L23" s="3" t="s">
        <v>18</v>
      </c>
      <c r="M23" s="2"/>
      <c r="N23" t="str">
        <f t="shared" si="1"/>
        <v>Verkoop Rijnweg 22</v>
      </c>
      <c r="O23" t="str">
        <f t="shared" si="2"/>
        <v>Zaandam</v>
      </c>
      <c r="P23" t="str">
        <f t="shared" si="3"/>
        <v>NULL</v>
      </c>
      <c r="Q23" t="str">
        <f t="shared" si="4"/>
        <v>9999 ZZ</v>
      </c>
      <c r="R23" t="str">
        <f t="shared" si="5"/>
        <v>Netherlands</v>
      </c>
      <c r="S23" t="str">
        <f t="shared" si="6"/>
        <v>(12345) 1212</v>
      </c>
      <c r="T23" t="str">
        <f t="shared" si="7"/>
        <v>(12345) 1210</v>
      </c>
      <c r="U23" t="str">
        <f t="shared" si="8"/>
        <v>NULL</v>
      </c>
    </row>
    <row r="24" spans="1:21" x14ac:dyDescent="0.2">
      <c r="A24" s="1">
        <v>23</v>
      </c>
      <c r="B24" s="3" t="s">
        <v>1132</v>
      </c>
      <c r="C24" s="3" t="s">
        <v>1133</v>
      </c>
      <c r="D24" s="3" t="s">
        <v>1134</v>
      </c>
      <c r="E24" s="3" t="s">
        <v>1135</v>
      </c>
      <c r="F24" s="3" t="s">
        <v>1136</v>
      </c>
      <c r="G24" s="3" t="s">
        <v>18</v>
      </c>
      <c r="H24" s="3">
        <v>53120</v>
      </c>
      <c r="I24" s="3" t="s">
        <v>101</v>
      </c>
      <c r="J24" s="3" t="s">
        <v>1137</v>
      </c>
      <c r="K24" s="3" t="s">
        <v>18</v>
      </c>
      <c r="L24" s="3" t="s">
        <v>18</v>
      </c>
      <c r="M24" s="2"/>
      <c r="N24" t="str">
        <f t="shared" si="1"/>
        <v>Valtakatu 12</v>
      </c>
      <c r="O24" t="str">
        <f t="shared" si="2"/>
        <v>Lappeenranta</v>
      </c>
      <c r="P24" t="str">
        <f t="shared" si="3"/>
        <v>NULL</v>
      </c>
      <c r="Q24">
        <f t="shared" si="4"/>
        <v>53120</v>
      </c>
      <c r="R24" t="str">
        <f t="shared" si="5"/>
        <v>Finland</v>
      </c>
      <c r="S24" t="str">
        <f t="shared" si="6"/>
        <v>(953) 10956</v>
      </c>
      <c r="T24" t="str">
        <f t="shared" si="7"/>
        <v>NULL</v>
      </c>
      <c r="U24" t="str">
        <f t="shared" si="8"/>
        <v>NULL</v>
      </c>
    </row>
    <row r="25" spans="1:21" x14ac:dyDescent="0.2">
      <c r="A25" s="1">
        <v>24</v>
      </c>
      <c r="B25" s="3" t="s">
        <v>1138</v>
      </c>
      <c r="C25" s="3" t="s">
        <v>1139</v>
      </c>
      <c r="D25" s="3" t="s">
        <v>1140</v>
      </c>
      <c r="E25" s="3" t="s">
        <v>454</v>
      </c>
      <c r="F25" s="3" t="s">
        <v>1141</v>
      </c>
      <c r="G25" s="3" t="s">
        <v>1142</v>
      </c>
      <c r="H25" s="3" t="s">
        <v>1143</v>
      </c>
      <c r="I25" s="3">
        <v>2042</v>
      </c>
      <c r="J25" s="3" t="s">
        <v>1040</v>
      </c>
      <c r="K25" s="3" t="s">
        <v>1144</v>
      </c>
      <c r="L25" s="3" t="s">
        <v>1145</v>
      </c>
      <c r="M25" s="9" t="s">
        <v>1146</v>
      </c>
      <c r="N25" t="str">
        <f t="shared" si="1"/>
        <v>Sales Representative 170 Prince Edward Parade Hunter's Hill</v>
      </c>
      <c r="O25" t="str">
        <f t="shared" si="2"/>
        <v>Sydney</v>
      </c>
      <c r="P25" t="str">
        <f t="shared" si="3"/>
        <v>NSW</v>
      </c>
      <c r="Q25">
        <f t="shared" si="4"/>
        <v>2042</v>
      </c>
      <c r="R25" t="str">
        <f t="shared" si="5"/>
        <v>Australia</v>
      </c>
      <c r="S25" t="str">
        <f t="shared" si="6"/>
        <v>(02) 555-5914</v>
      </c>
      <c r="T25" t="str">
        <f t="shared" si="7"/>
        <v>(02) 555-4873</v>
      </c>
      <c r="U25" t="str">
        <f t="shared" si="8"/>
        <v>G'day Mate (on the World Wide Web)#http://www.microsoft.com/accessdev/sampleapps/gdaymate.htm#</v>
      </c>
    </row>
    <row r="26" spans="1:21" x14ac:dyDescent="0.2">
      <c r="A26" s="1">
        <v>25</v>
      </c>
      <c r="B26" s="3" t="s">
        <v>1147</v>
      </c>
      <c r="C26" s="3" t="s">
        <v>1148</v>
      </c>
      <c r="D26" s="3" t="s">
        <v>477</v>
      </c>
      <c r="E26" s="3" t="s">
        <v>1149</v>
      </c>
      <c r="F26" s="3" t="s">
        <v>246</v>
      </c>
      <c r="G26" s="3" t="s">
        <v>247</v>
      </c>
      <c r="H26" s="3" t="s">
        <v>248</v>
      </c>
      <c r="I26" s="3" t="s">
        <v>249</v>
      </c>
      <c r="J26" s="3" t="s">
        <v>1150</v>
      </c>
      <c r="K26" s="3" t="s">
        <v>18</v>
      </c>
      <c r="L26" s="3" t="s">
        <v>18</v>
      </c>
      <c r="M26" s="2"/>
      <c r="N26" t="str">
        <f t="shared" si="1"/>
        <v>2960 Rue St. Laurent</v>
      </c>
      <c r="O26" t="str">
        <f t="shared" si="2"/>
        <v>Montréal</v>
      </c>
      <c r="P26" t="str">
        <f t="shared" si="3"/>
        <v>Québec</v>
      </c>
      <c r="Q26" t="str">
        <f t="shared" si="4"/>
        <v>H1J 1C3</v>
      </c>
      <c r="R26" t="str">
        <f t="shared" si="5"/>
        <v>Canada</v>
      </c>
      <c r="S26" t="str">
        <f t="shared" si="6"/>
        <v>(514) 555-9022</v>
      </c>
      <c r="T26" t="str">
        <f t="shared" si="7"/>
        <v>NULL</v>
      </c>
      <c r="U26" t="str">
        <f t="shared" si="8"/>
        <v>NULL</v>
      </c>
    </row>
    <row r="27" spans="1:21" x14ac:dyDescent="0.2">
      <c r="A27" s="1">
        <v>26</v>
      </c>
      <c r="B27" s="3" t="s">
        <v>1151</v>
      </c>
      <c r="C27" s="3" t="s">
        <v>1152</v>
      </c>
      <c r="D27" s="3" t="s">
        <v>469</v>
      </c>
      <c r="E27" s="3" t="s">
        <v>1153</v>
      </c>
      <c r="F27" s="3">
        <v>153</v>
      </c>
      <c r="G27" s="3" t="s">
        <v>1154</v>
      </c>
      <c r="H27" s="3" t="s">
        <v>18</v>
      </c>
      <c r="I27" s="3">
        <v>84100</v>
      </c>
      <c r="J27" s="3" t="s">
        <v>129</v>
      </c>
      <c r="K27" s="3" t="s">
        <v>1155</v>
      </c>
      <c r="L27" s="3" t="s">
        <v>1156</v>
      </c>
      <c r="M27" s="3" t="s">
        <v>18</v>
      </c>
      <c r="N27" t="str">
        <f t="shared" si="1"/>
        <v>Via dei Gelsomini 153</v>
      </c>
      <c r="O27" t="str">
        <f t="shared" si="2"/>
        <v>Salerno</v>
      </c>
      <c r="P27" t="str">
        <f t="shared" si="3"/>
        <v>NULL</v>
      </c>
      <c r="Q27">
        <f t="shared" si="4"/>
        <v>84100</v>
      </c>
      <c r="R27" t="str">
        <f t="shared" si="5"/>
        <v>Italy</v>
      </c>
      <c r="S27" t="str">
        <f t="shared" si="6"/>
        <v>(089) 6547665</v>
      </c>
      <c r="T27" t="str">
        <f t="shared" si="7"/>
        <v>(089) 6547667</v>
      </c>
      <c r="U27" t="str">
        <f t="shared" si="8"/>
        <v>NULL</v>
      </c>
    </row>
    <row r="28" spans="1:21" x14ac:dyDescent="0.2">
      <c r="A28" s="1">
        <v>27</v>
      </c>
      <c r="B28" s="3" t="s">
        <v>1157</v>
      </c>
      <c r="C28" s="3" t="s">
        <v>1158</v>
      </c>
      <c r="D28" s="3" t="s">
        <v>518</v>
      </c>
      <c r="E28" s="3">
        <v>22</v>
      </c>
      <c r="F28" s="3" t="s">
        <v>1159</v>
      </c>
      <c r="G28" s="3" t="s">
        <v>1160</v>
      </c>
      <c r="H28" s="3" t="s">
        <v>18</v>
      </c>
      <c r="I28" s="3">
        <v>71300</v>
      </c>
      <c r="J28" s="3" t="s">
        <v>19</v>
      </c>
      <c r="K28" s="3" t="s">
        <v>1161</v>
      </c>
      <c r="L28" s="3" t="s">
        <v>18</v>
      </c>
      <c r="M28" s="3" t="s">
        <v>18</v>
      </c>
      <c r="N28" t="str">
        <f t="shared" si="1"/>
        <v>22  rue H. Voiron</v>
      </c>
      <c r="O28" t="str">
        <f t="shared" si="2"/>
        <v>Montceau</v>
      </c>
      <c r="P28" t="str">
        <f t="shared" si="3"/>
        <v>NULL</v>
      </c>
      <c r="Q28">
        <f t="shared" si="4"/>
        <v>71300</v>
      </c>
      <c r="R28" t="str">
        <f t="shared" si="5"/>
        <v>France</v>
      </c>
      <c r="S28" t="str">
        <f t="shared" si="6"/>
        <v>85.57.00.07</v>
      </c>
      <c r="T28" t="str">
        <f t="shared" si="7"/>
        <v>NULL</v>
      </c>
      <c r="U28" t="str">
        <f t="shared" si="8"/>
        <v>NULL</v>
      </c>
    </row>
    <row r="29" spans="1:21" x14ac:dyDescent="0.2">
      <c r="A29" s="1">
        <v>28</v>
      </c>
      <c r="B29" s="3" t="s">
        <v>1162</v>
      </c>
      <c r="C29" s="3" t="s">
        <v>1163</v>
      </c>
      <c r="D29" s="3" t="s">
        <v>454</v>
      </c>
      <c r="E29" s="3" t="s">
        <v>1164</v>
      </c>
      <c r="F29" s="3" t="s">
        <v>1165</v>
      </c>
      <c r="G29" s="3" t="s">
        <v>1166</v>
      </c>
      <c r="H29" s="3" t="s">
        <v>18</v>
      </c>
      <c r="I29" s="3">
        <v>74000</v>
      </c>
      <c r="J29" s="3" t="s">
        <v>19</v>
      </c>
      <c r="K29" s="3" t="s">
        <v>1167</v>
      </c>
      <c r="L29" s="3" t="s">
        <v>1168</v>
      </c>
      <c r="M29" s="3" t="s">
        <v>18</v>
      </c>
      <c r="N29" t="str">
        <f t="shared" si="1"/>
        <v>Bat. B 3  rue des Alpes</v>
      </c>
      <c r="O29" t="str">
        <f t="shared" si="2"/>
        <v>Annecy</v>
      </c>
      <c r="P29" t="str">
        <f t="shared" si="3"/>
        <v>NULL</v>
      </c>
      <c r="Q29">
        <f t="shared" si="4"/>
        <v>74000</v>
      </c>
      <c r="R29" t="str">
        <f t="shared" si="5"/>
        <v>France</v>
      </c>
      <c r="S29" t="str">
        <f t="shared" si="6"/>
        <v>38.76.98.06</v>
      </c>
      <c r="T29" t="str">
        <f t="shared" si="7"/>
        <v>38.76.98.58</v>
      </c>
      <c r="U29" t="str">
        <f t="shared" si="8"/>
        <v>NULL</v>
      </c>
    </row>
    <row r="30" spans="1:21" x14ac:dyDescent="0.2">
      <c r="A30" s="1">
        <v>29</v>
      </c>
      <c r="B30" s="3" t="s">
        <v>1169</v>
      </c>
      <c r="C30" s="3" t="s">
        <v>1170</v>
      </c>
      <c r="D30" s="3" t="s">
        <v>487</v>
      </c>
      <c r="E30" s="3" t="s">
        <v>1171</v>
      </c>
      <c r="F30" s="3" t="s">
        <v>1172</v>
      </c>
      <c r="G30" s="3" t="s">
        <v>247</v>
      </c>
      <c r="H30" s="3" t="s">
        <v>1173</v>
      </c>
      <c r="I30" s="3" t="s">
        <v>249</v>
      </c>
      <c r="J30" s="3" t="s">
        <v>1174</v>
      </c>
      <c r="K30" s="3" t="s">
        <v>1175</v>
      </c>
      <c r="L30" s="3" t="s">
        <v>18</v>
      </c>
      <c r="M30" s="2"/>
      <c r="N30" t="str">
        <f t="shared" si="1"/>
        <v>148 rue Chasseur</v>
      </c>
      <c r="O30" t="str">
        <f t="shared" si="2"/>
        <v>Ste-Hyacinthe</v>
      </c>
      <c r="P30" t="str">
        <f t="shared" si="3"/>
        <v>Québec</v>
      </c>
      <c r="Q30" t="str">
        <f t="shared" si="4"/>
        <v>J2S 7S8</v>
      </c>
      <c r="R30" t="str">
        <f t="shared" si="5"/>
        <v>Canada</v>
      </c>
      <c r="S30" t="str">
        <f t="shared" si="6"/>
        <v>(514) 555-2955</v>
      </c>
      <c r="T30" t="str">
        <f t="shared" si="7"/>
        <v>(514) 555-2921</v>
      </c>
      <c r="U30" t="str">
        <f t="shared" si="8"/>
        <v>NULL</v>
      </c>
    </row>
  </sheetData>
  <hyperlinks>
    <hyperlink ref="L7" r:id="rId1" display="http://www.microsoft.com/accessdev/sampleapps/mayumi.htm" xr:uid="{FF684B85-8952-314F-94BB-C2E35EFB845B}"/>
    <hyperlink ref="L13" r:id="rId2" display="http://www.microsoft.com/accessdev/sampleapps/plutzer.htm" xr:uid="{A1FCDA02-93B6-DB48-9750-B57984AF75B7}"/>
    <hyperlink ref="M25" r:id="rId3" display="http://www.microsoft.com/accessdev/sampleapps/gdaymate.htm" xr:uid="{524A1525-6ECC-C545-9876-5EAA3C0EF6C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847BB-595C-CD42-9722-435040B96F80}">
  <dimension ref="A1:K30"/>
  <sheetViews>
    <sheetView workbookViewId="0">
      <selection activeCell="E32" sqref="E32"/>
    </sheetView>
  </sheetViews>
  <sheetFormatPr baseColWidth="10" defaultRowHeight="16" x14ac:dyDescent="0.2"/>
  <cols>
    <col min="1" max="1" width="9.5" style="7" bestFit="1" customWidth="1"/>
    <col min="2" max="2" width="35.1640625" style="7" bestFit="1" customWidth="1"/>
    <col min="3" max="3" width="22.6640625" style="7" bestFit="1" customWidth="1"/>
    <col min="4" max="4" width="24.5" style="7" bestFit="1" customWidth="1"/>
    <col min="5" max="5" width="50.83203125" style="7" bestFit="1" customWidth="1"/>
    <col min="6" max="6" width="12.83203125" style="7" bestFit="1" customWidth="1"/>
    <col min="7" max="7" width="7.6640625" style="7" bestFit="1" customWidth="1"/>
    <col min="8" max="8" width="10.5" style="7" bestFit="1" customWidth="1"/>
    <col min="9" max="9" width="11.1640625" style="7" bestFit="1" customWidth="1"/>
    <col min="10" max="11" width="13.5" style="7" bestFit="1" customWidth="1"/>
  </cols>
  <sheetData>
    <row r="1" spans="1:11" x14ac:dyDescent="0.2">
      <c r="A1" s="7" t="s">
        <v>840</v>
      </c>
      <c r="B1" s="7" t="s">
        <v>443</v>
      </c>
      <c r="C1" s="7" t="s">
        <v>444</v>
      </c>
      <c r="D1" s="7" t="s">
        <v>445</v>
      </c>
      <c r="E1" s="7" t="s">
        <v>446</v>
      </c>
      <c r="F1" s="7" t="s">
        <v>447</v>
      </c>
      <c r="G1" s="7" t="s">
        <v>448</v>
      </c>
      <c r="H1" s="7" t="s">
        <v>449</v>
      </c>
      <c r="I1" s="7" t="s">
        <v>450</v>
      </c>
      <c r="J1" s="7" t="s">
        <v>451</v>
      </c>
      <c r="K1" s="7" t="s">
        <v>452</v>
      </c>
    </row>
    <row r="2" spans="1:11" x14ac:dyDescent="0.2">
      <c r="A2" s="7">
        <v>1</v>
      </c>
      <c r="B2" s="7" t="s">
        <v>995</v>
      </c>
      <c r="C2" s="7" t="s">
        <v>996</v>
      </c>
      <c r="D2" s="7" t="s">
        <v>997</v>
      </c>
      <c r="E2" s="7" t="s">
        <v>998</v>
      </c>
      <c r="F2" s="7" t="s">
        <v>167</v>
      </c>
      <c r="G2" s="7" t="s">
        <v>18</v>
      </c>
      <c r="H2" s="7" t="s">
        <v>999</v>
      </c>
      <c r="I2" s="7" t="s">
        <v>169</v>
      </c>
      <c r="J2" s="7" t="s">
        <v>1000</v>
      </c>
      <c r="K2" s="7" t="s">
        <v>18</v>
      </c>
    </row>
    <row r="3" spans="1:11" x14ac:dyDescent="0.2">
      <c r="A3" s="7">
        <v>2</v>
      </c>
      <c r="B3" s="7" t="s">
        <v>1001</v>
      </c>
      <c r="C3" s="7" t="s">
        <v>1002</v>
      </c>
      <c r="D3" s="7" t="s">
        <v>469</v>
      </c>
      <c r="E3" s="7" t="s">
        <v>1003</v>
      </c>
      <c r="F3" s="7" t="s">
        <v>1004</v>
      </c>
      <c r="G3" s="7" t="s">
        <v>1005</v>
      </c>
      <c r="H3" s="7">
        <v>70117</v>
      </c>
      <c r="I3" s="7" t="s">
        <v>86</v>
      </c>
      <c r="J3" s="7" t="s">
        <v>1006</v>
      </c>
      <c r="K3" s="7" t="s">
        <v>18</v>
      </c>
    </row>
    <row r="4" spans="1:11" x14ac:dyDescent="0.2">
      <c r="A4" s="7">
        <v>3</v>
      </c>
      <c r="B4" s="7" t="s">
        <v>1008</v>
      </c>
      <c r="C4" s="7" t="s">
        <v>1009</v>
      </c>
      <c r="D4" s="7" t="s">
        <v>454</v>
      </c>
      <c r="E4" s="7" t="s">
        <v>1010</v>
      </c>
      <c r="F4" s="7" t="s">
        <v>1011</v>
      </c>
      <c r="G4" s="7" t="s">
        <v>1012</v>
      </c>
      <c r="H4" s="7">
        <v>48104</v>
      </c>
      <c r="I4" s="7" t="s">
        <v>86</v>
      </c>
      <c r="J4" s="7" t="s">
        <v>1013</v>
      </c>
      <c r="K4" s="7" t="s">
        <v>1014</v>
      </c>
    </row>
    <row r="5" spans="1:11" x14ac:dyDescent="0.2">
      <c r="A5" s="7">
        <v>4</v>
      </c>
      <c r="B5" s="7" t="s">
        <v>1015</v>
      </c>
      <c r="C5" s="7" t="s">
        <v>1016</v>
      </c>
      <c r="D5" s="7" t="s">
        <v>477</v>
      </c>
      <c r="E5" s="7" t="s">
        <v>1017</v>
      </c>
      <c r="F5" s="7" t="s">
        <v>1018</v>
      </c>
      <c r="G5" s="7" t="s">
        <v>18</v>
      </c>
      <c r="H5" s="7">
        <v>100</v>
      </c>
      <c r="I5" s="7" t="s">
        <v>1019</v>
      </c>
      <c r="J5" s="7" t="s">
        <v>1020</v>
      </c>
      <c r="K5" s="7" t="s">
        <v>18</v>
      </c>
    </row>
    <row r="6" spans="1:11" x14ac:dyDescent="0.2">
      <c r="A6" s="7">
        <v>5</v>
      </c>
      <c r="B6" s="7" t="s">
        <v>1021</v>
      </c>
      <c r="C6" s="7" t="s">
        <v>1022</v>
      </c>
      <c r="D6" s="7" t="s">
        <v>1023</v>
      </c>
      <c r="E6" s="7" t="s">
        <v>1024</v>
      </c>
      <c r="F6" s="7" t="s">
        <v>1025</v>
      </c>
      <c r="G6" s="7" t="s">
        <v>1026</v>
      </c>
      <c r="H6" s="7">
        <v>33007</v>
      </c>
      <c r="I6" s="7" t="s">
        <v>150</v>
      </c>
      <c r="J6" s="7" t="s">
        <v>1027</v>
      </c>
      <c r="K6" s="7" t="s">
        <v>18</v>
      </c>
    </row>
    <row r="7" spans="1:11" x14ac:dyDescent="0.2">
      <c r="A7" s="7">
        <v>6</v>
      </c>
      <c r="B7" s="7" t="s">
        <v>1028</v>
      </c>
      <c r="C7" s="7" t="s">
        <v>1029</v>
      </c>
      <c r="D7" s="7" t="s">
        <v>1030</v>
      </c>
      <c r="E7" s="7" t="s">
        <v>1031</v>
      </c>
      <c r="F7" s="7" t="s">
        <v>1032</v>
      </c>
      <c r="G7" s="7" t="s">
        <v>18</v>
      </c>
      <c r="H7" s="7">
        <v>545</v>
      </c>
      <c r="I7" s="7" t="s">
        <v>1019</v>
      </c>
      <c r="J7" s="7" t="s">
        <v>1033</v>
      </c>
      <c r="K7" s="7" t="s">
        <v>18</v>
      </c>
    </row>
    <row r="8" spans="1:11" x14ac:dyDescent="0.2">
      <c r="A8" s="7">
        <v>7</v>
      </c>
      <c r="B8" s="7" t="s">
        <v>877</v>
      </c>
      <c r="C8" s="7" t="s">
        <v>1035</v>
      </c>
      <c r="D8" s="7" t="s">
        <v>1036</v>
      </c>
      <c r="E8" s="7" t="s">
        <v>1176</v>
      </c>
      <c r="F8" s="7" t="s">
        <v>1038</v>
      </c>
      <c r="G8" s="7" t="s">
        <v>1039</v>
      </c>
      <c r="H8" s="7">
        <v>3058</v>
      </c>
      <c r="I8" s="7" t="s">
        <v>1040</v>
      </c>
      <c r="J8" s="7" t="s">
        <v>1041</v>
      </c>
      <c r="K8" s="7" t="s">
        <v>1042</v>
      </c>
    </row>
    <row r="9" spans="1:11" x14ac:dyDescent="0.2">
      <c r="A9" s="7">
        <v>8</v>
      </c>
      <c r="B9" s="7" t="s">
        <v>1043</v>
      </c>
      <c r="C9" s="7" t="s">
        <v>1035</v>
      </c>
      <c r="D9" s="7" t="s">
        <v>1044</v>
      </c>
      <c r="E9" s="7" t="s">
        <v>1177</v>
      </c>
      <c r="F9" s="7" t="s">
        <v>1046</v>
      </c>
      <c r="G9" s="7" t="s">
        <v>18</v>
      </c>
      <c r="H9" s="7" t="s">
        <v>1047</v>
      </c>
      <c r="I9" s="7" t="s">
        <v>169</v>
      </c>
      <c r="J9" s="7" t="s">
        <v>1048</v>
      </c>
      <c r="K9" s="7" t="s">
        <v>18</v>
      </c>
    </row>
    <row r="10" spans="1:11" x14ac:dyDescent="0.2">
      <c r="A10" s="7">
        <v>9</v>
      </c>
      <c r="B10" s="7" t="s">
        <v>1049</v>
      </c>
      <c r="C10" s="7" t="s">
        <v>1050</v>
      </c>
      <c r="D10" s="7" t="s">
        <v>493</v>
      </c>
      <c r="E10" s="7" t="s">
        <v>1051</v>
      </c>
      <c r="F10" s="7" t="s">
        <v>1052</v>
      </c>
      <c r="G10" s="7" t="s">
        <v>18</v>
      </c>
      <c r="H10" s="7" t="s">
        <v>1053</v>
      </c>
      <c r="I10" s="7" t="s">
        <v>92</v>
      </c>
      <c r="J10" s="7" t="s">
        <v>1054</v>
      </c>
      <c r="K10" s="7" t="s">
        <v>1055</v>
      </c>
    </row>
    <row r="11" spans="1:11" x14ac:dyDescent="0.2">
      <c r="A11" s="7">
        <v>10</v>
      </c>
      <c r="B11" s="7" t="s">
        <v>1056</v>
      </c>
      <c r="C11" s="7" t="s">
        <v>1057</v>
      </c>
      <c r="D11" s="7" t="s">
        <v>477</v>
      </c>
      <c r="E11" s="7" t="s">
        <v>1058</v>
      </c>
      <c r="F11" s="7" t="s">
        <v>173</v>
      </c>
      <c r="G11" s="7" t="s">
        <v>18</v>
      </c>
      <c r="H11" s="7">
        <v>5442</v>
      </c>
      <c r="I11" s="7" t="s">
        <v>31</v>
      </c>
      <c r="J11" s="7" t="s">
        <v>1059</v>
      </c>
      <c r="K11" s="7" t="s">
        <v>18</v>
      </c>
    </row>
    <row r="12" spans="1:11" x14ac:dyDescent="0.2">
      <c r="A12" s="7">
        <v>11</v>
      </c>
      <c r="B12" s="7" t="s">
        <v>1060</v>
      </c>
      <c r="C12" s="7" t="s">
        <v>1061</v>
      </c>
      <c r="D12" s="7" t="s">
        <v>518</v>
      </c>
      <c r="E12" s="7" t="s">
        <v>1062</v>
      </c>
      <c r="F12" s="7" t="s">
        <v>404</v>
      </c>
      <c r="G12" s="7" t="s">
        <v>18</v>
      </c>
      <c r="H12" s="7">
        <v>10785</v>
      </c>
      <c r="I12" s="7" t="s">
        <v>24</v>
      </c>
      <c r="J12" s="7" t="s">
        <v>1063</v>
      </c>
      <c r="K12" s="7" t="s">
        <v>18</v>
      </c>
    </row>
    <row r="13" spans="1:11" x14ac:dyDescent="0.2">
      <c r="A13" s="7">
        <v>12</v>
      </c>
      <c r="B13" s="7" t="s">
        <v>1064</v>
      </c>
      <c r="C13" s="7" t="s">
        <v>1065</v>
      </c>
      <c r="D13" s="7" t="s">
        <v>1066</v>
      </c>
      <c r="E13" s="7" t="s">
        <v>1067</v>
      </c>
      <c r="F13" s="7" t="s">
        <v>1068</v>
      </c>
      <c r="G13" s="7" t="s">
        <v>18</v>
      </c>
      <c r="H13" s="7">
        <v>60439</v>
      </c>
      <c r="I13" s="7" t="s">
        <v>24</v>
      </c>
      <c r="J13" s="7" t="s">
        <v>1069</v>
      </c>
      <c r="K13" s="7" t="s">
        <v>18</v>
      </c>
    </row>
    <row r="14" spans="1:11" x14ac:dyDescent="0.2">
      <c r="A14" s="7">
        <v>13</v>
      </c>
      <c r="B14" s="7" t="s">
        <v>1071</v>
      </c>
      <c r="C14" s="7" t="s">
        <v>1072</v>
      </c>
      <c r="D14" s="7" t="s">
        <v>1073</v>
      </c>
      <c r="E14" s="7" t="s">
        <v>1074</v>
      </c>
      <c r="F14" s="7" t="s">
        <v>1075</v>
      </c>
      <c r="G14" s="7" t="s">
        <v>18</v>
      </c>
      <c r="H14" s="7">
        <v>27478</v>
      </c>
      <c r="I14" s="7" t="s">
        <v>24</v>
      </c>
      <c r="J14" s="7" t="s">
        <v>1076</v>
      </c>
      <c r="K14" s="7" t="s">
        <v>1077</v>
      </c>
    </row>
    <row r="15" spans="1:11" x14ac:dyDescent="0.2">
      <c r="A15" s="7">
        <v>14</v>
      </c>
      <c r="B15" s="7" t="s">
        <v>1078</v>
      </c>
      <c r="C15" s="7" t="s">
        <v>1079</v>
      </c>
      <c r="D15" s="7" t="s">
        <v>454</v>
      </c>
      <c r="E15" s="7" t="s">
        <v>1178</v>
      </c>
      <c r="F15" s="7" t="s">
        <v>1081</v>
      </c>
      <c r="G15" s="7" t="s">
        <v>18</v>
      </c>
      <c r="H15" s="7">
        <v>48100</v>
      </c>
      <c r="I15" s="7" t="s">
        <v>129</v>
      </c>
      <c r="J15" s="7" t="s">
        <v>1082</v>
      </c>
      <c r="K15" s="7" t="s">
        <v>1083</v>
      </c>
    </row>
    <row r="16" spans="1:11" x14ac:dyDescent="0.2">
      <c r="A16" s="7">
        <v>15</v>
      </c>
      <c r="B16" s="7" t="s">
        <v>1085</v>
      </c>
      <c r="C16" s="7" t="s">
        <v>1086</v>
      </c>
      <c r="D16" s="7" t="s">
        <v>477</v>
      </c>
      <c r="E16" s="7" t="s">
        <v>1087</v>
      </c>
      <c r="F16" s="7" t="s">
        <v>1088</v>
      </c>
      <c r="G16" s="7" t="s">
        <v>18</v>
      </c>
      <c r="H16" s="7">
        <v>1320</v>
      </c>
      <c r="I16" s="7" t="s">
        <v>317</v>
      </c>
      <c r="J16" s="7" t="s">
        <v>1089</v>
      </c>
      <c r="K16" s="7" t="s">
        <v>18</v>
      </c>
    </row>
    <row r="17" spans="1:11" x14ac:dyDescent="0.2">
      <c r="A17" s="7">
        <v>16</v>
      </c>
      <c r="B17" s="7" t="s">
        <v>1090</v>
      </c>
      <c r="C17" s="7" t="s">
        <v>1091</v>
      </c>
      <c r="D17" s="7" t="s">
        <v>1092</v>
      </c>
      <c r="E17" s="7" t="s">
        <v>1093</v>
      </c>
      <c r="F17" s="7" t="s">
        <v>1094</v>
      </c>
      <c r="G17" s="7" t="s">
        <v>202</v>
      </c>
      <c r="H17" s="7">
        <v>97101</v>
      </c>
      <c r="I17" s="7" t="s">
        <v>86</v>
      </c>
      <c r="J17" s="7" t="s">
        <v>838</v>
      </c>
      <c r="K17" s="7" t="s">
        <v>18</v>
      </c>
    </row>
    <row r="18" spans="1:11" x14ac:dyDescent="0.2">
      <c r="A18" s="7">
        <v>17</v>
      </c>
      <c r="B18" s="7" t="s">
        <v>1095</v>
      </c>
      <c r="C18" s="7" t="s">
        <v>1096</v>
      </c>
      <c r="D18" s="7" t="s">
        <v>454</v>
      </c>
      <c r="E18" s="7" t="s">
        <v>1097</v>
      </c>
      <c r="F18" s="7" t="s">
        <v>1098</v>
      </c>
      <c r="G18" s="7" t="s">
        <v>18</v>
      </c>
      <c r="H18" s="7" t="s">
        <v>1099</v>
      </c>
      <c r="I18" s="7" t="s">
        <v>92</v>
      </c>
      <c r="J18" s="7" t="s">
        <v>1100</v>
      </c>
      <c r="K18" s="7" t="s">
        <v>18</v>
      </c>
    </row>
    <row r="19" spans="1:11" x14ac:dyDescent="0.2">
      <c r="A19" s="7">
        <v>18</v>
      </c>
      <c r="B19" s="7" t="s">
        <v>1101</v>
      </c>
      <c r="C19" s="7" t="s">
        <v>1102</v>
      </c>
      <c r="D19" s="7" t="s">
        <v>518</v>
      </c>
      <c r="E19" s="7" t="s">
        <v>1179</v>
      </c>
      <c r="F19" s="7" t="s">
        <v>412</v>
      </c>
      <c r="G19" s="7" t="s">
        <v>18</v>
      </c>
      <c r="H19" s="7">
        <v>75004</v>
      </c>
      <c r="I19" s="7" t="s">
        <v>19</v>
      </c>
      <c r="J19" s="7" t="s">
        <v>1104</v>
      </c>
      <c r="K19" s="7" t="s">
        <v>1105</v>
      </c>
    </row>
    <row r="20" spans="1:11" x14ac:dyDescent="0.2">
      <c r="A20" s="7">
        <v>19</v>
      </c>
      <c r="B20" s="7" t="s">
        <v>1106</v>
      </c>
      <c r="C20" s="7" t="s">
        <v>1107</v>
      </c>
      <c r="D20" s="7" t="s">
        <v>1108</v>
      </c>
      <c r="E20" s="7" t="s">
        <v>1109</v>
      </c>
      <c r="F20" s="7" t="s">
        <v>1110</v>
      </c>
      <c r="G20" s="7" t="s">
        <v>1111</v>
      </c>
      <c r="H20" s="7">
        <v>2134</v>
      </c>
      <c r="I20" s="7" t="s">
        <v>86</v>
      </c>
      <c r="J20" s="7" t="s">
        <v>1112</v>
      </c>
      <c r="K20" s="7" t="s">
        <v>1113</v>
      </c>
    </row>
    <row r="21" spans="1:11" x14ac:dyDescent="0.2">
      <c r="A21" s="7">
        <v>20</v>
      </c>
      <c r="B21" s="7" t="s">
        <v>1114</v>
      </c>
      <c r="C21" s="7" t="s">
        <v>1115</v>
      </c>
      <c r="D21" s="7" t="s">
        <v>458</v>
      </c>
      <c r="E21" s="7" t="s">
        <v>1180</v>
      </c>
      <c r="F21" s="7" t="s">
        <v>1118</v>
      </c>
      <c r="G21" s="7" t="s">
        <v>18</v>
      </c>
      <c r="H21" s="7">
        <v>512</v>
      </c>
      <c r="I21" s="7" t="s">
        <v>1118</v>
      </c>
      <c r="J21" s="7" t="s">
        <v>1119</v>
      </c>
      <c r="K21" s="7" t="s">
        <v>18</v>
      </c>
    </row>
    <row r="22" spans="1:11" x14ac:dyDescent="0.2">
      <c r="A22" s="7">
        <v>21</v>
      </c>
      <c r="B22" s="7" t="s">
        <v>1120</v>
      </c>
      <c r="C22" s="7" t="s">
        <v>1121</v>
      </c>
      <c r="D22" s="7" t="s">
        <v>518</v>
      </c>
      <c r="E22" s="7" t="s">
        <v>1122</v>
      </c>
      <c r="F22" s="7" t="s">
        <v>1123</v>
      </c>
      <c r="G22" s="7" t="s">
        <v>18</v>
      </c>
      <c r="H22" s="7">
        <v>2800</v>
      </c>
      <c r="I22" s="7" t="s">
        <v>257</v>
      </c>
      <c r="J22" s="7">
        <v>43844108</v>
      </c>
      <c r="K22" s="7">
        <v>43844115</v>
      </c>
    </row>
    <row r="23" spans="1:11" x14ac:dyDescent="0.2">
      <c r="A23" s="7">
        <v>22</v>
      </c>
      <c r="B23" s="7" t="s">
        <v>1124</v>
      </c>
      <c r="C23" s="7" t="s">
        <v>1125</v>
      </c>
      <c r="D23" s="7" t="s">
        <v>487</v>
      </c>
      <c r="E23" s="7" t="s">
        <v>1126</v>
      </c>
      <c r="F23" s="7" t="s">
        <v>1127</v>
      </c>
      <c r="G23" s="7" t="s">
        <v>18</v>
      </c>
      <c r="H23" s="7" t="s">
        <v>1128</v>
      </c>
      <c r="I23" s="7" t="s">
        <v>1129</v>
      </c>
      <c r="J23" s="7" t="s">
        <v>1130</v>
      </c>
      <c r="K23" s="7" t="s">
        <v>1131</v>
      </c>
    </row>
    <row r="24" spans="1:11" x14ac:dyDescent="0.2">
      <c r="A24" s="7">
        <v>23</v>
      </c>
      <c r="B24" s="7" t="s">
        <v>1132</v>
      </c>
      <c r="C24" s="7" t="s">
        <v>1133</v>
      </c>
      <c r="D24" s="7" t="s">
        <v>1134</v>
      </c>
      <c r="E24" s="7" t="s">
        <v>1135</v>
      </c>
      <c r="F24" s="7" t="s">
        <v>1136</v>
      </c>
      <c r="G24" s="7" t="s">
        <v>18</v>
      </c>
      <c r="H24" s="7">
        <v>53120</v>
      </c>
      <c r="I24" s="7" t="s">
        <v>101</v>
      </c>
      <c r="J24" s="7" t="s">
        <v>1137</v>
      </c>
      <c r="K24" s="7" t="s">
        <v>18</v>
      </c>
    </row>
    <row r="25" spans="1:11" x14ac:dyDescent="0.2">
      <c r="A25" s="7">
        <v>24</v>
      </c>
      <c r="B25" s="7" t="s">
        <v>1138</v>
      </c>
      <c r="C25" s="7" t="s">
        <v>1139</v>
      </c>
      <c r="D25" s="7" t="s">
        <v>1140</v>
      </c>
      <c r="E25" s="7" t="s">
        <v>1181</v>
      </c>
      <c r="F25" s="7" t="s">
        <v>1142</v>
      </c>
      <c r="G25" s="7" t="s">
        <v>1143</v>
      </c>
      <c r="H25" s="7">
        <v>2042</v>
      </c>
      <c r="I25" s="7" t="s">
        <v>1040</v>
      </c>
      <c r="J25" s="7" t="s">
        <v>1144</v>
      </c>
      <c r="K25" s="7" t="s">
        <v>1145</v>
      </c>
    </row>
    <row r="26" spans="1:11" x14ac:dyDescent="0.2">
      <c r="A26" s="7">
        <v>25</v>
      </c>
      <c r="B26" s="7" t="s">
        <v>1147</v>
      </c>
      <c r="C26" s="7" t="s">
        <v>1148</v>
      </c>
      <c r="D26" s="7" t="s">
        <v>477</v>
      </c>
      <c r="E26" s="7" t="s">
        <v>1149</v>
      </c>
      <c r="F26" s="7" t="s">
        <v>246</v>
      </c>
      <c r="G26" s="7" t="s">
        <v>247</v>
      </c>
      <c r="H26" s="7" t="s">
        <v>248</v>
      </c>
      <c r="I26" s="7" t="s">
        <v>249</v>
      </c>
      <c r="J26" s="7" t="s">
        <v>1150</v>
      </c>
      <c r="K26" s="7" t="s">
        <v>18</v>
      </c>
    </row>
    <row r="27" spans="1:11" x14ac:dyDescent="0.2">
      <c r="A27" s="7">
        <v>26</v>
      </c>
      <c r="B27" s="7" t="s">
        <v>1151</v>
      </c>
      <c r="C27" s="7" t="s">
        <v>1152</v>
      </c>
      <c r="D27" s="7" t="s">
        <v>469</v>
      </c>
      <c r="E27" s="7" t="s">
        <v>1182</v>
      </c>
      <c r="F27" s="7" t="s">
        <v>1154</v>
      </c>
      <c r="G27" s="7" t="s">
        <v>18</v>
      </c>
      <c r="H27" s="7">
        <v>84100</v>
      </c>
      <c r="I27" s="7" t="s">
        <v>129</v>
      </c>
      <c r="J27" s="7" t="s">
        <v>1155</v>
      </c>
      <c r="K27" s="7" t="s">
        <v>1156</v>
      </c>
    </row>
    <row r="28" spans="1:11" x14ac:dyDescent="0.2">
      <c r="A28" s="7">
        <v>27</v>
      </c>
      <c r="B28" s="7" t="s">
        <v>1157</v>
      </c>
      <c r="C28" s="7" t="s">
        <v>1158</v>
      </c>
      <c r="D28" s="7" t="s">
        <v>518</v>
      </c>
      <c r="E28" s="7" t="s">
        <v>1183</v>
      </c>
      <c r="F28" s="7" t="s">
        <v>1160</v>
      </c>
      <c r="G28" s="7" t="s">
        <v>18</v>
      </c>
      <c r="H28" s="7">
        <v>71300</v>
      </c>
      <c r="I28" s="7" t="s">
        <v>19</v>
      </c>
      <c r="J28" s="7" t="s">
        <v>1161</v>
      </c>
      <c r="K28" s="7" t="s">
        <v>18</v>
      </c>
    </row>
    <row r="29" spans="1:11" x14ac:dyDescent="0.2">
      <c r="A29" s="7">
        <v>28</v>
      </c>
      <c r="B29" s="7" t="s">
        <v>1162</v>
      </c>
      <c r="C29" s="7" t="s">
        <v>1163</v>
      </c>
      <c r="D29" s="7" t="s">
        <v>454</v>
      </c>
      <c r="E29" s="7" t="s">
        <v>1184</v>
      </c>
      <c r="F29" s="7" t="s">
        <v>1166</v>
      </c>
      <c r="G29" s="7" t="s">
        <v>18</v>
      </c>
      <c r="H29" s="7">
        <v>74000</v>
      </c>
      <c r="I29" s="7" t="s">
        <v>19</v>
      </c>
      <c r="J29" s="7" t="s">
        <v>1167</v>
      </c>
      <c r="K29" s="7" t="s">
        <v>1168</v>
      </c>
    </row>
    <row r="30" spans="1:11" x14ac:dyDescent="0.2">
      <c r="A30" s="7">
        <v>29</v>
      </c>
      <c r="B30" s="7" t="s">
        <v>1169</v>
      </c>
      <c r="C30" s="7" t="s">
        <v>1170</v>
      </c>
      <c r="D30" s="7" t="s">
        <v>487</v>
      </c>
      <c r="E30" s="7" t="s">
        <v>1171</v>
      </c>
      <c r="F30" s="7" t="s">
        <v>1172</v>
      </c>
      <c r="G30" s="7" t="s">
        <v>247</v>
      </c>
      <c r="H30" s="7" t="s">
        <v>1173</v>
      </c>
      <c r="I30" s="7" t="s">
        <v>249</v>
      </c>
      <c r="J30" s="7" t="s">
        <v>1174</v>
      </c>
      <c r="K30" s="7" t="s">
        <v>1175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63F52-D472-6141-9B7D-0974D39EEFF3}">
  <dimension ref="A1:D9"/>
  <sheetViews>
    <sheetView tabSelected="1" workbookViewId="0">
      <selection activeCell="G18" sqref="G18"/>
    </sheetView>
  </sheetViews>
  <sheetFormatPr baseColWidth="10" defaultRowHeight="16" x14ac:dyDescent="0.2"/>
  <cols>
    <col min="1" max="1" width="10" bestFit="1" customWidth="1"/>
    <col min="2" max="2" width="13" bestFit="1" customWidth="1"/>
    <col min="3" max="3" width="47.33203125" bestFit="1" customWidth="1"/>
  </cols>
  <sheetData>
    <row r="1" spans="1:4" x14ac:dyDescent="0.2">
      <c r="A1" t="s">
        <v>841</v>
      </c>
      <c r="B1" t="s">
        <v>1185</v>
      </c>
      <c r="C1" t="s">
        <v>1186</v>
      </c>
      <c r="D1" s="1"/>
    </row>
    <row r="2" spans="1:4" x14ac:dyDescent="0.2">
      <c r="A2">
        <v>1</v>
      </c>
      <c r="B2" t="s">
        <v>1187</v>
      </c>
      <c r="C2" t="s">
        <v>1188</v>
      </c>
      <c r="D2" s="3"/>
    </row>
    <row r="3" spans="1:4" x14ac:dyDescent="0.2">
      <c r="A3">
        <v>2</v>
      </c>
      <c r="B3" t="s">
        <v>1189</v>
      </c>
      <c r="C3" t="s">
        <v>1190</v>
      </c>
      <c r="D3" s="3"/>
    </row>
    <row r="4" spans="1:4" x14ac:dyDescent="0.2">
      <c r="A4">
        <v>3</v>
      </c>
      <c r="B4" t="s">
        <v>1191</v>
      </c>
      <c r="C4" t="s">
        <v>1192</v>
      </c>
      <c r="D4" s="3"/>
    </row>
    <row r="5" spans="1:4" x14ac:dyDescent="0.2">
      <c r="A5">
        <v>4</v>
      </c>
      <c r="B5" t="s">
        <v>1193</v>
      </c>
      <c r="C5" t="s">
        <v>1194</v>
      </c>
      <c r="D5" s="3"/>
    </row>
    <row r="6" spans="1:4" x14ac:dyDescent="0.2">
      <c r="A6">
        <v>5</v>
      </c>
      <c r="B6" t="s">
        <v>1195</v>
      </c>
      <c r="C6" t="s">
        <v>1196</v>
      </c>
      <c r="D6" s="3"/>
    </row>
    <row r="7" spans="1:4" x14ac:dyDescent="0.2">
      <c r="A7">
        <v>6</v>
      </c>
      <c r="B7" t="s">
        <v>1197</v>
      </c>
      <c r="C7" t="s">
        <v>1198</v>
      </c>
      <c r="D7" s="3"/>
    </row>
    <row r="8" spans="1:4" x14ac:dyDescent="0.2">
      <c r="A8">
        <v>7</v>
      </c>
      <c r="B8" t="s">
        <v>1199</v>
      </c>
      <c r="C8" t="s">
        <v>1200</v>
      </c>
      <c r="D8" s="3"/>
    </row>
    <row r="9" spans="1:4" x14ac:dyDescent="0.2">
      <c r="A9">
        <v>8</v>
      </c>
      <c r="B9" t="s">
        <v>1201</v>
      </c>
      <c r="C9" t="s">
        <v>1202</v>
      </c>
      <c r="D9"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11</vt:i4>
      </vt:variant>
    </vt:vector>
  </HeadingPairs>
  <TitlesOfParts>
    <vt:vector size="11" baseType="lpstr">
      <vt:lpstr>Orders (Original)</vt:lpstr>
      <vt:lpstr>Orders</vt:lpstr>
      <vt:lpstr>OrderDetails</vt:lpstr>
      <vt:lpstr>Customers (Original)</vt:lpstr>
      <vt:lpstr>Customers</vt:lpstr>
      <vt:lpstr>Employees</vt:lpstr>
      <vt:lpstr>Shippers</vt:lpstr>
      <vt:lpstr>Products</vt:lpstr>
      <vt:lpstr>Suppliers (Original)</vt:lpstr>
      <vt:lpstr>Suppliers</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2025-08-16T15:09:56Z</dcterms:created>
  <dcterms:modified xsi:type="dcterms:W3CDTF">2025-08-16T16:55:40Z</dcterms:modified>
</cp:coreProperties>
</file>